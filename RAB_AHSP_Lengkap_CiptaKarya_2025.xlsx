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B_Otomatis" sheetId="1" r:id="rId5"/>
    <sheet state="visible" name="Daftar_AHSP" sheetId="2" r:id="rId6"/>
    <sheet state="visible" name="Database_Harga" sheetId="3" r:id="rId7"/>
    <sheet state="visible" name="Analisa_Alat" sheetId="4" r:id="rId8"/>
  </sheets>
  <definedNames/>
  <calcPr/>
</workbook>
</file>

<file path=xl/sharedStrings.xml><?xml version="1.0" encoding="utf-8"?>
<sst xmlns="http://schemas.openxmlformats.org/spreadsheetml/2006/main" count="14243" uniqueCount="8232">
  <si>
    <t>RENCANA ANGGARAN BIAYA (RAB) OTOMATIS</t>
  </si>
  <si>
    <t>Pilih 'Kode AHSP' dari dropdown. Harga akan terisi otomatis dari Daftar AHSP.</t>
  </si>
  <si>
    <t>No</t>
  </si>
  <si>
    <t>Kode AHSP (PILIH)</t>
  </si>
  <si>
    <t>Uraian Pekerjaan</t>
  </si>
  <si>
    <t>Sat</t>
  </si>
  <si>
    <t>Volume</t>
  </si>
  <si>
    <t>Harga Upah</t>
  </si>
  <si>
    <t>Harga Bahan</t>
  </si>
  <si>
    <t>Harga Alat</t>
  </si>
  <si>
    <t>Harga Satuan Total</t>
  </si>
  <si>
    <t>Jumlah Harga (Rp)</t>
  </si>
  <si>
    <t>1.1.1.1</t>
  </si>
  <si>
    <t>1.2.1.1.1</t>
  </si>
  <si>
    <t>TOTAL BIAYA KONSTRUKSI</t>
  </si>
  <si>
    <t>DAFTAR HARGA SATUAN PEKERJAAN (AHSP CIPTA KARYA 2025)</t>
  </si>
  <si>
    <t>Kode AHSP</t>
  </si>
  <si>
    <t>Satuan</t>
  </si>
  <si>
    <t>Subtotal UPAH (Rp)</t>
  </si>
  <si>
    <t>Subtotal BAHAN (Rp)</t>
  </si>
  <si>
    <t>Subtotal ALAT (Rp)</t>
  </si>
  <si>
    <t>Harga Satuan Total (Rp)</t>
  </si>
  <si>
    <t>1.1</t>
  </si>
  <si>
    <t>PEKERJAAN PERSIAPAN</t>
  </si>
  <si>
    <t>1.1.1</t>
  </si>
  <si>
    <t>Pembuatan Pagar Proyek</t>
  </si>
  <si>
    <t>Pembuatan 1 m’ pagar sementara dari kayu tinggi 2 meter</t>
  </si>
  <si>
    <t>m'</t>
  </si>
  <si>
    <t>1.1.1.2</t>
  </si>
  <si>
    <t>Pembuatan 1 m’ pagar sementara dari seng gelombang rangka kayu tinggi 2 meter</t>
  </si>
  <si>
    <t>1.1.1.3</t>
  </si>
  <si>
    <t>Pembuatan 1 m’ pagar sementara dari kawat duri tinggi 2 meter</t>
  </si>
  <si>
    <t>1.1.1.4</t>
  </si>
  <si>
    <t>Pembuatan 1 m’ pagar sementara  seng gelombang rangka baja L.40.40.4 tinggi pagar 1.8 meter</t>
  </si>
  <si>
    <t>1.1.1.5</t>
  </si>
  <si>
    <t>Pembuatan 1 m2 pagar BRC Galvanis</t>
  </si>
  <si>
    <t>m2</t>
  </si>
  <si>
    <t>1.1.1.6</t>
  </si>
  <si>
    <t>Pemasangan 1 m2 panel beton pracetak 50x50x240 untuk pagar</t>
  </si>
  <si>
    <t>1.1.2</t>
  </si>
  <si>
    <t>Alat dan/atau sarana penunjang</t>
  </si>
  <si>
    <t>1.1.2.1</t>
  </si>
  <si>
    <t>1 buah papan nama pekerjaan ukuran 0.8x1.2 menggunakan multiflex 18 mm, frame besi siku dan tiang kayu 8/12</t>
  </si>
  <si>
    <t>buah</t>
  </si>
  <si>
    <t>1.1.2.2</t>
  </si>
  <si>
    <t>1 buah papan nama pekerjaan ukuran 0.6x08 menggunakan multiplex 10 mm, frame allumunium siku dan tiang kayu 5/7, printing banner plastik</t>
  </si>
  <si>
    <t>1.1.2.3</t>
  </si>
  <si>
    <t>Pembuatan 1 m2 kantor sementara/rumah jaga/gudang semen dan peralatan lantai plesteran, dinding setengah tembok</t>
  </si>
  <si>
    <t>1.1.2.4</t>
  </si>
  <si>
    <t>Pembuatan 1 m2 direksi keet (Kantor), los kerja dan gudang</t>
  </si>
  <si>
    <t>1.1.2.5</t>
  </si>
  <si>
    <t>Pembuatan 1 m2 jalan sementara lapis macadam</t>
  </si>
  <si>
    <t>1.1.2.6</t>
  </si>
  <si>
    <t>Pembuatan 1 m2 jalan sementara (Jalan Tanah)</t>
  </si>
  <si>
    <t>1.1.2.7</t>
  </si>
  <si>
    <t>Pembuatan 1 m2 jalan sementara (Jalan Kerikil)</t>
  </si>
  <si>
    <t>1.1.3</t>
  </si>
  <si>
    <t>Pembersihan dan Pengupasan Permukaan Tanah</t>
  </si>
  <si>
    <t>1.1.3.1</t>
  </si>
  <si>
    <t>1 m3 Pembersihan dan pengupasan permukaan tanah (striping) s.d. tanaman ∅ 2 cm</t>
  </si>
  <si>
    <t>1.1.3.2</t>
  </si>
  <si>
    <t>Tebas tebang 1 m2 tanaman/tumbuhan ∅ &lt; 5 cm</t>
  </si>
  <si>
    <t>1.1.3.3.</t>
  </si>
  <si>
    <t>Tebas tebang 1 m
2
 tanaman/tumbuhan ∅ &gt;5 s.d. 15 cm</t>
  </si>
  <si>
    <t>1.1.3.4</t>
  </si>
  <si>
    <t>Tebas tebang 1 batang pohon/tumbuhan ∅ &gt;15 s.d. 30 cm</t>
  </si>
  <si>
    <t>btg</t>
  </si>
  <si>
    <t>1.1.3.5</t>
  </si>
  <si>
    <t>Tebas tebang 1 batang pohon/tumbuhan ∅ &gt; 30 s.d 50 cm</t>
  </si>
  <si>
    <t>1.1.3.6</t>
  </si>
  <si>
    <t>Tebas tebang 1 batang pohon/tumbuhan ∅ &gt; 50 s.d 75 cm (diameter pohon diukur 1 m di atas permukaan tanah)</t>
  </si>
  <si>
    <t>1.1.3.7</t>
  </si>
  <si>
    <t>Tebas tebang 1 batang pohon/tumbuhan ∅ &gt; 75 cm (diameter pohon diukur 1 m di atas permukaan tanah)</t>
  </si>
  <si>
    <t>1.1.3.8</t>
  </si>
  <si>
    <t>Gali dan cabut 1 tunggul pohon tanaman keras ∅ &gt; 5 s.d. 15 cm (termasuk pembuangan sisa tunggul tanpa menutup kembali bekas lubang)</t>
  </si>
  <si>
    <t>tgl</t>
  </si>
  <si>
    <t>1.1.3.9</t>
  </si>
  <si>
    <t>Gali dan cabut 1 tunggul pohon tanaman keras ∅ &gt; 15 cm  s.d. 30 cm (termasuk pembuangan sisa tunggul tanpa menutup kembali bekas lubang)</t>
  </si>
  <si>
    <t>1.1.3.10</t>
  </si>
  <si>
    <t>Gali dan cabut 1 tunggul pohon tanaman keras ∅ &gt; 30 cm  s.d. 50 cm (termasuk pembuangan sisa tunggul tanpa menutup kembali bekas lubang)</t>
  </si>
  <si>
    <t>1.1.3.11</t>
  </si>
  <si>
    <t>Gali dan cabut 1 tunggul pohon tanaman keras ∅ &gt; 50 cm  s.d. 75 cm (termasuk pembuangan sisa tunggul tanpa menutup kembali bekas lubang)</t>
  </si>
  <si>
    <t>1.1.3.12</t>
  </si>
  <si>
    <t>Gali dan cabut 1 tunggul pohon tanaman keras ∅ &gt; 75 cm (termasuk pembuangan sisa tunggul tanpa menutup kembali bekas lubang)</t>
  </si>
  <si>
    <t>1.1.3.13</t>
  </si>
  <si>
    <t>Gali dan cabut 1 tunggul pohon tanaman keras ∅ &gt; 5 s.d. 15 cm (termasuk pembuangan sisa tunggul dengan menutup kembali bekas lubang)</t>
  </si>
  <si>
    <t>1.1.3.14</t>
  </si>
  <si>
    <t>Gali dan cabut 1 tunggul pohon tanaman keras ∅ &gt; 15 cm s.d. 30 cm (termasuk pembuangan sisa tunggul dengan menutup kembali bekas lubang)</t>
  </si>
  <si>
    <t>1.1.3.15</t>
  </si>
  <si>
    <t>Gali dan cabut 1 tunggul pohon tanaman keras ∅ &gt; 15 cm s.d. 50 cm (termasuk pembuangan sisa tunggul dengan menutup kembali bekas lubang)</t>
  </si>
  <si>
    <t>Ha</t>
  </si>
  <si>
    <t>1.1.3.16</t>
  </si>
  <si>
    <t>Gali dan cabut 1 tunggul pohon tanaman keras ∅ &gt; 15 cm s.d. 75 cm (termasuk pembuangan sisa tunggul dengan menutup kembali bekas lubang)</t>
  </si>
  <si>
    <t>1.1.3.17</t>
  </si>
  <si>
    <t>Gali dan cabut 1 tunggul pohon tanaman keras ∅ &gt;  75 cm (termasuk pembuangan sisa tunggul dengan menutup kembali bekas lubang)</t>
  </si>
  <si>
    <t>1.1.4</t>
  </si>
  <si>
    <t>Pengukuran dan Pasangan Bouwplank</t>
  </si>
  <si>
    <t>1.1.4.1</t>
  </si>
  <si>
    <t>Pengukuran ulang topografi seluas 1 Ha</t>
  </si>
  <si>
    <t>1.1.4.2</t>
  </si>
  <si>
    <t>Pasangan 1 m' bouwplank</t>
  </si>
  <si>
    <t>1.1.4.3</t>
  </si>
  <si>
    <t>Patok Kayu (kaso5/7) Panjang 0,5 m'</t>
  </si>
  <si>
    <t>1.1.4.4</t>
  </si>
  <si>
    <t>1 Buah Patok Kayu (Kaso 5/7) panjang 1 m'</t>
  </si>
  <si>
    <t>1.1.4.5</t>
  </si>
  <si>
    <t>Patok Tetap Bantu (PTB)</t>
  </si>
  <si>
    <t>1.1.4.6</t>
  </si>
  <si>
    <t>Patok Tetap Utama (PTU)</t>
  </si>
  <si>
    <t>1.2</t>
  </si>
  <si>
    <t>PEKERJAAN GALIAN TANAH</t>
  </si>
  <si>
    <t>1.2.1</t>
  </si>
  <si>
    <t>Tanah Biasa</t>
  </si>
  <si>
    <t>1.2.1.1</t>
  </si>
  <si>
    <t>Cara Manual</t>
  </si>
  <si>
    <t>Penggalian 1 m3 tanah biasa sedalam 0 s.d. 1 m untuk volume s.d. 200 m3 secara manual</t>
  </si>
  <si>
    <t>m3</t>
  </si>
  <si>
    <t>1.2.1.1.2</t>
  </si>
  <si>
    <t>Penggalian 1 m3 tanah biasa sedalam 0 s.d. 1 m untuk volume 200 m3 s.d 2.000 m3 secara manual</t>
  </si>
  <si>
    <t>1.2.1.1.3</t>
  </si>
  <si>
    <t>Penggalian 1 m3 tanah biasa sedalam 0 s.d. 1 m untuk volume &gt; 2.000 m3 secara Manual</t>
  </si>
  <si>
    <t>1.2.1.1.4</t>
  </si>
  <si>
    <t>Penggalian 1 m3 tanah biasa sedalam &gt; 1 s.d. 2 m untuk volume s.d 200 m3 secara manual</t>
  </si>
  <si>
    <t>1.2.1.1.5</t>
  </si>
  <si>
    <t>Penggalian 1 m3 tanah biasa sedalam &gt; 1 s.d. 2 m untuk volume &gt; 200 m3 secara manual</t>
  </si>
  <si>
    <t>1.2.1.1.6</t>
  </si>
  <si>
    <t>Penggalian 1 m3 tanah biasa sedalam &gt; 2 s.d. 3 m untuk volume s.d 200 m3 secara manual</t>
  </si>
  <si>
    <t>1.2.1.1.7</t>
  </si>
  <si>
    <t>Penggalian 1 m3 tanah biasa sedalam &gt; 2 s.d. 3 m untuk volume &gt; 200 m3 secara manual</t>
  </si>
  <si>
    <t>1.2.1.1.8</t>
  </si>
  <si>
    <t>Penggalian 1 m3 tanah biasa sedalam &gt; 3 m, setiap penambahan kedalaman 1 m secara manual</t>
  </si>
  <si>
    <t>1.2.1.2</t>
  </si>
  <si>
    <t>Cara Semi Mekanis</t>
  </si>
  <si>
    <t>1.2.1.2.1</t>
  </si>
  <si>
    <t>Penggalian 1 m3 tanh biasa sedalam &gt; 0 s.d 1 m secara semi mekanis</t>
  </si>
  <si>
    <t>1.2.1.2.2</t>
  </si>
  <si>
    <t>Penggalian 1 m3 tanah biasa sedalam &gt;1 s.d 2 m secara semi mekanis</t>
  </si>
  <si>
    <t>1.2.1.2.3</t>
  </si>
  <si>
    <t>Penggalian 1 m3 tanah biasa sedalam &gt;2 s.d 3 m secara semi mekanis</t>
  </si>
  <si>
    <t>1.2.1.2.4</t>
  </si>
  <si>
    <t>Penggalian 1 m3 tanah biasa &gt; 3 m untuk setiap  penambahan kedalaman 1 m secara semi mekanis</t>
  </si>
  <si>
    <t>1.2.2</t>
  </si>
  <si>
    <t>Pasir</t>
  </si>
  <si>
    <t>1.2.2.1</t>
  </si>
  <si>
    <t>1.2.2.1.1</t>
  </si>
  <si>
    <t>Penggalian 1 m3 pasir sedalam &gt;0 s.d 1 m secara manual</t>
  </si>
  <si>
    <t>1.2.2.1.2</t>
  </si>
  <si>
    <t>Penggalian 1 m3 pasir sedalam &gt; 1 s.d 2 m secara manual</t>
  </si>
  <si>
    <t>1.2.2.1.3</t>
  </si>
  <si>
    <t>Penggalian 1 m3 pasir sedalam &gt; 2 s.d 3 m secara manual</t>
  </si>
  <si>
    <t>1.2.2.1.4</t>
  </si>
  <si>
    <t>Penggalian 1 m3 pasir sedalam &gt;  3 m  tiap tambahan dalam 1 msecara manual</t>
  </si>
  <si>
    <t>1.2.2.2</t>
  </si>
  <si>
    <t>1.2.2.2.1</t>
  </si>
  <si>
    <t>Penggalian 1 m3 pasir sedalam &gt;  0 s.d 1 m secara semi mekanis</t>
  </si>
  <si>
    <t>1.2.2.2.2</t>
  </si>
  <si>
    <t>Penggalian 1 m3 pasir sedalam &gt;  1 s.d 2 m secara semi mekanis</t>
  </si>
  <si>
    <t>1.2.2.2.3</t>
  </si>
  <si>
    <t>Penggalian 1 m3 pasir sedalam &gt;  2 s.d 3 m secara semi mekanis</t>
  </si>
  <si>
    <t>1.2.2.2.4</t>
  </si>
  <si>
    <t>Penggalian 1 m3 pasir sedalam &gt;   3 m secara semi mekanis untuk setiap tambahan dalm 1 m</t>
  </si>
  <si>
    <t>1.2.3</t>
  </si>
  <si>
    <t>Tanah Berbatu</t>
  </si>
  <si>
    <t>1.2.3.1</t>
  </si>
  <si>
    <t>1.2.3.1.1</t>
  </si>
  <si>
    <t>Penggalian 1 m3 tanah berbatu sedalam &gt; 0 s.d 1 m secara Manual</t>
  </si>
  <si>
    <t>1.2.3.1.2</t>
  </si>
  <si>
    <t>Penggalian 1 m3 tanah berbatu sedalam &gt; 1 s.d 2 m secara Manual</t>
  </si>
  <si>
    <t>1.2.3.1.3</t>
  </si>
  <si>
    <t>Penggalian 1 m3 tanah berbatu sedalam &gt; 2 s.d 3 m secara Manual</t>
  </si>
  <si>
    <t>1.2.3.1.4</t>
  </si>
  <si>
    <t>Penggalian 1 m3 tanah berbatu sedalam &gt;3 m, setiap tambah dalam 1 m secara Manual</t>
  </si>
  <si>
    <t>1.2.3.2</t>
  </si>
  <si>
    <t>1.2.3.2.1</t>
  </si>
  <si>
    <t>Penggalian 1 m3 tanah berbatu sedalam &gt; 0 s.d 1 m secara semi mekanis</t>
  </si>
  <si>
    <t>1.2.3.2.2</t>
  </si>
  <si>
    <t>Penggalian 1 m3 tanah berbatu sedalam &gt; 1 s.d 2 m secara semi mekanis</t>
  </si>
  <si>
    <t>1.2.3.2.3</t>
  </si>
  <si>
    <t>Penggalian 1 m3 tanah berbatu sedalam &gt; 2 s.d 3 m secara semi mekanis</t>
  </si>
  <si>
    <t>1.2.3.2.4</t>
  </si>
  <si>
    <t>Penggalian 1 m3 tanah berbatu sedalam &gt; 3 , setiap tambahan dalam 1 m secara semi mekanis</t>
  </si>
  <si>
    <t>1.2.4</t>
  </si>
  <si>
    <t>Tanah Keras atau Cadas</t>
  </si>
  <si>
    <t>1.2.4.1</t>
  </si>
  <si>
    <t>1.2.4.1.1</t>
  </si>
  <si>
    <t>Penggalian 1 m3 cadas atau tanah keras sedalam &gt; 0 s.d 1 m untuk volume s.d 200m3 secara manual</t>
  </si>
  <si>
    <t>1.2.4.1.2</t>
  </si>
  <si>
    <t>Penggalian 1 m3 cadas atau tanah keras sedalam &gt; 0 s.d 1 m untuk volume &gt; 200 m3 secara manual</t>
  </si>
  <si>
    <t>1.2.4.1.3</t>
  </si>
  <si>
    <t>Penggalian 1 m3 cadas atau tanah keras sedalam &gt; 1 s.d 2 m untuk volume s.d 200 m3 secara manual</t>
  </si>
  <si>
    <t>1.2.4.1.4</t>
  </si>
  <si>
    <t>Penggalian 1 m3 cadas atau tanah keras sedalam &gt; 1 s.d 2 m untuk volume &gt; 200 m3 secara manual</t>
  </si>
  <si>
    <t>1.2.4.1.5</t>
  </si>
  <si>
    <t>Penggalian 1 m3 cadas atau tanah keras sedalam &gt; 2 s.d 3 m untuk volume &gt;s.d 200 m3 secara manual</t>
  </si>
  <si>
    <t>1.2.4.1.6</t>
  </si>
  <si>
    <t>Penggalian 1 m3 cadas atau tanah keras sedalam &gt; 3 m tiap tambahan dalam 1 m  secara manual</t>
  </si>
  <si>
    <t>1.2.4.2</t>
  </si>
  <si>
    <t>1.2.4.2.1</t>
  </si>
  <si>
    <t>Penggalian 1 m3 cadas atau tanah keras sedalam &gt; 0 s.d 1 m secara semi mekanis</t>
  </si>
  <si>
    <t>1.2.4.2.2</t>
  </si>
  <si>
    <t>Penggalian 1 m3 cadas atau tanah keras sedalam &gt; 1 s.d 2 m secara semi mekanis</t>
  </si>
  <si>
    <t>1.2.4.2.3</t>
  </si>
  <si>
    <t>Penggalian 1 m3 cadas atau tanah keras sedalam &gt; 2 s.d 3 m secara semi mekanis</t>
  </si>
  <si>
    <t>1.2.4.2.4</t>
  </si>
  <si>
    <t>Penggalian 1 m3 cadas atau tanah keras sedalam &gt; 3 m tiap tambahan dalam 1 m secara semi mekanis</t>
  </si>
  <si>
    <t>1.2.5</t>
  </si>
  <si>
    <t>Lumpur</t>
  </si>
  <si>
    <t>1.2.5.1</t>
  </si>
  <si>
    <t>1.2.5.1.1</t>
  </si>
  <si>
    <t>Penggalian 1 m3 galian lumpur sedalam &gt;0 s.d 1 m untuk volume s.d 200 m3 secara manual</t>
  </si>
  <si>
    <t>1.2.5.1.2</t>
  </si>
  <si>
    <t>Penggalian 1 m3 galian lumpur sedalam &gt;0 s.d 1 m untuk volume &gt; 200 m3 secara manual</t>
  </si>
  <si>
    <t>1.2.5.1.3</t>
  </si>
  <si>
    <t>Penggalian 1 m3 galian lumpur sedalam &gt; 1 m s.d 2 m untuk volume s.d 200 m3 secara manual</t>
  </si>
  <si>
    <t>1.2.5.1.4</t>
  </si>
  <si>
    <t>Penggalian 1 m3 galian lumpur sedalam &gt; 1 m s.d 2 m untuk volume &gt; 200 m3 secara manual</t>
  </si>
  <si>
    <t>1.2.5.1.5</t>
  </si>
  <si>
    <t>Penggalian 1 m3 galian lumpur sedalam &gt;  2 m s.d 3 m  secara manual</t>
  </si>
  <si>
    <t>1.2.5.1.6</t>
  </si>
  <si>
    <t>Penggalian 1 m3 galian lumpur sedalam &gt;   3 m setiap tambahan dalam 1 m  secara manual</t>
  </si>
  <si>
    <t>1.2.5.2</t>
  </si>
  <si>
    <t>1.2.5.2.1</t>
  </si>
  <si>
    <t>Penggalian 1 m3 lumpur sedalam &gt;0 s.d 1 m secara semi mekanis</t>
  </si>
  <si>
    <t>1.2.5.2.2</t>
  </si>
  <si>
    <t>Penggalian 1 m3 lumpur sedalam &gt; 1 m s.d 2 m secara semi mekanis</t>
  </si>
  <si>
    <t>1.2.5.2.3</t>
  </si>
  <si>
    <t>Penggalian 1 m3 lumpur sedalam &gt; 2 m s.d 3 m secara semi mekanis</t>
  </si>
  <si>
    <t>1.2.5.2.4</t>
  </si>
  <si>
    <t>Penggalian 1 m3 lumpur sedalam &gt; 3 m setiap tambah kedalaman 1 m secara semi mekanis</t>
  </si>
  <si>
    <t>1.3</t>
  </si>
  <si>
    <t>PEKERJAAN TIMBUNAN DAN PEMADATAN</t>
  </si>
  <si>
    <t>1.3.1</t>
  </si>
  <si>
    <t>Timbunan atau Urukan Secara Manual</t>
  </si>
  <si>
    <t>1.3.1.1</t>
  </si>
  <si>
    <t>1 m3 urukan kembali galian tanah ( &gt;0 s.d 200 m3) tanpa pemadatan secara manual</t>
  </si>
  <si>
    <t>1.3.1.2</t>
  </si>
  <si>
    <t>1 m3 urukan pasir uruk untuk volume s.d 200 m3 tanpa pemadatan secara manual</t>
  </si>
  <si>
    <t>1.3.1.3</t>
  </si>
  <si>
    <t>1 m3 urukan pasir uruk untuk volume &gt; 200 m3 tanpa pemadatan secara manual</t>
  </si>
  <si>
    <t>1.3.1.4</t>
  </si>
  <si>
    <t>1 m3 urukan tanah biasa atau tanah liat berpasir tanpa pemadatan secara manual</t>
  </si>
  <si>
    <t>1.3.1.5</t>
  </si>
  <si>
    <t>1 m3 Urukan tanah liat (lempung) tanpa pemadatan secara manual</t>
  </si>
  <si>
    <t>1.3.1.6</t>
  </si>
  <si>
    <t>1m3 Urukan Batu Kerikil Tanpa Pemadatan secara manual</t>
  </si>
  <si>
    <t>1.3.1.7</t>
  </si>
  <si>
    <t>1 m3 Urukan tanah subur tanpa pemadatan secara manual</t>
  </si>
  <si>
    <t>1.3.2</t>
  </si>
  <si>
    <t>Pemadatan Secara Menual</t>
  </si>
  <si>
    <t>1.3.2.1</t>
  </si>
  <si>
    <t>1 m3 pemadatan tanah per 20 cm menggunakan alat timbris secara manual</t>
  </si>
  <si>
    <t>1.3.2.2</t>
  </si>
  <si>
    <t>1 m3 timbunan dan pemadatan sirtu  secara manual</t>
  </si>
  <si>
    <t>1.3.3</t>
  </si>
  <si>
    <t>Pemadatan Secara Semi- Mekanis</t>
  </si>
  <si>
    <t>1.3.3.1</t>
  </si>
  <si>
    <t>1 m3 Pemadatan tanah setebal 10 cm menggunakan  mesin Stemper kuda semi mekanis</t>
  </si>
  <si>
    <t>1.3.3.2</t>
  </si>
  <si>
    <t>1 m3 Pemadatan pasir setebal 15 cm menggunakan mesin Stamper kodok semi mekanis</t>
  </si>
  <si>
    <t>1.3.3.3</t>
  </si>
  <si>
    <t>1 m3 Pemadatan pasir setebal 20 cm menggunakan mesin Stamper VRR-550 kg semi mekanis</t>
  </si>
  <si>
    <t>1.3.3.4</t>
  </si>
  <si>
    <t>1 m3 Pemadatan pasir setebal 20 cm menggunakan mesin Stamper VRR-1,5 Ton semi mekanis</t>
  </si>
  <si>
    <t>1.3.3.5</t>
  </si>
  <si>
    <t>1 m3 Tipbunan dan Pemadatan batu kerikil meggunakan mein stamper kodok semi mekanis</t>
  </si>
  <si>
    <t>1.3.3.6</t>
  </si>
  <si>
    <t>1 m3 Timbunan dan Pemadatan Makadam semi mekanis</t>
  </si>
  <si>
    <t>1.4</t>
  </si>
  <si>
    <t>Pekerjaan Angkut  Materia dan/atau Hasil Galian</t>
  </si>
  <si>
    <t>1.4.1</t>
  </si>
  <si>
    <t>Angkut Tanah Lepas atau Hasil Galian untuk Jarak Horizontal dan medan landai naik serta turun &gt;2"</t>
  </si>
  <si>
    <t>1.4.1.1</t>
  </si>
  <si>
    <t>Mengangkut 1 m3 tanah lepas, jarak angkut s.d 10 m</t>
  </si>
  <si>
    <t>1.4.1.2</t>
  </si>
  <si>
    <t>Mengangkut 1 m3 tanah lepas, jarak angkut  &gt; 10 m s.d 20 m</t>
  </si>
  <si>
    <t>1.4.1.3</t>
  </si>
  <si>
    <t>Mengangkut 1 m3 tanah lepas, jarak angkut &gt; 20 m s.d 30 m</t>
  </si>
  <si>
    <t>1.4.1.4</t>
  </si>
  <si>
    <t>Mengangkut 1 m3 tanah lepas, jarak angkut &gt; 30 m s.d 40 m</t>
  </si>
  <si>
    <t>1.4.1.5</t>
  </si>
  <si>
    <t>Mengangkut 1 m3 tanah lepas, jarak angkut &gt; 40 m s.d 50 m</t>
  </si>
  <si>
    <t>1.4.1.6</t>
  </si>
  <si>
    <t>Mengangkut 1 m3 tanah lepas, jarak angkut &gt; 50 m s.d 100 m</t>
  </si>
  <si>
    <t>1.4.1.7</t>
  </si>
  <si>
    <t>Mengangkut 1 m3 tanah lepas, jarak angkut &gt; 100 m s.d 200 m</t>
  </si>
  <si>
    <t>1.4.1.8</t>
  </si>
  <si>
    <t>Mengangkut 1 m3 tanah lepas, jarak angkut &gt; 200 m s.d 300 m</t>
  </si>
  <si>
    <t>1.4.1.9</t>
  </si>
  <si>
    <t>Mengangkut 1 m3 tanah lepas, jarak angkut &gt; 300 m s.d 400 m</t>
  </si>
  <si>
    <t>1.4.1.10</t>
  </si>
  <si>
    <t>Mengangkut 1 m3 tanah lepas, jarak angkut &gt; 400 m s.d 500 m</t>
  </si>
  <si>
    <t>1.4.1.11</t>
  </si>
  <si>
    <t>Mengangkut 1 m3 tanah lepas, jarak angkut &gt; 500 m s.d 600 m</t>
  </si>
  <si>
    <t>1.4.1.12</t>
  </si>
  <si>
    <t>Mengangkut 1 m3 tanah lepas, jarak angkut &gt; 600 m untuk setiap penambahan jarak angkut 100m</t>
  </si>
  <si>
    <t>1.4.2</t>
  </si>
  <si>
    <t>Angkut Material dan / atau Hasil Galian Lainnya</t>
  </si>
  <si>
    <t>1.4.2.1</t>
  </si>
  <si>
    <t>1 m3 Pembuangan tanah lumpur sejauh 1 km</t>
  </si>
  <si>
    <t>1.4.2.2</t>
  </si>
  <si>
    <t>1 m3 Pembuangan tanah lumpur sejauh 2 km</t>
  </si>
  <si>
    <t>1.4.2.3</t>
  </si>
  <si>
    <t>1 m3 Pembuangan tanah lumpur sejauh 3 km</t>
  </si>
  <si>
    <t>1.4.2.4</t>
  </si>
  <si>
    <t>1 m3 Pembuangan tanah lumpur sejauh 4 km</t>
  </si>
  <si>
    <t>1.4.2.5</t>
  </si>
  <si>
    <t>1 m3 Pembuangan tanah lumpur sejauh 5 km</t>
  </si>
  <si>
    <t>1.5</t>
  </si>
  <si>
    <t>Pekerjaan Geotekstil dan Geomembran</t>
  </si>
  <si>
    <t>1.5.1</t>
  </si>
  <si>
    <t>1 m2 Pasangan Geotekstil, Tipis ( &gt; 100 s.d &lt;400 gr/m2), Secara Manual</t>
  </si>
  <si>
    <t>1.5.2</t>
  </si>
  <si>
    <t>1 m2 Pasangan Geotekstil, Tipis ( &gt; 100 s.d &lt;400 gr/m2), Secara Mekanis</t>
  </si>
  <si>
    <t>1.5.3</t>
  </si>
  <si>
    <t>1 m2 Pasangan Geotekstil, Tebal Sedang ( &gt; 400 s.d &lt;800 gr/m2), Secara Manual</t>
  </si>
  <si>
    <t>1.5.4</t>
  </si>
  <si>
    <t>1 m2 Pasangan Geotekstil, Tebal Sedang ( &gt; 400 s.d &lt;800 gr/m2), Secara Semi Mekanis( untuk bangunan gedung)</t>
  </si>
  <si>
    <t>1.5.5</t>
  </si>
  <si>
    <t>1 m2 Pasangan Geotekstil, Tebal (  &gt;800 gr/m2), Secara Manual ( untuk bangunan gedung)</t>
  </si>
  <si>
    <t>1.5.6</t>
  </si>
  <si>
    <t>1 m2 Pasangan Geotekstil, Tebal (  &gt;800 gr/m2), Secara Semi Mekanis ( untuk bangunan gedung)</t>
  </si>
  <si>
    <t>1.5.7</t>
  </si>
  <si>
    <t>1 m2 Pasangan Geomembran, t=1,5 mm, secara semi mekanis</t>
  </si>
  <si>
    <t>1.5.8</t>
  </si>
  <si>
    <t>1 m2 Pasangan Geosynthetic Clay Liner (GCL), secara semi mekanis</t>
  </si>
  <si>
    <t>1.6</t>
  </si>
  <si>
    <t>PEKERJAAN PEMBONGKARAN</t>
  </si>
  <si>
    <t>1.6.1</t>
  </si>
  <si>
    <t>Bongkaran 1 m3 pasangan batu (manual) untuk bangunan gedung</t>
  </si>
  <si>
    <t>1.6.2</t>
  </si>
  <si>
    <t>Bongkaran 1 m3 pasangan batu dengan jack hammer untuk bangunan gedung</t>
  </si>
  <si>
    <t>1.6.3</t>
  </si>
  <si>
    <t>Bongkaran 1 m3 beton mutu rendah f’c &lt; 20 MPa secara manual</t>
  </si>
  <si>
    <t>1.6.4</t>
  </si>
  <si>
    <t>Bongkaran 1 m3 beton mutu rendah f’c ≥ 20 MPa secara manual</t>
  </si>
  <si>
    <t>1.6.5</t>
  </si>
  <si>
    <t>Bongkaran 1 m3 beton mutu rendah f’c &lt; 20 MPa dengan jack hammer</t>
  </si>
  <si>
    <t>1.6.6</t>
  </si>
  <si>
    <t>Bongkaran 1 m3 beton mutu sedang 20 MPa ≤ f’c ≤ 40 MPa dengan jack hammer</t>
  </si>
  <si>
    <t>1.6.7</t>
  </si>
  <si>
    <t>Bongkaran 1 m3 pasangan bata merah secara manual</t>
  </si>
  <si>
    <t>1.6.8</t>
  </si>
  <si>
    <t>Bongkaran 1 m3 pasangan bata merah dengan jack hammer</t>
  </si>
  <si>
    <t>1.6.9</t>
  </si>
  <si>
    <t>Bongkaran 1 m3 rangka atap / reng/ kaso struktur kayu dan ditempatkan di pemyimpanan sementara (bongkaran tidak dipakai kembali)</t>
  </si>
  <si>
    <t>1.6.10</t>
  </si>
  <si>
    <t>Bongkaran 1 m3 kuda-kuda / gording/ balok kayu dan ditempatkan di pemyimpanan sementara (bogkaran dipakai kembali)</t>
  </si>
  <si>
    <t>1.6.11</t>
  </si>
  <si>
    <t>Bongkaran 1 m3 kuda-kuda / gording/ balok kayu dan ditempatkan di pemyimpanan sementara (bogkaran tidak dipakai kembali)</t>
  </si>
  <si>
    <t>1.6.12</t>
  </si>
  <si>
    <t>Bongkaran 1 m2 plafon termasuk rangka kayu/hollow dan ditempatkan di peyimpanan sementara (bongkaran tidak dipakai kembali)</t>
  </si>
  <si>
    <t>1.6.13</t>
  </si>
  <si>
    <t>Bongkaran 1 m2 plafon termasuk rangka kayu/hollow dan ditempatkan di peyimpanan sementara (bongkaran  dipakai kembali)</t>
  </si>
  <si>
    <t>2</t>
  </si>
  <si>
    <t>PEKERJAAN STRUKTUR</t>
  </si>
  <si>
    <t>2.1</t>
  </si>
  <si>
    <t>PEKERJAAN RANGKA ATAP</t>
  </si>
  <si>
    <t>2.1.1</t>
  </si>
  <si>
    <t>Rangka Atap Baja Ringan</t>
  </si>
  <si>
    <t>2.1.1.1</t>
  </si>
  <si>
    <t>Pemasangan 1 m2 rangka atap pelana baja ringan (canai dingin) profil C75</t>
  </si>
  <si>
    <t>2.1.1.2</t>
  </si>
  <si>
    <t>Pemasangan 1 m2 rangka atap jurai/limasan baja ringan (canai dingin) profil C75</t>
  </si>
  <si>
    <t>2.1.1.3</t>
  </si>
  <si>
    <t>Pemasangan 1 m Kaso Baja Ringan C75 tebal 0,75 mm</t>
  </si>
  <si>
    <t>2.1.1.4</t>
  </si>
  <si>
    <t>Pemasangan 1 m  Baja Ringan R.32 tebal 0,45 mm</t>
  </si>
  <si>
    <t>2.1.2</t>
  </si>
  <si>
    <t>Rangka Atap Kayu</t>
  </si>
  <si>
    <t>2.1.2.1</t>
  </si>
  <si>
    <t>Pemasangan 1 m3 konstruksi kuda-kuda konvensional, kayu kelas I, II, dan III bentang s.d. 6 meter</t>
  </si>
  <si>
    <t>2.1.2.2</t>
  </si>
  <si>
    <t>Pemasangan 1 m3 konstruksi kuda-kuda ekspose, kayu kelas I</t>
  </si>
  <si>
    <t>2.1.2.3</t>
  </si>
  <si>
    <t>Pemasangan 1 m3 konstruksi gordeng, kayu kelas II</t>
  </si>
  <si>
    <t>2.1.2.4</t>
  </si>
  <si>
    <t>Pemasangan 1 m2 rangka atap genteng keramik, kayu kelas II</t>
  </si>
  <si>
    <t>2.1.2.5</t>
  </si>
  <si>
    <t>Pemasangan 1 m2 rangka atap genteng beton, kayu kelas II</t>
  </si>
  <si>
    <t>2.1.2.6</t>
  </si>
  <si>
    <t>Pemasangan 1 m2 rangka atap sirap, kayu kelas II</t>
  </si>
  <si>
    <t>2.2</t>
  </si>
  <si>
    <t>PEKERJAAN STRUKTUR BETON</t>
  </si>
  <si>
    <t>2.2.1</t>
  </si>
  <si>
    <t>Struktur Atas</t>
  </si>
  <si>
    <t>2.2.1.1</t>
  </si>
  <si>
    <t>Penulangan Beton</t>
  </si>
  <si>
    <t>2.2.1.1.1</t>
  </si>
  <si>
    <t>1 kg penulangan slab untuk BjTP atau BjTS dia. &lt; 12 mm, cara manual (untuk bangunan gedung)</t>
  </si>
  <si>
    <t>kg</t>
  </si>
  <si>
    <t>2.2.1.1.1a</t>
  </si>
  <si>
    <t>1 kg penulangan slab untuk  BjTS atau BjTS dia. &lt; 12 mm, cara manual (untuk bangunan gedung)</t>
  </si>
  <si>
    <t>2.2.1.1.2</t>
  </si>
  <si>
    <t>1 kg penulangan slab untuk BjTP dia. ≥ 12 mm, cara semi mekanis (untuk bangunan gedung)</t>
  </si>
  <si>
    <t>2.2.1.1.2a</t>
  </si>
  <si>
    <t>1 kg penulangan slab untuk BjTS dia. ≥ 12 mm, cara semi mekanis (untuk bangunan gedung)</t>
  </si>
  <si>
    <t>2.2.1.1.3</t>
  </si>
  <si>
    <t>1 kg Penulangan Kolom, Balok, Ring Balk dan Sloof untuk BjTP diameter &lt;12 mm cara Manual</t>
  </si>
  <si>
    <t>2.2.1.1.3a</t>
  </si>
  <si>
    <t>1 kg Penulangan Kolom, Balok, Ring Balk dan Sloof untuk BjTS diameter &lt;12 mm cara Manual</t>
  </si>
  <si>
    <t>2.2.1.1.4</t>
  </si>
  <si>
    <t>1 kg penulangan kolom, balok, ring balk, sloof, dan shearwall untuk BjTP  dia. ≥ 12 mm, cara semi mekanis (untuk bangunan gedung)</t>
  </si>
  <si>
    <t>2.2.1.1.4a</t>
  </si>
  <si>
    <t>1 kg penulangan kolom, balok, ring balk, sloof, dan shearwall untuk BjTPS  dia. ≥ 12 mm, cara semi mekanis (untuk bangunan gedung)</t>
  </si>
  <si>
    <t>Kg</t>
  </si>
  <si>
    <t>2.2.1.1.5</t>
  </si>
  <si>
    <t>1 kg penulangan wiremesh M6-M10 untuk slab atau dinding atau ferrocement, secara manual (untuk bangunan gedung)</t>
  </si>
  <si>
    <t>2.2.1.1.6</t>
  </si>
  <si>
    <t>1 kg penulangan wiremesh M6-M10 untuk slab atau dinding atau ferrocement, secara semi mekanis</t>
  </si>
  <si>
    <t>2.2.1.1.7</t>
  </si>
  <si>
    <t>Menaikkan 1 kg tulangan tiap kenaikan vertikal 4 m ke tapak pemasangan secara manual (untuk bangunan gedung)</t>
  </si>
  <si>
    <t>2.2.1.1.8</t>
  </si>
  <si>
    <t>Mengangkut 1 kg tulangan tiap tambahan jarak horizontal 25 m ke tapak pemasangan secara manual (untuk bangunan gedung)</t>
  </si>
  <si>
    <t>2.2.1.1.9</t>
  </si>
  <si>
    <t>Mengangkut/menaikkan 1 kg tulangan tiap kenaikan vertikal 4 m atau tambahan jarak horizontal 25 m ke tapak pemasangan secara mekanis (untuk bangunan gedung)</t>
  </si>
  <si>
    <t>2.2.1.2</t>
  </si>
  <si>
    <t>Pemasangan 1 m' PVC waterstop</t>
  </si>
  <si>
    <t>2.2.1.2.1</t>
  </si>
  <si>
    <t>Pemasangan 1 m' PVC waterstop lebar 150 mm (untuk bangunan gedung)</t>
  </si>
  <si>
    <t>m</t>
  </si>
  <si>
    <t>2.2.1.2.2</t>
  </si>
  <si>
    <t>Pemasangan 1 m' PVC waterstop lebar 200 mm</t>
  </si>
  <si>
    <t>2.2.1.2.3</t>
  </si>
  <si>
    <t>Pemasangan 1 m' PVC waterstop lebar 230-320 mm</t>
  </si>
  <si>
    <t>2.2.1.3</t>
  </si>
  <si>
    <t>Pemasangan dan Pembongkaran Bekisting</t>
  </si>
  <si>
    <t>2.2.1.3.1</t>
  </si>
  <si>
    <t>Pemasangan 1 m2 bekisting untuk pondasi telapak (3 kali pakai)</t>
  </si>
  <si>
    <t>2.2.1.3.2</t>
  </si>
  <si>
    <t>Pemasangan 1 m2 bekisting untuk sloof  (3 kali pakai)</t>
  </si>
  <si>
    <t>2.2.1.3.3</t>
  </si>
  <si>
    <t>Pemasangan 1 m2 bekisting untuk kolom (3 kali pakai)</t>
  </si>
  <si>
    <t>2.2.1.3.4</t>
  </si>
  <si>
    <t>Pemasangan 1 m2 bekisting untuk balok (3 kali pakai)</t>
  </si>
  <si>
    <t>2.2.1.3.5</t>
  </si>
  <si>
    <t>Pemasangan 1 m2 bekisting untuk plat lantai (3 kali pakai)</t>
  </si>
  <si>
    <t>2.2.1.3.6</t>
  </si>
  <si>
    <t>Pemasangan 1 m2 bekisting untuk dinding shearwall (3 kali pakai)</t>
  </si>
  <si>
    <t>2.2.1.3.7</t>
  </si>
  <si>
    <t>Pemasangan 1 m2 bekisting untuk tangga (3 kali pakai)</t>
  </si>
  <si>
    <t>2.2.1.3.8</t>
  </si>
  <si>
    <t>Pemasangan 1 m2 bekisting jembatan untuk pengecoran beton (3 kali pakai)</t>
  </si>
  <si>
    <t>2.2.1.3.9</t>
  </si>
  <si>
    <t>Pembongkaran 1 m2 bekisting secara biasa pada bangunan gedung (termasuk membersihkan dan membereskan puing-puing)</t>
  </si>
  <si>
    <t>2.2.1.3.10</t>
  </si>
  <si>
    <t>Pembongkaran 1 m2 bekisting secara hati-hati pada bangunan gedung (untuk beton expose dan/atau pemanfaatan kembali bekisting)</t>
  </si>
  <si>
    <t>2.2.1.4</t>
  </si>
  <si>
    <t>Pembuatan S.D Pengecoran Campuran Beton Secara Manual</t>
  </si>
  <si>
    <t>2.2.1.4.1</t>
  </si>
  <si>
    <t>1 m3 beton mutu rendah f'c 7,5 MPa, slump (100 ± 25) mm, agregat maks 19 mm secara manual</t>
  </si>
  <si>
    <t>2.2.1.4.2</t>
  </si>
  <si>
    <t>1 m3 beton mutu rendah f'c 10 MPa, slump (100 ± 25) mm, agregat maks 19 mm secara manual</t>
  </si>
  <si>
    <t>2.2.1.4.3</t>
  </si>
  <si>
    <t>1 m3 beton mutu rendah f'c 15 MPa, slump (100 ± 25) mm, agregat maks 19 mm secara manual</t>
  </si>
  <si>
    <t>2.2.1.4.4</t>
  </si>
  <si>
    <t>1 m3 beton mutu rendah f'c 17 MPa, slump (100 ± 25) mm, agregat maks 19 mm secara manual</t>
  </si>
  <si>
    <t>2.2.1.4.5</t>
  </si>
  <si>
    <t>1 m3 beton mutu sedang f'c 20 MPa, slump (100 ± 25) mm, agregat maks 19 mm secara manual</t>
  </si>
  <si>
    <t>2.2.1.4.6</t>
  </si>
  <si>
    <t>1 m3 beton mutu sedang f'c 21 MPa, slump (100 ± 25) mm, agregat maks 19 mm secara manual</t>
  </si>
  <si>
    <t>2.2.4.5</t>
  </si>
  <si>
    <t>Pembuatan s.d. Pengecoran Campuran Beton Secara Mekanis</t>
  </si>
  <si>
    <t>2.2.1.5.1</t>
  </si>
  <si>
    <t>1 m3 beton mutu rendah f'c 10 MPa, slump (100 ± 25) mm, agregat maks 19 mm secara semi mekanis</t>
  </si>
  <si>
    <t>2.2.1.5.2</t>
  </si>
  <si>
    <t>1 m3 beton mutu rendah f'c 15 MPa, slump (100 ± 25) mm, agregat maks 19 mm secara semi mekanis</t>
  </si>
  <si>
    <t>2.2.1.5.3</t>
  </si>
  <si>
    <t>1 m3 beton mutu rendah f'c 17 MPa, slump (100 ± 25) mm, agregat maks 19 mm secara semi mekanis</t>
  </si>
  <si>
    <t>2.2.1.5.4</t>
  </si>
  <si>
    <t>1 m3 beton mutu sedang f'c 20 MPa, slump (100 ± 25) mm, agregat maks 19 mm secara semi mekanis</t>
  </si>
  <si>
    <t>2.2.1.5.5</t>
  </si>
  <si>
    <t>1 m3 beton mutu sedang f'c 21 MPa, slump (100 ± 25) mm, agregat maks 19 mm secara semi mekanis</t>
  </si>
  <si>
    <t>2.2.1.5.6</t>
  </si>
  <si>
    <t>1 m3 beton mutu sedang f'c 25 MPa, slump (100 ± 25) mm, agregat maks 19 mm secara semi mekanis</t>
  </si>
  <si>
    <t>2.2.1.5.7</t>
  </si>
  <si>
    <t>1 m3 beton mutu sedang f'c 28 MPa, slump (100 ± 25) mm, agregat maks 19 mm secara semi mekanis</t>
  </si>
  <si>
    <t>2.2.1.5.8</t>
  </si>
  <si>
    <t>1 m3 beton mutu sedang f'c 30 MPa, slump (100 ± 25) mm, agregat maks 19 mm secara semi mekanis</t>
  </si>
  <si>
    <t>2.2.1.5.9</t>
  </si>
  <si>
    <t>1 m3 beton mutu sedang f'c 31 MPa, slump (100 ± 25) mm, agregat maks 19 mm secara semi mekanis</t>
  </si>
  <si>
    <t>2.2.1.5.10</t>
  </si>
  <si>
    <t>1 m3 beton mutu sedang f'c 35 MPa, slump (100 ± 25) mm, agregat maks 19 mm secara semi mekanis</t>
  </si>
  <si>
    <t>2.2.1.5.11</t>
  </si>
  <si>
    <t>1 m3 beton kedap air dengan aditif secara semi mekanis</t>
  </si>
  <si>
    <t>2.2.1.6</t>
  </si>
  <si>
    <t>Pengecoran  Campuran Beton Ready Mix</t>
  </si>
  <si>
    <t>2.2.1.6.1</t>
  </si>
  <si>
    <t>Pengecoran 1 m3  menggunakan ready mixed (untuk bangunan gedung)</t>
  </si>
  <si>
    <t>2.2.1.7</t>
  </si>
  <si>
    <t>Angkat dan Angkut Campuran Beton</t>
  </si>
  <si>
    <t>2.2.1.7.1</t>
  </si>
  <si>
    <t>1 m3 beton dicorkan pada tapak setiap tambah jarak 25 m', secara manual</t>
  </si>
  <si>
    <t>2.2.1.7.2</t>
  </si>
  <si>
    <t>1 m3 beton dicorkan pada tapak setiap kenaikan 4 m', secara manual</t>
  </si>
  <si>
    <t>2.2.1.7.3</t>
  </si>
  <si>
    <t>Pengecoran pakai pompa beton ø 1,5"; 5 KW; 8 bar; T = 5 m' (untuk Bangunan Gedung)</t>
  </si>
  <si>
    <t>2.2.1.7.4</t>
  </si>
  <si>
    <t>Pengecoran pakai pompa beton ø 2,5", 20 KW, 20 bar, T = 18m'</t>
  </si>
  <si>
    <t>2.2.1.7.5</t>
  </si>
  <si>
    <t>Pengecoran pakai pompa beton ∅ 2,5”, 75 KW; 120 bar, T = 50 m’/H= 80 m’</t>
  </si>
  <si>
    <t>2.2.1.7.6</t>
  </si>
  <si>
    <t>Pengecoran pakai pompa beton ∅ 3”,140 KW; 180 bar, T=75 m'/H=150 m'</t>
  </si>
  <si>
    <t>2.2.1.8</t>
  </si>
  <si>
    <t>Pemadatan Beton Pada Saat Pengecoran</t>
  </si>
  <si>
    <t>2.2.1.8.1</t>
  </si>
  <si>
    <t>Pemadatan 1 m3 beton dengan baja tulangan pada bangunan gedung</t>
  </si>
  <si>
    <t>2.2.1.8.2</t>
  </si>
  <si>
    <t>Pemadatan 1 m3 beton menggunakan vibrator pada bangunan gedung</t>
  </si>
  <si>
    <t>2.2.1.9</t>
  </si>
  <si>
    <t>Pelaksanaan Curing (Pemeliharaan)</t>
  </si>
  <si>
    <t>2.2.1.9.1</t>
  </si>
  <si>
    <t>Menggenangi 1 m2 permukaan beton dengan air selama 4 hari (untuk bangunan gedung)</t>
  </si>
  <si>
    <t>2.2.1.9.2</t>
  </si>
  <si>
    <t>Menyirami 1 m2 permukaan beton menggunakan media kain terpal selama 4 hari (untuk Bangunan Gedung)</t>
  </si>
  <si>
    <t>2.2.1.9.3</t>
  </si>
  <si>
    <t>Menyirami 1 m2 permukaan beton menggunakan media karung goni selama 4 hari</t>
  </si>
  <si>
    <t>2.2.1.10</t>
  </si>
  <si>
    <t>Kolom /Balok Praktis</t>
  </si>
  <si>
    <t>2.2.1.10.1</t>
  </si>
  <si>
    <t>Pembuatan 1 m' kolom praktis beton bertulang (11x11)</t>
  </si>
  <si>
    <t>2.2.1.10.2</t>
  </si>
  <si>
    <t>Pembuatan 1 m' balok praktis beton bertulang (10x15)</t>
  </si>
  <si>
    <t>2.2.1.11</t>
  </si>
  <si>
    <t>Grouting</t>
  </si>
  <si>
    <t>2.2.1.11.1</t>
  </si>
  <si>
    <t>1 m3 pekerjaan grouting secara manual pada bangunan gedung</t>
  </si>
  <si>
    <t>2.2.1.11.2</t>
  </si>
  <si>
    <t>1 kg pekerjaan grouting secara injeksi pada bangunan gedung</t>
  </si>
  <si>
    <t>2.2.2</t>
  </si>
  <si>
    <t>Struktur Bawah</t>
  </si>
  <si>
    <t>2.2.2.1</t>
  </si>
  <si>
    <t>Fondasi Menerus Batu Belah</t>
  </si>
  <si>
    <t>2.2.2.1.1</t>
  </si>
  <si>
    <t>Pemasangan 1 m3 batu kosong (anstamping) untuk pondasi gedung</t>
  </si>
  <si>
    <t>2.2.2.1.2</t>
  </si>
  <si>
    <t>Pemasangan 1 m3 pondasi batu belah mortar tipe M 17,5 Mpa setara 1SP : 2PP, cara manual</t>
  </si>
  <si>
    <t>2.2.2.1.3</t>
  </si>
  <si>
    <t>Pemasangan 1 m3 pondasi batu belah mortar tipe M 17,5 Mpa (setara 1SP : 2PP), cara semi mekanis</t>
  </si>
  <si>
    <t>2.2.2.1.4</t>
  </si>
  <si>
    <t>Pemasangan 1 m3 pondasi batu belah mortar tipe S 12,5 Mpa (setara 1SP : 3PP), cara manual</t>
  </si>
  <si>
    <t>2.2.2.1.5</t>
  </si>
  <si>
    <t>Pemasangan 1 m3 pondasi batu belah mortar tipe S 12,5 Mpa (setara 1SP : 3PP), cara semi mekanis</t>
  </si>
  <si>
    <t>2.2.2.1.6</t>
  </si>
  <si>
    <t>Pemasangan 1 m3 pondasi batu belah mortar tipe N 5,2 Mpa (setara 1SP : 4PP), cara manual</t>
  </si>
  <si>
    <t>2.2.2.1.7</t>
  </si>
  <si>
    <t>Pemasangan 1 m3 pondasi batu belah mortar tipe N 5,2 Mpa (setara 1SP : 4PP), cara semi mekanis</t>
  </si>
  <si>
    <t>2.2.2.1.8</t>
  </si>
  <si>
    <t>Pemasangan 1 m3 pondasi batu belah mortar tipe O 2,4 Mpa (setara 1SP : 5PP), cara manual</t>
  </si>
  <si>
    <t>2.2.2.1.9</t>
  </si>
  <si>
    <t>Pemasangan 1 m3 pondasi batu belah mortar tipe O 2,4 Mpa (setara 1SP : 5PP), cara semi mekanis</t>
  </si>
  <si>
    <t>2.2.2.1.10</t>
  </si>
  <si>
    <t>Pemasangan 1 m3 pondasi batu belah campuran 1SP : 6PP, cara manual</t>
  </si>
  <si>
    <t>2.2.2.2.11</t>
  </si>
  <si>
    <t>Pemasangan 1 m3 pondasi batu belah campuran 1SP : 6PP, cara semi mekanis</t>
  </si>
  <si>
    <t>2.2.2.2</t>
  </si>
  <si>
    <t>Pondasi Sumuran Beton Siklop</t>
  </si>
  <si>
    <t>2.2.2.2.1</t>
  </si>
  <si>
    <t>Pembuatan 1 m3 pondasi beton siklop, 60% beton fc' 15 MPa : 40% batu belah untuk vol. s.d 200 m3 secara manual</t>
  </si>
  <si>
    <t>2.2.2.2.2</t>
  </si>
  <si>
    <t>Pembuatan 1 m3 pondasi beton siklop, 60% beton fc' 15 MPa : 40% batu belah untuk vol. &gt; 200 m3 secara manual</t>
  </si>
  <si>
    <t>2.2.2.2.3</t>
  </si>
  <si>
    <t>Pembuatan 1 m3 pondasi beton siklop, 60% beton fc' 15 MPa : 40% batu belah untuk vol. &gt; 200 m3 secara semi mekanis</t>
  </si>
  <si>
    <t>2.2.2.2.4</t>
  </si>
  <si>
    <t>Pembuatan 1 m3 pondasi beton siklop, 70% beton fc' 15 MPa : 30% batu belah untuk vol. &gt; 200 m3 secara manual</t>
  </si>
  <si>
    <t>2.2.2.2.5</t>
  </si>
  <si>
    <t>Pembuatan 1 m3 pondasi beton siklop, 70% beton fc' 15 MPa : 30% batu belah untuk vol. &gt; 200 m3 secara semi mekanis</t>
  </si>
  <si>
    <t>2.2.2.2.6</t>
  </si>
  <si>
    <t>Pembuatan 1 m3 pondasi sumuran, diameter 100 cm masif</t>
  </si>
  <si>
    <t>2.2.2.3</t>
  </si>
  <si>
    <t>Pondasi Strauss Pile dan Bore Pile</t>
  </si>
  <si>
    <t>2.2.2.3.1</t>
  </si>
  <si>
    <t>Pengeboran 1 m' lubang bored pile φ 20 cm pada pada tanah lunak (manual)</t>
  </si>
  <si>
    <t>2.2.2.3.2</t>
  </si>
  <si>
    <t>Pengeboran 1 m' lubang bored pile φ 20 cm pada pada tanah sedang (manual)</t>
  </si>
  <si>
    <t>2.2.2.3.3</t>
  </si>
  <si>
    <t>Pengeboran 1 m' lubang bored pile φ 20 cm pada pada tanah keras, sangat padat, dan batuan lunak (manual)</t>
  </si>
  <si>
    <t>2.2.2.3.4</t>
  </si>
  <si>
    <t>Pengeboran 1 m' lubang bored pile φ 20 cm pada tanah berbatu (manual)</t>
  </si>
  <si>
    <t>2.2.2.3.5</t>
  </si>
  <si>
    <t>Pengeboran 1 m' lubang bored pile φ 30 cm pada tanah lunak (manual)</t>
  </si>
  <si>
    <t>2.2.2.3.6</t>
  </si>
  <si>
    <t>Pengeboran 1 m' lubang bored pile φ 30 cm pada tanah sedang (manual)</t>
  </si>
  <si>
    <t>2.2.2.3.7</t>
  </si>
  <si>
    <t>Pengeboran 1 m' lubang bored pile φ 30 cm pada pada tanah keras, sangat padat, dan batuan lunak (manual)</t>
  </si>
  <si>
    <t>2.2.2.3.8</t>
  </si>
  <si>
    <t>Pengeboran 1 m' lubang bored pile φ 30 cm pada tanah berbatu (manual)</t>
  </si>
  <si>
    <t>2.2.2.3.9</t>
  </si>
  <si>
    <t>Pengeboran 1 m' lubang bored pile φ 40 cm pada tanah lunak (manual)</t>
  </si>
  <si>
    <t>2.2.2.3.10</t>
  </si>
  <si>
    <t>Pengeboran 1 m' lubang bored pile φ 40 cm pada tanah sedang (manual)</t>
  </si>
  <si>
    <t>2.2.2.3.11</t>
  </si>
  <si>
    <t>Pengeboran 1 m' lubang bored pile φ 40 cm pada pada tanah keras, sangat padat, dan batuan lunak (manual)</t>
  </si>
  <si>
    <t>2.2.2.3.12</t>
  </si>
  <si>
    <t>Pengeboran 1 m' lubang bored pile φ 40 cm pada tanah berbatu (manual)</t>
  </si>
  <si>
    <t>2.2.2.3.13</t>
  </si>
  <si>
    <t>Pengeboran 1 m' lubang bored pile φ 50 cm pada tanah lunak (manual)</t>
  </si>
  <si>
    <t>2.2.2.3.14</t>
  </si>
  <si>
    <t>Pengeboran 1 m' lubang bored pile φ 50 cm pada tanah sedang (manual)</t>
  </si>
  <si>
    <t>2.2.2.3.15</t>
  </si>
  <si>
    <t>Pengeboran 1 m' lubang bored pile φ 50 cm pada pada tanah keras, sangat padat, dan batuan lunak (manual)</t>
  </si>
  <si>
    <t>2.2.2.3.16</t>
  </si>
  <si>
    <t>Pengeboran 1 m' lubang bored pile φ 50 cm pada tanah berbatu (manual)</t>
  </si>
  <si>
    <t>2.2.2.3.17</t>
  </si>
  <si>
    <t>Pengeboran 1 m' lubang bored pile φ 60 cm (mekanis) untuk  bangunan gedung</t>
  </si>
  <si>
    <t>2.2.2.3.18</t>
  </si>
  <si>
    <t>Pengeboran 1 m' lubang bored pile φ 80 cm (mekanis) untuk  bangunan gedung</t>
  </si>
  <si>
    <t>2.2.2.3.19</t>
  </si>
  <si>
    <t>Pengeboran 1 m' lubang bored pile φ 100 cm (mekanis) untuk  bangunan gedung</t>
  </si>
  <si>
    <t>2.2.2.3.20</t>
  </si>
  <si>
    <t>Pengeboran 1 m' lubang bored pile φ 120 cm (mekanis) untuk  bangunan gedung</t>
  </si>
  <si>
    <t>2.2.2.4</t>
  </si>
  <si>
    <t>Pondasi Tiang Pancang</t>
  </si>
  <si>
    <t>2.2.2.4.1</t>
  </si>
  <si>
    <t>Per m' penetrasi Tiang Beton ∆  28 cm secara mekanis</t>
  </si>
  <si>
    <t>2.2.2.4.2</t>
  </si>
  <si>
    <t>Per m' penetrasi Tiang Beton ∆  32 cm secara mekanis</t>
  </si>
  <si>
    <t>2.2.2.4.3</t>
  </si>
  <si>
    <t>Per m' penetrasi Tiang Beton persegi 20cm x 20 cm secara mekanis</t>
  </si>
  <si>
    <t>2.2.2.4.4</t>
  </si>
  <si>
    <t>Per m' penetrasi Tiang Beton persegi 25 cm x 25 cm secara mekanis</t>
  </si>
  <si>
    <t>2.2.2.4.5</t>
  </si>
  <si>
    <t>Per m' penetrasi Tiang Beton persegi 30 cm x 30 cm secara mekanis</t>
  </si>
  <si>
    <t>2.2.2.4.6</t>
  </si>
  <si>
    <t>Per m' penetrasi Tiang Beton persegi 35 cm x 35 cm secara mekanis</t>
  </si>
  <si>
    <t>2.2.2.4.7</t>
  </si>
  <si>
    <t>Per m' penetrasi Tiang Beton persegi 40 cm x 40 cm secara mekanis</t>
  </si>
  <si>
    <t>2.2.2.4.8</t>
  </si>
  <si>
    <t>Per m' penetrasi Tiang Beton persegi 45 cm x 45 cm secara mekanis</t>
  </si>
  <si>
    <t>2.2.2.4.9</t>
  </si>
  <si>
    <t>Per m' penetrasi Tiang Beton persegi 50 cm x 50 cm secara mekanis</t>
  </si>
  <si>
    <t>2.2.2.4.10</t>
  </si>
  <si>
    <t>Per m' penetrasi Spun Pile Diameter 30 cm secara mekanis</t>
  </si>
  <si>
    <t>2.2.2.4.11</t>
  </si>
  <si>
    <t>Per m' penetrasi Spun Pile Diameter 35 cm secara mekanis</t>
  </si>
  <si>
    <t>2.2.2.4.12</t>
  </si>
  <si>
    <t>Per m' penetrasi Spun Pile Diameter 40 cm secara mekanis</t>
  </si>
  <si>
    <t>2.2.2.4.13</t>
  </si>
  <si>
    <t>Per m' penetrasi Spun Pile Diameter 45 cm secara mekanis</t>
  </si>
  <si>
    <t>2.2.2.4.14</t>
  </si>
  <si>
    <t>Per m' penetrasi Spun Pile Diameter 50 cm secara mekanis</t>
  </si>
  <si>
    <t>2.2.2.4.15</t>
  </si>
  <si>
    <t>Per m' penetrasi Spun Pile Diameter 60 cm secara mekanis</t>
  </si>
  <si>
    <t>2.2.2.4.16</t>
  </si>
  <si>
    <t>Per m' Pengelasan Tiang Beton tebal 5 mm</t>
  </si>
  <si>
    <t>2.2.2.4.17</t>
  </si>
  <si>
    <t>Per m' Pengelasan Tiang Beton tebal 6 mm</t>
  </si>
  <si>
    <t>2.2.2.4.18</t>
  </si>
  <si>
    <t>Per m' Pengelasan Tiang Beton tebal 8 mm</t>
  </si>
  <si>
    <t>2.2.2.4.19</t>
  </si>
  <si>
    <t>Per m' Pengelasan Tiang Beton tebal 10 mm</t>
  </si>
  <si>
    <t>2.2.2.5</t>
  </si>
  <si>
    <t>Concrete Sheet Pile</t>
  </si>
  <si>
    <t>2.2.2.5.1</t>
  </si>
  <si>
    <t>Per m' penetrasi turap beton pre-cast 12 x 30 cm , pjg -4 m; berat 100 kg/m'</t>
  </si>
  <si>
    <t>2.2.2.5.2</t>
  </si>
  <si>
    <t>Per m' penetrasi turap beton pre-cast 15 x 40 cm , pjg -4 m; berat 150 kg/m'</t>
  </si>
  <si>
    <t>2.2.2.5.3</t>
  </si>
  <si>
    <t>Per m' penetrasi turap beton pre-cast 22 x 50 cm , pjg -4 m; berat 275 kg/m'</t>
  </si>
  <si>
    <t>2.2.2.5.4</t>
  </si>
  <si>
    <t>Per m' penetrasi turap beton pre-cast 32 x 50 cm , pjg -4 m; berat 400 kg/m'</t>
  </si>
  <si>
    <t>2.2.2.5.5</t>
  </si>
  <si>
    <t>Per m' penetrasi turap beton tulang  pre-cast W-400; ebar 1,0 m; pjg -4 m; berat 350 kg/m'</t>
  </si>
  <si>
    <t>2.2.2.5.6</t>
  </si>
  <si>
    <t>Per m' penetrasi turap beton tulang  pre-cast W-600; lebar 1,0 m; pjg -4 m; berat 375 kg/m' (untuk bangunan gedung)</t>
  </si>
  <si>
    <t>2.3</t>
  </si>
  <si>
    <t>PEKERJAAN STRUKTUR BAJA</t>
  </si>
  <si>
    <t>2.23.1</t>
  </si>
  <si>
    <t>2.3.1.1</t>
  </si>
  <si>
    <t>1 kg Pabrikasi dan Ereksi Baja Profil</t>
  </si>
  <si>
    <t>2.3.1.2</t>
  </si>
  <si>
    <t>1 kg Pemasangan angkur</t>
  </si>
  <si>
    <t>2.3.1.3</t>
  </si>
  <si>
    <t>1 kg Pemasangan baut</t>
  </si>
  <si>
    <t>2.3.1.4</t>
  </si>
  <si>
    <t>1 kg pekerjaan  baja pelat secara semi mekanis</t>
  </si>
  <si>
    <t>2.3.1.5</t>
  </si>
  <si>
    <t>1 kg pekerjaan  baja profil siku dengan pengelasan secara semi mekanis</t>
  </si>
  <si>
    <t>2.3.1.6</t>
  </si>
  <si>
    <t>1 kg pekerjaan  baja profil siku tanpa pengelasan secara manual</t>
  </si>
  <si>
    <t>2.4</t>
  </si>
  <si>
    <t>Pekerjaan Struktur Beton Pracetak</t>
  </si>
  <si>
    <t>2.4.1</t>
  </si>
  <si>
    <t>Pembuatan Bekisting</t>
  </si>
  <si>
    <t>2.4.1.1</t>
  </si>
  <si>
    <t>Pembuatan 1 m2 Bekisting untuk pelat Beton Pracetak Komponen Modular Bangunan gedung ( 5kali pakai )</t>
  </si>
  <si>
    <t>2.4.1.2</t>
  </si>
  <si>
    <t>Pembuatan 1 m2 Bekisting untuk balok Beton Pracetak ( 10 - 12 kali pakai )</t>
  </si>
  <si>
    <t>2.4.1.3</t>
  </si>
  <si>
    <t>Pembuatan 1 m2 Bekisting untuk kolom Beton Pracetak ( 10 - 12 kali pakai )</t>
  </si>
  <si>
    <t>2.4.1.4</t>
  </si>
  <si>
    <t>Pemasangan 1 titik bekisting joint pracetak</t>
  </si>
  <si>
    <t>2.4.2</t>
  </si>
  <si>
    <t>Pemasangan dan Membuka Cetakan</t>
  </si>
  <si>
    <t>2.4.2.1</t>
  </si>
  <si>
    <t>Pemasangan dan membuka cetakan 1 buah komponen pelat beton pracetak</t>
  </si>
  <si>
    <t>2.4.2.2</t>
  </si>
  <si>
    <t>Pemasangan dan membuka cetakan 1 buah komponen balok beton pracetak</t>
  </si>
  <si>
    <t>2.4.2.3</t>
  </si>
  <si>
    <t>Pemasangan dan membuka cetakan 1 buah komponen kolom beton pracetak</t>
  </si>
  <si>
    <t>2.4.3</t>
  </si>
  <si>
    <t>Penuangan / Menebar Beton</t>
  </si>
  <si>
    <t>2.4.3.1</t>
  </si>
  <si>
    <t>Penuangan / Menebar Beton 1 m3 untuk Pelat Beton Pracetak</t>
  </si>
  <si>
    <t>2.4.3.2</t>
  </si>
  <si>
    <t>Penuangan / Menebar Beton 1 m3 untuk Balok Beton Pracetak</t>
  </si>
  <si>
    <t>2.4.3.3</t>
  </si>
  <si>
    <t>Penuangan / Menebar Beton 1 m3 untuk KOLOM Beton Pracetak</t>
  </si>
  <si>
    <t>2.4.4</t>
  </si>
  <si>
    <t>Pemindahan Komponen Pracetak</t>
  </si>
  <si>
    <t>2.4.4.1</t>
  </si>
  <si>
    <t>Pemindahan 1 buah Komponen untuk Pelat Pracetak (± 20 m)</t>
  </si>
  <si>
    <t>2.4.4.2</t>
  </si>
  <si>
    <t>Pemindahan 1 buah Komponen untuk Balok Pracetak (± 20 m)</t>
  </si>
  <si>
    <t>2.4.4.3</t>
  </si>
  <si>
    <t>Pemindahan 1 buah Komponen untuk Kolom Pracetak (± 20 m)</t>
  </si>
  <si>
    <t>2.4.5</t>
  </si>
  <si>
    <t>Pemasagan dan Ereksi Komponen Pracetak</t>
  </si>
  <si>
    <t>2.4.5.1</t>
  </si>
  <si>
    <t>Pemasangan 1 buah Komponen untuk Pelat Beton Pracetak Beserta Indeks Kenaikan Lantai Ereksi Pelat  Hingga 24 Lantai</t>
  </si>
  <si>
    <t>2.4.5.2</t>
  </si>
  <si>
    <t>Pemasangan 1 buah Komponen untuk Balok  Pracetak Beserta Indeks Kenaikan Lantai Ereksi Pelat  Hingga 24 Lantai</t>
  </si>
  <si>
    <t>2.4.5.3</t>
  </si>
  <si>
    <t>Ereksi 1 buah komponen untuk pelat pracetak</t>
  </si>
  <si>
    <t>2.4.5.4</t>
  </si>
  <si>
    <t>Ereksi 1 buah komponen untuk balok pracetak</t>
  </si>
  <si>
    <t>2.4.5.5</t>
  </si>
  <si>
    <t>Ereksi 1 buah komponen untuk kolom pracetak</t>
  </si>
  <si>
    <t>2.4.5.6</t>
  </si>
  <si>
    <t>Upah 1 tititk pekerjaan Grout pada Joint Beton Pracetak</t>
  </si>
  <si>
    <t>titik</t>
  </si>
  <si>
    <t>2.4.5.7</t>
  </si>
  <si>
    <t>Upah 1 titik joint dengan sling</t>
  </si>
  <si>
    <t>2.4.6</t>
  </si>
  <si>
    <t>Produksi Lahan</t>
  </si>
  <si>
    <t>2.4.6.1</t>
  </si>
  <si>
    <t>Pembuatan 1 m2 lahan produksi tebal 8 cm beton fc' = 14.5 Mpa, slump ( 120 ± 20) mm</t>
  </si>
  <si>
    <t>2.4.6.2</t>
  </si>
  <si>
    <t>Pembuatan 1 m2 lahan produksi tebal 10 cm beton fc' = 14.5 Mpa, slump ( 120 ± 20) mm</t>
  </si>
  <si>
    <t>2.4.6.3</t>
  </si>
  <si>
    <t>Pembuatan 1 m2 lahan produksi tebal 12 cm beton fc' = 14.5 Mpa, slump ( 120 ± 20) mm</t>
  </si>
  <si>
    <t>2.4.6.4</t>
  </si>
  <si>
    <t>Pembuatan 1 m2 lahan produksi tebal 15 cm beton fc' = 14.5 Mpa, slump ( 120 ± 20) mm</t>
  </si>
  <si>
    <t>2.5</t>
  </si>
  <si>
    <t>PEKERJAAN STRUKTUR BETON PRATEGANG</t>
  </si>
  <si>
    <t>2.5.1</t>
  </si>
  <si>
    <t>Pemasangan 1 kg kabel prategang (prestressed) polos/strand</t>
  </si>
  <si>
    <t>2.6</t>
  </si>
  <si>
    <t>Pekerjaan Struktur Kayu</t>
  </si>
  <si>
    <t>2.6.1</t>
  </si>
  <si>
    <t>2.6.2</t>
  </si>
  <si>
    <t>Pemancangan Tiang Kayu / Cerucuk Bambu/ Dolken</t>
  </si>
  <si>
    <t>2.6.2.1</t>
  </si>
  <si>
    <t>Pemancangan per m' tiang pancang kayu atau dolken dia. 6-8 cm</t>
  </si>
  <si>
    <t>2.6.2.2</t>
  </si>
  <si>
    <t>Pemancangan per m' Tiang kayu Gelondongan dia. 18-20 cm</t>
  </si>
  <si>
    <t>2.6.2.3</t>
  </si>
  <si>
    <t>1 m2 Turap bambu dari geribig bambu secara manual, JAT &lt; 0,5 m</t>
  </si>
  <si>
    <t>2.7</t>
  </si>
  <si>
    <t>Pekerjaan Dinding Penahan Tanah</t>
  </si>
  <si>
    <t>2.7.1</t>
  </si>
  <si>
    <t>Pemasangan 1 M' pipa suling -suling menggunakan pipa PVC dia. 1" (untuk bangunan gedung)</t>
  </si>
  <si>
    <t>2.7.2</t>
  </si>
  <si>
    <t>Pemasangan 1 M' pipa suling -suling menggunakan pipa PVC dia. 2" (untuk bangunan gedung)</t>
  </si>
  <si>
    <t>2.7.3</t>
  </si>
  <si>
    <t>Pemasangan 1 m2 Lapisan Ijuk tebal 10 cm</t>
  </si>
  <si>
    <t>2.7.4</t>
  </si>
  <si>
    <t>Pemasangan 1 m2 finishing siar pasangan batu kali, campuran 1SP : 2PP</t>
  </si>
  <si>
    <t>2.7.5</t>
  </si>
  <si>
    <t>1 m3 bronjong kawat digalvanis, lubang heksagonal 80 x 100 mm, beda tinggi &gt;0 s.d 1 m' berkontak langsung dengan tanah ( kawat dibuat sendiri)</t>
  </si>
  <si>
    <t>2.7.6</t>
  </si>
  <si>
    <t>1 m3 bronjong kawat digalvanis, lubang heksagonal 80 x 100 mm; beda tinggi &gt; 0 s.d 1 m' tidak berkontak langsung dengan tanah (kawat dibuat sendiri)</t>
  </si>
  <si>
    <t>2.7.7</t>
  </si>
  <si>
    <t>1 m3 bronjong kawat digalvanis, lubang heksagonal 80x100mm; beda tinggi &gt;3 s.d 4 m' berkontak langsung dengan tanah (kawat dibuat sendiri)</t>
  </si>
  <si>
    <t>2.7.8</t>
  </si>
  <si>
    <t>1 m3 bronjong kawat digalvanis, lubang heksagonal 80x100mm; beda tinggi &gt;3 s.d 4 m' tidak berkontak langsung dengan tanah (kawat dibuat sendiri)</t>
  </si>
  <si>
    <t>2.7.9</t>
  </si>
  <si>
    <t>1 m3 kawat bronjong kawat digalvanis, lubang heksagonal 100x120mm; beda tinggi &gt;0 s.d 1 m' berkontak langsung dengan tanah (kawat dibuat sendiri)</t>
  </si>
  <si>
    <t>2.7.10</t>
  </si>
  <si>
    <t>1 m3 kawat bronjong kawat digalvanis, lubang heksagonal 100x120mm; beda tinggi &gt; 0 s.d 1 m' berkontak langsung dengan tanah (kawat dibuat sendiri)</t>
  </si>
  <si>
    <t>2.7.11</t>
  </si>
  <si>
    <t>1 m3 kawat bronjong kawat digalvanis, lubang heksagonal 100x120mm; beda tinggi &gt; 3 s.d 4 m' berkontak langsung dengan tanah (kawat dibuat sendiri)</t>
  </si>
  <si>
    <t>2.7.12</t>
  </si>
  <si>
    <t>1 m3 kawat bronjong kawat digalvanis, lubang heksagonal 100x120mm; beda tinggi &gt; 3 s.d 4 m'  tidak berkontak langsung dengan tanah (kawat dibuat sendiri)</t>
  </si>
  <si>
    <t>2.7.13</t>
  </si>
  <si>
    <t>1 m3 pasangan batu bronjong kawat paprikasi; beda tinggi &gt; 0 s.d 1 m' berkontak langsung dengan tanah</t>
  </si>
  <si>
    <t>2.7.14</t>
  </si>
  <si>
    <t>1 m3 pasangan batu bronjong kawat paprikasi; beda tinggi &gt; 0 s.d 1 m' tidak berkontak langsung dengan tanah</t>
  </si>
  <si>
    <t>2.7.15</t>
  </si>
  <si>
    <t>1 m3 pasangan batu bronjong kawat paprikasi; beda tinggi &gt; 3 s.4  m' berkontak langsung dengan tanah</t>
  </si>
  <si>
    <t>2.7.16</t>
  </si>
  <si>
    <t>1 m3 pasangan batu bronjong kawat paprikasi; beda tinggi &gt; 3 s.4  m' tidak berkontak langsung dengan tanah</t>
  </si>
  <si>
    <t>3</t>
  </si>
  <si>
    <t>PEKERJAAN ARSITEKTUR</t>
  </si>
  <si>
    <t>3.1</t>
  </si>
  <si>
    <t>PEKERJAAN PENUTUP ATAP</t>
  </si>
  <si>
    <t>3.1.1</t>
  </si>
  <si>
    <t>Atap Genteng</t>
  </si>
  <si>
    <t>3.1.1.1</t>
  </si>
  <si>
    <t>Pemasangan 1 m2 atap Genteng Palentong  Kecil</t>
  </si>
  <si>
    <t>3.1.1.2</t>
  </si>
  <si>
    <t>Pemasangan 1 m2 atap genteng kodok glazuur</t>
  </si>
  <si>
    <t>3.1.1.3</t>
  </si>
  <si>
    <t>Pemasangan 1 m2 atap genteng palentong besar</t>
  </si>
  <si>
    <t>3.1.1.4</t>
  </si>
  <si>
    <t>Pemasangan 1 m2 atap genteng beton</t>
  </si>
  <si>
    <t>3.1.1.5</t>
  </si>
  <si>
    <t>Pemasangan 1 m' Nok/bubung genteng palentong kecil</t>
  </si>
  <si>
    <t>3.1.1.6</t>
  </si>
  <si>
    <t>Pemasangan 1 m' Nok/bubung genteng kodok glazuur</t>
  </si>
  <si>
    <t>3.1.1.7</t>
  </si>
  <si>
    <t>Pemasangan 1 m' Nok/bubung genteng palentong besar</t>
  </si>
  <si>
    <t>3.1.1.8</t>
  </si>
  <si>
    <t>Pemasangan 1 m' Nok/bubung genteng beton</t>
  </si>
  <si>
    <t>3.1.2</t>
  </si>
  <si>
    <t>ATAP SERAT SEMEN GELOMBANG</t>
  </si>
  <si>
    <t>3.1.2.1</t>
  </si>
  <si>
    <t>Pemasangan 1 m2 atap serat semen gelombang 92 cm x 250 cm x 5 mm</t>
  </si>
  <si>
    <t>3.1.2.2</t>
  </si>
  <si>
    <t>Pemasangan 1 m2 atap serat semen gelombang 92 cm x 225 cm x 5 mm</t>
  </si>
  <si>
    <t>3.1.2.3</t>
  </si>
  <si>
    <t>Pemasangan 1 m2 atap Serat Semen gelombang 92 cm x 200 cm x 5 mm</t>
  </si>
  <si>
    <t>3.1.2.4</t>
  </si>
  <si>
    <t>Pemasangan 1 m2 atap Serat Semen gelombang 92 cm x 180 cm x 5 mm</t>
  </si>
  <si>
    <t>3.1.2.5</t>
  </si>
  <si>
    <t>Pemasangan 1 m2 atap Serat Semen gelombang 105 cm x 270 cm x 4 mm</t>
  </si>
  <si>
    <t>3.1.2.6</t>
  </si>
  <si>
    <t>Pemasangan 1 m2 atap Serat Semen gelombang 105 cm x 300 cm x 5 mm</t>
  </si>
  <si>
    <t>3.1.2.7</t>
  </si>
  <si>
    <t>Pemasangan 1 m2 atap Serat Semen gelombang 105 cm x 240 cm x 5 mm</t>
  </si>
  <si>
    <t>3.1.2.8</t>
  </si>
  <si>
    <t>Pemasangan 1 m2 atap Serat gelombang 105 cm x 210 cm x 5 mm</t>
  </si>
  <si>
    <t>3.1.2.9</t>
  </si>
  <si>
    <t>Pemasangan 1 m2 atap Serat Semen gelombang 105 cm x 150 cm x 5 mm</t>
  </si>
  <si>
    <t>3.1.2.10</t>
  </si>
  <si>
    <t>Pemasangan 1 m2 atap Serat Semen gelombang 108 cm x 300 cm x 6 mm</t>
  </si>
  <si>
    <t>3.1.2.11</t>
  </si>
  <si>
    <t>Pemasangan 1 m2 atap serat Semen gelombang 108 cm x 270 cm x 6 mm</t>
  </si>
  <si>
    <t>3.1.2.12</t>
  </si>
  <si>
    <t>Pemasangan 1 m2 atap Serat Semen gelombang 108 cm x 240 cm x 6 mm</t>
  </si>
  <si>
    <t>3.1.2.13</t>
  </si>
  <si>
    <t>Pemasangan 1 m2 atap Serat Semen gelombang 108 cm x 210 cm x 6 mm</t>
  </si>
  <si>
    <t>3.1.2.14</t>
  </si>
  <si>
    <t>Pemasangan 1 m2 atap Serat Semen gelombang 108 cm x 180 cm x 6 mm</t>
  </si>
  <si>
    <t>3.1.2.15</t>
  </si>
  <si>
    <t>Pemasangan 1 m' Nok/bubung setel gelombang 92 cm</t>
  </si>
  <si>
    <t>3.1.2.16</t>
  </si>
  <si>
    <t>Pemasangan 1 m' Nok/bubung stel gelombang 105 cm</t>
  </si>
  <si>
    <t>3.1.2.17</t>
  </si>
  <si>
    <t>Pemasangan 1 m' Nok/bubung stel gelombang 108 cm</t>
  </si>
  <si>
    <t>3.1.2.18</t>
  </si>
  <si>
    <t>Pemasangan 1 m'Nok/ bubung paten (Permanen) 92 cm</t>
  </si>
  <si>
    <t>3.1.2.19</t>
  </si>
  <si>
    <t>Pemasangan 1 m' Nok/bubung paten (Permanen) 105 cm</t>
  </si>
  <si>
    <t>3.1.2.20</t>
  </si>
  <si>
    <t>Pemasangan 1 m' Nok/bubung paten(Permanen) 108 cm</t>
  </si>
  <si>
    <t>3.1.2.21</t>
  </si>
  <si>
    <t>Pemasangan 1 m' Nok/bubung setel rata 92 cm</t>
  </si>
  <si>
    <t>3.1.2.22</t>
  </si>
  <si>
    <t>Pemasangan 1 m' ok/bubung setel rata 105 cm</t>
  </si>
  <si>
    <t>3.1.2.23</t>
  </si>
  <si>
    <t>Pemasangan 1 m' Nok/bubung setel rata 108 cm</t>
  </si>
  <si>
    <t>3.1.3</t>
  </si>
  <si>
    <t>Penutup Atap Lainnya</t>
  </si>
  <si>
    <t>3.1.3.1</t>
  </si>
  <si>
    <t>Pemasangan 1 m2 atap seng gelombang 105x180 cm</t>
  </si>
  <si>
    <t>3.1.3.2</t>
  </si>
  <si>
    <t>Pemasangan 1 m2 atap aluminium gelombang 95x180 cm</t>
  </si>
  <si>
    <t>3.1.3.3</t>
  </si>
  <si>
    <t>Pemasangan 1 m2 atap sirap kayu</t>
  </si>
  <si>
    <t>3.1.3.4</t>
  </si>
  <si>
    <t>Pemasangan 1 m2 atap fibreglass 90x180 cm</t>
  </si>
  <si>
    <t>3.1.3.5</t>
  </si>
  <si>
    <t>Pemasangan 1 m2 atap UPVC</t>
  </si>
  <si>
    <t>3.1.3.6</t>
  </si>
  <si>
    <t>Pemasangan 1 m2 atap aspal/bitumen</t>
  </si>
  <si>
    <t>3.1.3.7</t>
  </si>
  <si>
    <t>Pemasangan 1 m2 atap metal lembaran</t>
  </si>
  <si>
    <t>3.1.3.8</t>
  </si>
  <si>
    <t>Pemasangan 1 m2 atap metal menerus tebal 0,4 mm</t>
  </si>
  <si>
    <t>3.1.3.9</t>
  </si>
  <si>
    <t>Pemasangan 1 m2 Atap Kaca Tempered</t>
  </si>
  <si>
    <t>3.1.3.9.1</t>
  </si>
  <si>
    <t>Pemasangan 1 m2 atap kaca ketebalan 8/10/12 mm</t>
  </si>
  <si>
    <t>3.1.3.10</t>
  </si>
  <si>
    <t>Pemasangan 1 m' Nok/bubung atap seng gelombang</t>
  </si>
  <si>
    <t>3.1.3.11</t>
  </si>
  <si>
    <t>Pemasangan 1 m' Nok/bubung atap aluminium gelombang</t>
  </si>
  <si>
    <t>m;'</t>
  </si>
  <si>
    <t>3.1.3.12</t>
  </si>
  <si>
    <t>Pemasangan 1 m' Nok/bubung atap sirap kayu</t>
  </si>
  <si>
    <t>3.1.3.13</t>
  </si>
  <si>
    <t>Pemasangan 1 m' Nok/bubung atap aspal/bitumen</t>
  </si>
  <si>
    <t>3.1.3.14</t>
  </si>
  <si>
    <t>Pemasangan 1 m' Nok/bubung genteng metal</t>
  </si>
  <si>
    <t>3.2</t>
  </si>
  <si>
    <t>PEKERJAAN INSULASI</t>
  </si>
  <si>
    <t>3.2.1</t>
  </si>
  <si>
    <t>Pemasangan 1 m2 lembaran insulasi atap</t>
  </si>
  <si>
    <t>3.2.2</t>
  </si>
  <si>
    <t>Pemasangan 1 m2 modul insulasi tebal 8 mm</t>
  </si>
  <si>
    <t>3.2.3</t>
  </si>
  <si>
    <t>Pemasangan 1 m2 foam insulasi atap</t>
  </si>
  <si>
    <t>3.3.</t>
  </si>
  <si>
    <t>PEKERJAAN AKSESORIS ATAP</t>
  </si>
  <si>
    <t>3.3.1</t>
  </si>
  <si>
    <t>Pemasangan 1 m' talang datar/jurai seng BJLS 28 lebar 90 cm</t>
  </si>
  <si>
    <t>3.3.2</t>
  </si>
  <si>
    <t>Pemasangan 1 m' talang ½ lingkaran D-15 cm seng plat BJLS 30</t>
  </si>
  <si>
    <t>3.3.3</t>
  </si>
  <si>
    <t>Pemasangan 1 m' lisplank uk. 3x20 cm, kayu kelas I atau II</t>
  </si>
  <si>
    <t>3.3.4</t>
  </si>
  <si>
    <t>Pemasangan 1 m' lisplank uk. 3x30 cm, kayu kelas I atau II</t>
  </si>
  <si>
    <t>3.3.5</t>
  </si>
  <si>
    <t>Pemasangan 1 m' lisplank non kayu (GRC, serat semen) lebar 30 cm</t>
  </si>
  <si>
    <t>3.3.6</t>
  </si>
  <si>
    <t>Pemasangan 1 m' lisplank non kayu (GRC, serat semen) lebar 20 cm</t>
  </si>
  <si>
    <t>3.4</t>
  </si>
  <si>
    <t>PEKERJAAN WATERPROOFING</t>
  </si>
  <si>
    <t>3.4.1</t>
  </si>
  <si>
    <t>Pemasangan 1 m2 Waterproofing Membran Bakar</t>
  </si>
  <si>
    <t>3.4.2</t>
  </si>
  <si>
    <t>Pelapisan 1 M2 Waterproofing Cristalin</t>
  </si>
  <si>
    <t>3.4.3</t>
  </si>
  <si>
    <t>Pelapisan 1 M2 Waterproofing  Semen Base</t>
  </si>
  <si>
    <t>3.4.4</t>
  </si>
  <si>
    <t>Pelapisan 1 M2 Waterproofing Acrylic Base</t>
  </si>
  <si>
    <t>3,5</t>
  </si>
  <si>
    <t>PEKERJAAN LANGIT-LANGIT (PLAFON)</t>
  </si>
  <si>
    <t>3,5,1</t>
  </si>
  <si>
    <t>Langit-Langit (Plafon) Akusik</t>
  </si>
  <si>
    <t>3.2.1.1</t>
  </si>
  <si>
    <t>Pemasangan 1 m2 plafon akustik uk. 30x30 cm</t>
  </si>
  <si>
    <t>3.5.1.2</t>
  </si>
  <si>
    <t>Pemasangan 1 m2 plafon akustik uk. 30x60 cm</t>
  </si>
  <si>
    <t>3.5.1.3</t>
  </si>
  <si>
    <t>Pemasangan 1 m2 plafon akustik uk. 60x120 cm</t>
  </si>
  <si>
    <t>3.5.1.4</t>
  </si>
  <si>
    <t>Pemasangan 1 m2 plafon akustik uk. 60x120 cm dengan profil aluminium</t>
  </si>
  <si>
    <t>3.5.2</t>
  </si>
  <si>
    <t>Langit -Langit (Plafon) Lainnya</t>
  </si>
  <si>
    <t>3.5.2.1</t>
  </si>
  <si>
    <t>Pemasangan 1 m2 plafon papan gypsum tebal 9 mm</t>
  </si>
  <si>
    <t>3.5.2.2</t>
  </si>
  <si>
    <t>Pemasangan 1 m2 plafon serat semen/GRC tebal 4 mm, 5 mm, dan 6 mm</t>
  </si>
  <si>
    <t>3.5.2.3</t>
  </si>
  <si>
    <t>Pemasangan 1 m2 langit-langit (plafon) kayu lapis, tebal 3 mm, 4 mm dan 6 mm</t>
  </si>
  <si>
    <t>3.5.2.3.1</t>
  </si>
  <si>
    <t>Pemasangan 1 m2 plafon kayu lapis tebal 3 mm</t>
  </si>
  <si>
    <t>3.5.2.3.2</t>
  </si>
  <si>
    <t>Pemasangan 1 m2 plafon kayu lapis tebal 4 mm</t>
  </si>
  <si>
    <t>3.5.2.3.3</t>
  </si>
  <si>
    <t>Pemasangan 1 m2 plafon kayu lapis tebal 6 mm</t>
  </si>
  <si>
    <t>3.5.2.4</t>
  </si>
  <si>
    <t>Pemasangan 1 m2 plafon lambisering kayu tebal 9 mm</t>
  </si>
  <si>
    <t>3.5.2.5</t>
  </si>
  <si>
    <t>Pemasangan 1 m' list plafon kayu profil</t>
  </si>
  <si>
    <t>3.5.2.6</t>
  </si>
  <si>
    <t>Pemasangan 1 m' list plafon gypsum</t>
  </si>
  <si>
    <t>3.5.2.7</t>
  </si>
  <si>
    <t>Pemasangan 1 m2 plafon aluminium spandrel</t>
  </si>
  <si>
    <t>3.5.3</t>
  </si>
  <si>
    <t>Rangka Langit-Langit (Plafon)</t>
  </si>
  <si>
    <t>3.5.3.1</t>
  </si>
  <si>
    <t>Pemasangan 1 m2 rangka plafon besi hollow 40.40, modul 60x60 cm</t>
  </si>
  <si>
    <t>3.5.3.2</t>
  </si>
  <si>
    <t>Pemasangan 1 m2 Rangka Langit-langit (Plafon) (50x 100) cm, Kayu Kelas II atau III</t>
  </si>
  <si>
    <t>3.5.3.3</t>
  </si>
  <si>
    <t>Pemasangan 1 m2 Rangka Langit-langit (Plafon) (60x 100) cm, Kayu Kelas II atau III</t>
  </si>
  <si>
    <t>3,6</t>
  </si>
  <si>
    <t>PEKERJAAN PASANGAN DINDING</t>
  </si>
  <si>
    <t>3.6.1</t>
  </si>
  <si>
    <t>Dinding Bata Merah</t>
  </si>
  <si>
    <t>3.6.1.1</t>
  </si>
  <si>
    <t>Pemasangan 1 m2 dinding bata merah tebal 1 batu dengan mortar tipe M,fc’ 17,2 MPa (Setara Campuran 1SP : 2PP)</t>
  </si>
  <si>
    <t>3.6.1.2</t>
  </si>
  <si>
    <t>Pemasangan 1 m2 dinding bata merah tebal 1 batu dengan mortar tipe S,fc’ 12,5 MPa (Setara Campuran 1SP : 3PP)</t>
  </si>
  <si>
    <t>3.6.1.3</t>
  </si>
  <si>
    <t>Pemasangan 1 m2 dinding bata merah tebal 1 batu dengan mortar tipe N,fc’ 5,2 MPa (Setara Campuran 1SP : 4PP)</t>
  </si>
  <si>
    <t>3.6.1.4</t>
  </si>
  <si>
    <t>Pemasangan 1 m2 dinding bata merah tebal 1 batu dengan mortar tipe O,fc’ 2,4 MPa (Setara Campuran 1SP : 5PP)</t>
  </si>
  <si>
    <t>3.6.1.5</t>
  </si>
  <si>
    <t>Pemasangan 1 m2 dinding bata merah tebal 1 batu campuran 1SP : 6PP</t>
  </si>
  <si>
    <t>3.6.1.6</t>
  </si>
  <si>
    <t>Pemasangan 1 m2 dinding bata merah tebal 1/2 batu dengan mortar tipe M,fc’ 17,2 MPa (Setara Campuran 1SP : 2PP)</t>
  </si>
  <si>
    <t>3.6.1.7</t>
  </si>
  <si>
    <t>Pemasangan 1 m2 dinding bata merah tebal 1/2 batu dengan mortar tipe S,fc’ 12,5 MPa (Setara Campuran 1SP : 3PP)</t>
  </si>
  <si>
    <t>3.6.1.8</t>
  </si>
  <si>
    <t>Pemasangan 1 m2 dinding bata merah tebal 1/2 batu dengan mortar tipe N,fc’ 5,2 MPa (Setara Campuran 1SP : 4PP)</t>
  </si>
  <si>
    <t>3.6.1.9</t>
  </si>
  <si>
    <t>Pemasangan 1 m2 dinding bata merah tebal 1/2 batu dengan mortar tipe O,fc’ 2,4 MPa (Setara Campuran 1SP : 5PP)</t>
  </si>
  <si>
    <t>3.6.1.10</t>
  </si>
  <si>
    <t>Pemasangan 1 m2 dinding bata merah tebal 1/2 batu campuran 1SP : 6PP</t>
  </si>
  <si>
    <t>3.6.2</t>
  </si>
  <si>
    <t>DINDING CONBLOCK</t>
  </si>
  <si>
    <t>3.6.2.1</t>
  </si>
  <si>
    <t>Pemasangan 1 m2 dinding conblock HB20 dengan mortar tipe S,fc’ 12,5 MPa (Setara Campuran 1SP : 3PP)</t>
  </si>
  <si>
    <t>3.6.2.2</t>
  </si>
  <si>
    <t>Pemasangan 1 m2 dinding conblock HB20 dengan mortar tipe N,fc’ 5,2 MPa (Setara Campuran 1SP : 4PP)</t>
  </si>
  <si>
    <t>3.6.2.3</t>
  </si>
  <si>
    <t>Pemasangan 1 m2 dinding conblock HB15 dengan mortar tipe S,fc’ 12,5 MPa (Setara Campuran 1SP : 3PP)</t>
  </si>
  <si>
    <t>3.6.2.4</t>
  </si>
  <si>
    <t>Pemasangan 1 m2 dinding conblock HB15 dengan mortar tipe N,fc’ 5,2 MPa (Setara Campuran 1SP : 4PP)</t>
  </si>
  <si>
    <t>3.6.2.5</t>
  </si>
  <si>
    <t>Pemasangan 1 m2 dinding conblock HB10 dengan mortar tipe S,fc’ 12,5 MPa (Setara Campuran 1SP : 3PP)</t>
  </si>
  <si>
    <t>3.6.2.6</t>
  </si>
  <si>
    <t>Pemasangan 1 m2 dinding conblock HB10 dengan mortar tipe N,fc’ 5,2 MPa (Setara Campuran 1SP : 4PP)</t>
  </si>
  <si>
    <t>3.6.3</t>
  </si>
  <si>
    <t>DINDING ROSTER</t>
  </si>
  <si>
    <t>3.6.3.1</t>
  </si>
  <si>
    <t>Pemasangan 1 m2 dinding kerawang (rooster) 12x11x24 dengan mortar tipe S,fc’ 12,5 MPa (Setara Campuran 1SP : 3PP)</t>
  </si>
  <si>
    <t>3.6.3.2</t>
  </si>
  <si>
    <t>Pemasangan 1 m2 dinding kerawang (rooster) 12x11x24 dengan mortar tipe N,fc’ 5,2 MPa (Setara Campuran 1SP : 4PP)</t>
  </si>
  <si>
    <t>3.6.3.3</t>
  </si>
  <si>
    <t>Pemasangan 1 m2 dinding bata berongga ekspose 12x11x24 dengan mortar tipe S,fc’ 12,5 MPa (Setara Campuran 1SP : 3PP)</t>
  </si>
  <si>
    <t>3.6.3.4</t>
  </si>
  <si>
    <t>Pemasangan 1 m2 glass block 20x20 cm, 1PC : 3PP</t>
  </si>
  <si>
    <t>3.6.3.5</t>
  </si>
  <si>
    <t>Pemasangan 1 m2 dinding kerawang (rooster) 20x20 (Setara Campuran 1SP : 3PP)</t>
  </si>
  <si>
    <t>3.6.4</t>
  </si>
  <si>
    <t>DINDING BATA RINGAN</t>
  </si>
  <si>
    <t>3.6.4.1</t>
  </si>
  <si>
    <t>Pemasangan 1 m2 dinding bata ringan tebal 7,5 cm dengan mortar siap pakai</t>
  </si>
  <si>
    <t>3.6.4.2</t>
  </si>
  <si>
    <t>Pemasangan 1 m2 dinding bata ringan tebal 10 cm dengan mortar siap pakai</t>
  </si>
  <si>
    <t>3.6.4.3</t>
  </si>
  <si>
    <t>Pemasangan 1 m2 dinding bata ringan tebal 20 cm dengan mortar siap pakai</t>
  </si>
  <si>
    <t>3.6.5</t>
  </si>
  <si>
    <t>DINDING BATAKO</t>
  </si>
  <si>
    <t>3.6.5.1</t>
  </si>
  <si>
    <t>Pemasangan 1 m2 dinding batako dengan mortar tipe S,fc’ 12,5 MPa (Setara Campuran 1SP : 3PP)</t>
  </si>
  <si>
    <t>3.6.5.2</t>
  </si>
  <si>
    <t>Pemasangan 1 m2 dinding batako dengan mortar tipe N,fc’ 5,2 MPa (Setara Campuran 1SP : 4PP)</t>
  </si>
  <si>
    <t>3.6.6</t>
  </si>
  <si>
    <t>DINDING PARTISI</t>
  </si>
  <si>
    <t>3.6.6.1</t>
  </si>
  <si>
    <t>Pemasangan 1 m2 dinding partisi, Gypsumboard t=12mm</t>
  </si>
  <si>
    <t>3.7</t>
  </si>
  <si>
    <t>PEKERJAAN PLESTERAN DAN ACIAN</t>
  </si>
  <si>
    <t>3.7.1</t>
  </si>
  <si>
    <t>Pemasangan 1 m2 plesteran 1SP : 1PP tebal 15 mm</t>
  </si>
  <si>
    <t>3.7.2</t>
  </si>
  <si>
    <t>Pemasangan 1 m2 plesteran 1SP : 2PP tebal 15 mm</t>
  </si>
  <si>
    <t>3.7.3</t>
  </si>
  <si>
    <t>Pemasangan 1 m2 plesteran 1SP : 3PP tebal 15 mm</t>
  </si>
  <si>
    <t>3.7.4</t>
  </si>
  <si>
    <t>Pemasangan 1 m2 plesteran 1SP : 4PP tebal 15 mm</t>
  </si>
  <si>
    <t>3.7.5</t>
  </si>
  <si>
    <t>Pemasangan 1 m2 plesteran 1SP : 5PP tebal 15 mm</t>
  </si>
  <si>
    <t>3.7.6</t>
  </si>
  <si>
    <t>Pemasangan 1 m2 plesteran 1SP : 6PP tebal 15 mm</t>
  </si>
  <si>
    <t>3.7.7</t>
  </si>
  <si>
    <t>Pemasangan 1 m2 plesteran dengan semen instan tebal 10 mm</t>
  </si>
  <si>
    <t>3.7.8</t>
  </si>
  <si>
    <t>Pemasangan 1 m2 acian</t>
  </si>
  <si>
    <t>3.7.9</t>
  </si>
  <si>
    <t>Pemasangan 1 m2 berapen 1SP : 5PP tebal 15 mm</t>
  </si>
  <si>
    <t>3.7.10</t>
  </si>
  <si>
    <t>Pemasangan 1 m' plesteran skoning 1SP : 3PP lebar 10 cm</t>
  </si>
  <si>
    <t>3.7.11</t>
  </si>
  <si>
    <t>Pemasangan 1 m2 plesteran serbuk batu granit 1SP : 2 granit, tebal 10 mm</t>
  </si>
  <si>
    <t>3.7.12</t>
  </si>
  <si>
    <t>Pemasangan 1 m2 plesteran serbuk batu traso 1SP : 2 traso, tebal 10 mm</t>
  </si>
  <si>
    <t>3.7.13</t>
  </si>
  <si>
    <t>Pemasangan 1 m2 kamprotan untuk finishing 1SP : 2PP</t>
  </si>
  <si>
    <t>3.7.14</t>
  </si>
  <si>
    <t>Pemasangan 1 m2 finishing siar pasangan bata merah</t>
  </si>
  <si>
    <t>3.7.15</t>
  </si>
  <si>
    <t>Pemasangan 1 m2 finishing dinding siar pasangan conblock ekspose</t>
  </si>
  <si>
    <t>3.7.16</t>
  </si>
  <si>
    <t>Pekerjaan 1 m2 Beton Expose</t>
  </si>
  <si>
    <t>3.8</t>
  </si>
  <si>
    <t>PEKERJAAN PENGECATAN DAN PELITURAN</t>
  </si>
  <si>
    <t>3.8.1</t>
  </si>
  <si>
    <t>Pengikisan/pengerokan 1 m2 permukaan cat lama (cat minyak)</t>
  </si>
  <si>
    <t>3.8.2</t>
  </si>
  <si>
    <t>Pencucian 1 m2 permukaan tembok yang pernah dicat</t>
  </si>
  <si>
    <t>3.8.3</t>
  </si>
  <si>
    <t>Pengerokan 1 m2 karat pada permukaan baja cara manual</t>
  </si>
  <si>
    <t>3.8.4</t>
  </si>
  <si>
    <t>Pengecatan 1 m2 bidang kayu baru (1 lapis plamir, 1 lapis cat dasar, 2 lapis cat penutup)</t>
  </si>
  <si>
    <t>3.8.5</t>
  </si>
  <si>
    <t>Pengecatan 1 m2 bidang kayu baru (1 lapis plamir, 1 lapis cat dasar, 3 lapis cat penutup)</t>
  </si>
  <si>
    <t>3.8.6</t>
  </si>
  <si>
    <t>Pelaburan 1 m2 bidang kayu dengan teak oil</t>
  </si>
  <si>
    <t>3.8.7</t>
  </si>
  <si>
    <t>Pelaburan 1 m2 bidang kayu dengan pelitur</t>
  </si>
  <si>
    <t>3.8.8</t>
  </si>
  <si>
    <t>Pelaburan 1 m2 bidang kayu dengan residu atau Ter</t>
  </si>
  <si>
    <t>3.8.9</t>
  </si>
  <si>
    <t>Pelaburan 1 m2 bidang kayu dengan vernis</t>
  </si>
  <si>
    <t>3.8.10</t>
  </si>
  <si>
    <t>Pengecatan 1 M2 Tembol Baru</t>
  </si>
  <si>
    <t>3.8.10.1</t>
  </si>
  <si>
    <t>Pengecatan 1 m2 tembok baru Interior( 1 lapis cat dasar, 2 lapis cat penutup)</t>
  </si>
  <si>
    <t>3.8.10.2</t>
  </si>
  <si>
    <t>Pengecatan 1 m2 tembok baru Ekterior (1 lapis cat dasar, 2 lapis cat penutup), eksterior</t>
  </si>
  <si>
    <t>3.8.11</t>
  </si>
  <si>
    <t>Pengecatan 1 m2 Tembok Lama</t>
  </si>
  <si>
    <t>3.8.11.1</t>
  </si>
  <si>
    <t>Pengecatan 1 m2 tembok lama Interior  (1 lapis cat dasar, 2 lapis cat penutup)</t>
  </si>
  <si>
    <t>3.8.11.2</t>
  </si>
  <si>
    <t>Pengecatan 1 m2 tembok lama Ekterior (1 lapis cat dasar, 2 lapis cat penutup)</t>
  </si>
  <si>
    <t>3.8.12</t>
  </si>
  <si>
    <t>Pelaburan 1 m2 tembok baru dengan kapur padam (kapur pemutih)</t>
  </si>
  <si>
    <t>3.8.13</t>
  </si>
  <si>
    <t>Pelaburan 1 m2 tembok lama dengan kapur padam (kapur pemutih)</t>
  </si>
  <si>
    <t>3.8.14</t>
  </si>
  <si>
    <t>Pengecatan 1 m2 permukaan baja galvanis 3 lapis cat terakhir secara semprot</t>
  </si>
  <si>
    <t>3.8.15</t>
  </si>
  <si>
    <t>Pengecatan 1 m2 permukaan baja galvanis secara manual sistem 3 lapis</t>
  </si>
  <si>
    <t>3.8.16</t>
  </si>
  <si>
    <t>Pengecatan 1 m2 permukaan baja dengan menie besi (Zinc Chromate)</t>
  </si>
  <si>
    <t>3.8.17</t>
  </si>
  <si>
    <t>Pengecatan 1 m2 permukaan baja dengan menie besi dengan perancah</t>
  </si>
  <si>
    <t>3.8.18</t>
  </si>
  <si>
    <t>Pengecatan 1 m2 permukaan baja galvanis secara manual sistem 4 lapis</t>
  </si>
  <si>
    <t>3.8.19</t>
  </si>
  <si>
    <t>Pengecatan 1 m2 permukaan baja galvanis secara manual sistem 1 lapis cat penutup</t>
  </si>
  <si>
    <t>3.8.20</t>
  </si>
  <si>
    <t>Pengecatan 1 m2 plafon (1 lapis cat dasar dan 2 lapis cat penutup)</t>
  </si>
  <si>
    <t>3.8.20.1</t>
  </si>
  <si>
    <t>Pengecatan 1 m2 plafon Interior ( 1 lapis Cat Dasar dan 2 Lapis Cat Penutup)</t>
  </si>
  <si>
    <t>3.8.20.2</t>
  </si>
  <si>
    <t>Pengecatan 1 m2 plafon eksterior ( 1 lapis Cat Dasar dan 2 Lapis Cat Penutup)</t>
  </si>
  <si>
    <t>3.8.21</t>
  </si>
  <si>
    <t>Pengecatan 1 m2 cat epoxy tebal 2 mm</t>
  </si>
  <si>
    <t>3.8.22</t>
  </si>
  <si>
    <t>Pelituran 1 m2 dengan pelitur melamic</t>
  </si>
  <si>
    <t>3.9</t>
  </si>
  <si>
    <t>PEKERJAAN PENUTUP LANTAI</t>
  </si>
  <si>
    <t>3.9.1</t>
  </si>
  <si>
    <t>UBIN PC</t>
  </si>
  <si>
    <t>Pemasangan 1 m2 lantai ubin PC abu-abu uk. 20x20 cm (1SP : 2PP)</t>
  </si>
  <si>
    <t>3.9.1.2</t>
  </si>
  <si>
    <t>Pemasangan 1 m2 lantai ubin PC abu-abu uk. 30x30 cm (1SP : 2PP)</t>
  </si>
  <si>
    <t>3.9.1.3</t>
  </si>
  <si>
    <t>Pemasangan 1 m2 lantai ubin PC abu-abu uk. 40x40 cm (1SP : 2PP)</t>
  </si>
  <si>
    <t>3.9.1.4</t>
  </si>
  <si>
    <t>Pemasangan 1 m2 lantai ubin PC abu-abu uk. 60x60 cm (1SP : 2PP)</t>
  </si>
  <si>
    <t>3.9.1.5</t>
  </si>
  <si>
    <t>Pemasangan 1 m’ plint ubin PC abu-abu uk. 10 s.d. 15x20 cm (1SP : 2PP)</t>
  </si>
  <si>
    <t>3.9.1.6</t>
  </si>
  <si>
    <t>Pemasangan 1 m’ plint ubin PC abu-abu uk. 10 s.d. 15x30 cm (1SP : 2PP)</t>
  </si>
  <si>
    <t>3.9.1.7</t>
  </si>
  <si>
    <t>Pemasangan 1 m’ plint ubin PC abu-abu uk. 10 s.d. 15x40 cm (1SP : 2PP)</t>
  </si>
  <si>
    <t>3.9.1.8</t>
  </si>
  <si>
    <t>Pemasangan 1 m’ plint ubin PC abu-abu uk. 10 s.d. 15x60 cm (1SP : 2PP)</t>
  </si>
  <si>
    <t>3.9.2</t>
  </si>
  <si>
    <t>UBIN WARNA</t>
  </si>
  <si>
    <t>3.9.2.1</t>
  </si>
  <si>
    <t>Pemasangan 1 m2 lantai ubin warna uk. 20x20 cm (1SP : 2PP)</t>
  </si>
  <si>
    <t>3.9.2.2</t>
  </si>
  <si>
    <t>Pemasangan 1 m2 lantai ubin warna uk. 30x30 cm (1SP : 2PP)</t>
  </si>
  <si>
    <t>3.9.2.3</t>
  </si>
  <si>
    <t>Pemasangan 1 m2 lantai ubin warna uk. 40x40 cm (1SP : 2PP)</t>
  </si>
  <si>
    <t>3.9.2.4</t>
  </si>
  <si>
    <t>Pemasangan 1 m2 lantai ubin warna uk. 60x60 cm (1SP : 2PP)</t>
  </si>
  <si>
    <t>3.9.2.5</t>
  </si>
  <si>
    <t>Pemasangan 1 m' plint ubin warna uk. 10 s.d. 15x20 cm (1SP : 2PP)</t>
  </si>
  <si>
    <t>3.9.2.6</t>
  </si>
  <si>
    <t>Pemasangan 1 m' plint ubin warna uk. 10 s.d. 15x30 cm (1SP : 2PP)</t>
  </si>
  <si>
    <t>3.9.2.7</t>
  </si>
  <si>
    <t>Pemasangan 1 m' plint ubin warna uk. 10 s.d. 15x40 cm (1SP : 2PP)</t>
  </si>
  <si>
    <t>3.9.2.8</t>
  </si>
  <si>
    <t>Pemasangan 1 m' plint ubin warna uk. 10 s.d. 15x60 cm (1SP : 2PP)</t>
  </si>
  <si>
    <t>3.9.3</t>
  </si>
  <si>
    <t>UBIN TERASO</t>
  </si>
  <si>
    <t>3.9.3.1</t>
  </si>
  <si>
    <t>Pemasangan 1 m2 lantai ubin teraso uk. 30x30 cm (1SP : 2PP)</t>
  </si>
  <si>
    <t>3.9.3.2</t>
  </si>
  <si>
    <t>Pemasangan 1 m2 lantai ubin teraso uk. 40x40 cm (1SP : 2PP)</t>
  </si>
  <si>
    <t>3.9.3.3</t>
  </si>
  <si>
    <t>Pemasangan 1 m2 lantai teraso cor di tempat, tebal 3cm</t>
  </si>
  <si>
    <t>3.9.3.4</t>
  </si>
  <si>
    <t>Pemasangan 1 m' plint ubin teraso uk. 10 s.d. 15x30 cm (1SP : 2PP)</t>
  </si>
  <si>
    <t>3.9.3.5</t>
  </si>
  <si>
    <t>Pemasangan 1 m' plint ubin teraso uk. 10 s.d. 15x40 cm (1SP : 2PP)</t>
  </si>
  <si>
    <t>3.9.4</t>
  </si>
  <si>
    <t>HOMOGENEOUS TILE</t>
  </si>
  <si>
    <t>3.9.4.1</t>
  </si>
  <si>
    <t>Pemasangan 1 m2 lantai homogenous tile  Polis uk. 30x30 cm (1SP : 2PP)</t>
  </si>
  <si>
    <t>3.9.4.2</t>
  </si>
  <si>
    <t>Pemasangan 1 m2 lantai homogenous tile polish uk. 40x40 cm (1SP : 2PP)</t>
  </si>
  <si>
    <t>3.9.4.3</t>
  </si>
  <si>
    <t>Pemasangan 1 m2 lantai homogenous tile Polish  uk. 60x60 cm (1SP : 2PP)</t>
  </si>
  <si>
    <t>3.9.4.4</t>
  </si>
  <si>
    <t>Pemasangan 1 m' plint homogenous tile Polish  uk. 10 s.d. 15x30 cm (1SP : 2PP)</t>
  </si>
  <si>
    <t>3.9.4.5</t>
  </si>
  <si>
    <t>Pemasangan 1 m' plint homogenous tile polish uk. 10 s.d. 15x40 cm (1SP : 2PP)</t>
  </si>
  <si>
    <t>3.9.4.6</t>
  </si>
  <si>
    <t>Pemasangan 1 m' plint homogenous tile polish uk. 10 s.d. 15x60 cm (1SP : 2PP)</t>
  </si>
  <si>
    <t>3.9.4.7</t>
  </si>
  <si>
    <t>Pemasangan 1 m' lantai homogenous tile unpolish uk. 30x30 cm (1SP : 2PP)</t>
  </si>
  <si>
    <t>3.9.4.8</t>
  </si>
  <si>
    <t>Pemasangan 1 m' lantai homogenous tile unpolish uk. 40x40 cm (1SP : 2PP)</t>
  </si>
  <si>
    <t>3.9.4.9</t>
  </si>
  <si>
    <t>Pemasangan 1 m' lantai homogenous tile unpolish uk. 60x60 cm (1SP : 2PP)</t>
  </si>
  <si>
    <t>3.9.4.10</t>
  </si>
  <si>
    <t>Pemasangan 1 m' plint homogenous tile unpolish uk. 10 s.d. 15x30 cm (1SP : 2PP)</t>
  </si>
  <si>
    <t>3.9.4.11</t>
  </si>
  <si>
    <t>Pemasangan 1 m' plint homogenous tile unpolish uk. 10 s.d. 15x40 cm (1SP : 2PP)</t>
  </si>
  <si>
    <t>3.9.4.12</t>
  </si>
  <si>
    <t>Pemasangan 1 m' plint homogenous tile unpolish uk. 10 s.d. 15x60 cm (1SP : 2PP)</t>
  </si>
  <si>
    <t>3.9.5</t>
  </si>
  <si>
    <t>UBIN GRANIT</t>
  </si>
  <si>
    <t>3.9.5.1</t>
  </si>
  <si>
    <t>Pemasangan 1 m2 lantai ubin granit uk. 30x30 cm (1SP : 2PP)</t>
  </si>
  <si>
    <t>3.9.5.2</t>
  </si>
  <si>
    <t>Pemasangan 1 m2 lantai ubin granit uk. 40x40 cm (1SP : 2PP)</t>
  </si>
  <si>
    <t>3.9.5.3</t>
  </si>
  <si>
    <t>Pemasangan 1 m2 lantai ubin granit uk. 60x60 cm (1SP : 2PP)</t>
  </si>
  <si>
    <t>3.9.5.4</t>
  </si>
  <si>
    <t>Pemasangan 1 m' plint ubin granit uk. 10 s.d. 15x30 cm (1SP : 2PP)</t>
  </si>
  <si>
    <t>3.9.5.5</t>
  </si>
  <si>
    <t>Pemasangan 1 m' plint ubin granit uk. 10 s.d. 15x40 cm (1SP : 2PP)</t>
  </si>
  <si>
    <t>3.9.5.6</t>
  </si>
  <si>
    <t>Pemasangan 1 m' plint ubin granit uk. 10 s.d. 15x60 cm (1SP : 2PP)</t>
  </si>
  <si>
    <t>3.9.6</t>
  </si>
  <si>
    <t>UBIN TERALUX</t>
  </si>
  <si>
    <t>3.9.6.1</t>
  </si>
  <si>
    <t>Pemasangan 1 m2 lantai ubin teralux marmer uk. 30x30 cm (1SP : 2PP)</t>
  </si>
  <si>
    <t>3.9.6.2</t>
  </si>
  <si>
    <t>Pemasangan 1 m2 lantai ubin teralux marmer uk. 40x40 cm (1SP : 2PP)</t>
  </si>
  <si>
    <t>3.9.6.3</t>
  </si>
  <si>
    <t>Pemasangan 1 m2 lantai ubin teralux marmer uk. 60x60 cm (1SP : 2PP)</t>
  </si>
  <si>
    <t>3.9.6.4</t>
  </si>
  <si>
    <t>Pemasangan 1 m' plint ubin teralux kerang uk. 10 s.d. 15x30 cm (1SP : 2PP)</t>
  </si>
  <si>
    <t>3.9.6.5</t>
  </si>
  <si>
    <t>Pemasangan 1 m' plint ubin teralux kerang uk. 10 s.d. 15x40 cm (1SP : 2PP)</t>
  </si>
  <si>
    <t>3.9.6.6</t>
  </si>
  <si>
    <t>Pemasangan 1 m' plint ubin teralux kerang uk. 10 s.d. 15x60 cm (1SP : 2PP)</t>
  </si>
  <si>
    <t>3.9.6.7</t>
  </si>
  <si>
    <t>Pemasangan 1 m' plint ubin teralux marmer uk. 10 s.d. 15x30 cm (1SP : 2PP)</t>
  </si>
  <si>
    <t>3.9.6.8</t>
  </si>
  <si>
    <t>Pemasangan 1 m' plint ubin teralux marmer uk. 10 s.d. 15x40 cm (1SP : 2PP)</t>
  </si>
  <si>
    <t>3.9.6.9</t>
  </si>
  <si>
    <t>Pemasangan 1 m' plint ubin teralux marmer uk. 10 s.d. 15x60 cm (1SP : 2PP)</t>
  </si>
  <si>
    <t>3.9.7</t>
  </si>
  <si>
    <t>KERAMIK ARTISTIK</t>
  </si>
  <si>
    <t>3.9.7.1</t>
  </si>
  <si>
    <t>Pemasangan 1 m2 lantai keramik artistik uk. 8x8 cm (1SP : 2PP)</t>
  </si>
  <si>
    <t>3.9.7.2</t>
  </si>
  <si>
    <t>Pemasangan 1 m2 lantai keramik artistik uk. 10x10 cm (1SP : 2PP)</t>
  </si>
  <si>
    <t>3.9.7.3</t>
  </si>
  <si>
    <t>Pemasangan 1 m2 lantai keramik artistik uk. 20x20 cm (1SP : 2PP)</t>
  </si>
  <si>
    <t>3.9.7.4</t>
  </si>
  <si>
    <t>Pemasangan 1 m2 lantai keramik artistik uk. 30x30 cm (1SP : 2PP)</t>
  </si>
  <si>
    <t>3.9.7.5</t>
  </si>
  <si>
    <t>Pemasangan 1 m2 lantai keramik artistik uk. 40x40 cm (1SP : 2PP)</t>
  </si>
  <si>
    <t>3.9.7.6</t>
  </si>
  <si>
    <t>Pemasangan 1 m' plint internal cove artistik uk. 5x5x20 cm (1SP : 2PP)</t>
  </si>
  <si>
    <t>3.9.8</t>
  </si>
  <si>
    <t>KERAMIK</t>
  </si>
  <si>
    <t>3.9.8.1</t>
  </si>
  <si>
    <t>Pemasangan 1 m2 lantai keramik uk. 20x20 cm (1SP : 2PP)</t>
  </si>
  <si>
    <t>3.9.8.2</t>
  </si>
  <si>
    <t>Pemasangan 1 m2 lantai keramik uk. 30x30 cm (1SP : 2PP)</t>
  </si>
  <si>
    <t>3.9.8.3</t>
  </si>
  <si>
    <t>Pemasangan 1 m2 lantai keramik uk. 40x40 cm (1SP : 2PP)</t>
  </si>
  <si>
    <t>3.9.8.4</t>
  </si>
  <si>
    <t>Pemasangan Lantai Keramik untuk Variasi/Border</t>
  </si>
  <si>
    <t>3.9.8.4.1</t>
  </si>
  <si>
    <t>Pemasangan 1 m2 lantai keramik uk. 30x30 cm  untuk Variasi/Border (1SP : 2PP)</t>
  </si>
  <si>
    <t>3.9.8.4.2</t>
  </si>
  <si>
    <t>Pemasangan 1 m2 lantai keramik uk. 40x40 cm  untuk Variasi/Border (1SP : 2PP)</t>
  </si>
  <si>
    <t>3.9.8.5</t>
  </si>
  <si>
    <t>Pemasangan 1 m' plint keramik uk. 10 s.d. 15x20 cm (1SP : 2PP)</t>
  </si>
  <si>
    <t>3.9.8.6</t>
  </si>
  <si>
    <t>Pemasangan 1 m' plint keramik uk. 10 s.d. 15x30 cm (1SP : 2PP)</t>
  </si>
  <si>
    <t>3.9.8.7</t>
  </si>
  <si>
    <t>Pemasangan 1 m' plint keramik uk. 10 s.d. 15x40 cm (1SP : 2PP)</t>
  </si>
  <si>
    <t>3.9.8.8</t>
  </si>
  <si>
    <t>Pemasangan 1 m' plint keramik uk. 10 s.d. 15x60 cm (1SP : 2PP)</t>
  </si>
  <si>
    <t>3.9.8.9</t>
  </si>
  <si>
    <t>Pemasangan 1 m' Step Nosing Keramik 10cm x 60 cm (1SP:2PP)</t>
  </si>
  <si>
    <t>3.9.9</t>
  </si>
  <si>
    <t>PENUTUP LANTAI LAINNYA</t>
  </si>
  <si>
    <t>3.9.9.1</t>
  </si>
  <si>
    <t>Pemasangan 1 m2 lantai marmer uk. 100x100 cm</t>
  </si>
  <si>
    <t>3.9.9.2</t>
  </si>
  <si>
    <t>Pemasangan 1 m2 lantai karpet</t>
  </si>
  <si>
    <t>3.9.9.3</t>
  </si>
  <si>
    <t>Pemasangan 1 m2 underlayer (pelapis bawah karpet)</t>
  </si>
  <si>
    <t>3.9.9.4</t>
  </si>
  <si>
    <t>Pemasangan 1 m2 lantai parquet kayu solid</t>
  </si>
  <si>
    <t>9.9.9.5</t>
  </si>
  <si>
    <t>Pemasangan 1 m2 lantai engineering wood</t>
  </si>
  <si>
    <t>3.9.9.6</t>
  </si>
  <si>
    <t>Pemasangan 1 m' plint kayu tebal 2 cm lebar 10 cm</t>
  </si>
  <si>
    <t>3.9.9.7</t>
  </si>
  <si>
    <t>Pemasangan 1 m2 lantai vinyl uk. 30x30 cm</t>
  </si>
  <si>
    <t>3.9.9.8</t>
  </si>
  <si>
    <t>Pemasangan 1 m' plint vinyl uk. 15x30 cm</t>
  </si>
  <si>
    <t>3.9.9.9</t>
  </si>
  <si>
    <t>Pemasangan 1 m2 floor hardener</t>
  </si>
  <si>
    <t>3.9.9.10</t>
  </si>
  <si>
    <t>Pemasangan 1 m2 lantai UPVC decking</t>
  </si>
  <si>
    <t>3.9.9.11</t>
  </si>
  <si>
    <t>Pemolesan 1 m2 lantai ubin teraso, granit, marmer</t>
  </si>
  <si>
    <t>3.9.9.12</t>
  </si>
  <si>
    <t>Pemasangan 1 m2 Lantai Keramik Tactile Ukuran 30x30 cm ( 1SP:2PP)</t>
  </si>
  <si>
    <t>3.9.9.13</t>
  </si>
  <si>
    <t>Pemasangan 1 m2 Lantai Keramik Tactile Ukuran 40x40 cm ( 1SP:2PP)</t>
  </si>
  <si>
    <t>3,10</t>
  </si>
  <si>
    <t>PEKERJAAN PENUTUP DINDING</t>
  </si>
  <si>
    <t>3.10.1</t>
  </si>
  <si>
    <t>Dinding Keramik</t>
  </si>
  <si>
    <t>3.10.1.1</t>
  </si>
  <si>
    <t>Pemasangan 1 m2 dinding keramik artistik uk. 10x20 cm (1SP : 2PP)</t>
  </si>
  <si>
    <t>3.10.1.2</t>
  </si>
  <si>
    <t>Pemasangan 1 m2 dinding keramik artistik uk. 5x20 cm (1SP : 2PP)</t>
  </si>
  <si>
    <t>3.10.1.3</t>
  </si>
  <si>
    <t>Pemasangan 1 m2 dinding keramik uk. 10x20 cm (1SP : 2PP)</t>
  </si>
  <si>
    <t>3.10.1.4</t>
  </si>
  <si>
    <t>Pemasangan 1 m2 dinding keramik uk. 20x20 cm (1SP : 2PP)</t>
  </si>
  <si>
    <t>3.10.2</t>
  </si>
  <si>
    <t>Dinding Homogeneous Tile</t>
  </si>
  <si>
    <t>3.10.2.1</t>
  </si>
  <si>
    <t>Pemasangan 1 m2 dinding homogeneous tile Polish uk. 30x30 cm (1SP : 2PP)</t>
  </si>
  <si>
    <t>3.10.2.2</t>
  </si>
  <si>
    <t>Pemasangan 1 m2 dinding homogeneous tile Polish uk. 40x40 cm (1SP : 2PP)</t>
  </si>
  <si>
    <t>3.10.2.3</t>
  </si>
  <si>
    <t>Pemasangan 1 m2 dinding homogeneous tile polish uk. 60x60 cm (1SP : 2PP)</t>
  </si>
  <si>
    <t>3.10.2.4</t>
  </si>
  <si>
    <t>Pemasangan 1 m2 dinding homogeneous tile Unpolish uk. 30x30 cm (1SP : 2PP)</t>
  </si>
  <si>
    <t>3.10.2.5</t>
  </si>
  <si>
    <t>Pemasangan 1 m2 dinding homogeneous tile Unpolish uk. 40x40 cm (1SP : 2PP)</t>
  </si>
  <si>
    <t>3.10.2.6</t>
  </si>
  <si>
    <t>Pemasangan 1 m2 dinding homogeneous tile Unpolish uk. 60x60 cm (1SP : 2PP)</t>
  </si>
  <si>
    <t>3.10.3</t>
  </si>
  <si>
    <t>DINDING PORSELEN</t>
  </si>
  <si>
    <t>3.10.3.1</t>
  </si>
  <si>
    <t>Pemasangan 1 m2 dinding porselen uk. 11x11 cm (1SP : 2PP)</t>
  </si>
  <si>
    <t>3.10.3.2</t>
  </si>
  <si>
    <t>Pemasangan 1 m2 dinding porselen uk. 10x20 cm (1SP : 2PP)</t>
  </si>
  <si>
    <t>3.10.3.3</t>
  </si>
  <si>
    <t>Pemasangan 1 m2 dinding porselen uk. 20x20 cm (1SP : 2PP)</t>
  </si>
  <si>
    <t>3.10.4</t>
  </si>
  <si>
    <t>DINDING BATU ALAM</t>
  </si>
  <si>
    <t>3.10.4.1</t>
  </si>
  <si>
    <t>Pemasangan 1 m2 dinding bata pelapis uk. 3x7x24 cm</t>
  </si>
  <si>
    <t>3.10.4.2</t>
  </si>
  <si>
    <t>Pemasangan 1 m2 dinding batu paras</t>
  </si>
  <si>
    <t>3.10.4.3</t>
  </si>
  <si>
    <t>Pemasangan 1 m2 dinding batu tempel hitam</t>
  </si>
  <si>
    <t>3.10.5</t>
  </si>
  <si>
    <t>PENUTUP DINDING LAINNYA</t>
  </si>
  <si>
    <t>3.10.5.1</t>
  </si>
  <si>
    <t>Pemasangan 1 m2 wallpaper lebar 50 cm</t>
  </si>
  <si>
    <t>3.10.5.2</t>
  </si>
  <si>
    <t>Pemasangan 1 m2 dinding pemisah plywood rangkap, rangka kayu kelas II</t>
  </si>
  <si>
    <t>3.10.5.3</t>
  </si>
  <si>
    <t>Pemasangan 1 m2 dinding lambisering dari papan kayu kelas I</t>
  </si>
  <si>
    <t>3.10.5.4</t>
  </si>
  <si>
    <t>Pemasangan 1 m2 dinding lambrisering dari plywood (Kayu Lapis) ukuran 120x240cm</t>
  </si>
  <si>
    <t>3.10.5.5</t>
  </si>
  <si>
    <t>Pemasangan 1 m2 dinding bilik, rangka kayu kelas III atau IV</t>
  </si>
  <si>
    <t>3.10.5.6</t>
  </si>
  <si>
    <t>Pemasangan kering 1 m2 dinding marmer 100x100 cm tebal 2 cm</t>
  </si>
  <si>
    <t>3.10.5.7</t>
  </si>
  <si>
    <t>Pemasangan basah 1 m2 dinding marmer 100x100 cm tebal 2 cm</t>
  </si>
  <si>
    <t>3.10.6</t>
  </si>
  <si>
    <t>RANGKA DINDING</t>
  </si>
  <si>
    <t>3.10.6.1</t>
  </si>
  <si>
    <t>Pemasangan 1 m2 rangka besi hollow galvanis 40x40 mm, modul 60x120 cm, untuk partisi</t>
  </si>
  <si>
    <t>3.10.6.2</t>
  </si>
  <si>
    <t>Pemasangan 1 m2 rangka dinding pemisah 60x120 cm kayu kelas II atau III</t>
  </si>
  <si>
    <t>3.10.6.3</t>
  </si>
  <si>
    <t>Pemasangan 1 m2 Rangka Besi Hollow Galvanis 20x40 mm</t>
  </si>
  <si>
    <t>3.11</t>
  </si>
  <si>
    <t>PEKERJAAN PINTU DAN JENDELA</t>
  </si>
  <si>
    <t>3.11.1</t>
  </si>
  <si>
    <t>Pintu</t>
  </si>
  <si>
    <t>3.11.1.1</t>
  </si>
  <si>
    <t>Pemasangan 1 m2 rolling door besi</t>
  </si>
  <si>
    <t>3.11.1.2</t>
  </si>
  <si>
    <t>Pemasangan 1 m2 rolling door alumunium</t>
  </si>
  <si>
    <t>3.11.1.3</t>
  </si>
  <si>
    <t>Pemasangan 1 m2 pintu lipat PVC</t>
  </si>
  <si>
    <t>3.11.1.4</t>
  </si>
  <si>
    <t>Pemasangan 1 m2 pintu aluminium strip lebar 8 cm</t>
  </si>
  <si>
    <t>3.11.1.5</t>
  </si>
  <si>
    <t>Pemasangan 1 m2 pintu kaca Tebal 6 mm rangka aluminium</t>
  </si>
  <si>
    <t>3.11.1.6</t>
  </si>
  <si>
    <t>Pemasangan 1 m2 jendela kacaTebal 6 mm  rangka aluminium</t>
  </si>
  <si>
    <t>3.11.1.7</t>
  </si>
  <si>
    <t>Pembuatan dan pemasangan 1 m2 pintu klamp standar, kayu kelas II</t>
  </si>
  <si>
    <t>3.11.1.8</t>
  </si>
  <si>
    <t>Pembuatan dan pemasangan 1 m2 pintu klamp sederhana, kayu kelas III</t>
  </si>
  <si>
    <t>3.11.1.9</t>
  </si>
  <si>
    <t>Pembuatan 1 m2 pintu dan jendela kaca, kayu kelas I atau II</t>
  </si>
  <si>
    <t>3.11.1.10</t>
  </si>
  <si>
    <t>Pembuatan 1 m2 pintu dan jendela jalusi, kayu kelas I atau II</t>
  </si>
  <si>
    <t>3.11.1.11</t>
  </si>
  <si>
    <t>Pembuatan 1 m2 daun pintu panel, kayu kelas I atau II</t>
  </si>
  <si>
    <t>3.11.1.12</t>
  </si>
  <si>
    <t>Pembuatan 1 m2 daun pintu plywood rangkap, rangka kayu kelas II tertutup (lebar s.d. 90 cm)</t>
  </si>
  <si>
    <t>3.11.1.13</t>
  </si>
  <si>
    <t>Pembuatan 1 m2 daun pintu plywood rangkap, rangka expose kayu kelas I atau II</t>
  </si>
  <si>
    <t>3.11.1.14</t>
  </si>
  <si>
    <t>Pembuatan dan pemasangan 1 buah pintu panel kayu lapis timbal di tengah (khusus RS/Laboratorium/R.Radiologi)</t>
  </si>
  <si>
    <t>3.11.1.15</t>
  </si>
  <si>
    <t>Pembuatan dan pemasangan 1 m2 pintu besi pelat baja tebal 2 mm rangkap, rangka baja siku</t>
  </si>
  <si>
    <t>3.11.1.16</t>
  </si>
  <si>
    <t>Pemasangan 1 buah pintu besi tahan api</t>
  </si>
  <si>
    <t>3.11.1.17</t>
  </si>
  <si>
    <t>Pemasangan 1 m2 pintu engineering wood</t>
  </si>
  <si>
    <t>3.11.1.18</t>
  </si>
  <si>
    <t>Pemasangan 1 buah Pintu uPVC lebar 80 cm lengkap dengan aksesoris</t>
  </si>
  <si>
    <t>3.11.1.19</t>
  </si>
  <si>
    <t>Pemasangan 1 buah Pintu uPVC lebar 70 cm lengkap dengan aksesoris</t>
  </si>
  <si>
    <t>3.11.2</t>
  </si>
  <si>
    <t>JENDELA</t>
  </si>
  <si>
    <t>3.11.2.1</t>
  </si>
  <si>
    <t>Pemasangan 1 m2 Jendela Kaca Tebal 5 mm Nako Aluminium</t>
  </si>
  <si>
    <t>3.11.2.2</t>
  </si>
  <si>
    <t>Pemasangan 1 m2 jendela Kaca Tebal 5 mm nako dan tralis</t>
  </si>
  <si>
    <t>3.11.2.4</t>
  </si>
  <si>
    <t>Pemasangan 1 buah Jendela Kaca Upvc 1 daun ukuran 0,79 x 1,30 m</t>
  </si>
  <si>
    <t>3.11.3</t>
  </si>
  <si>
    <t>Kusen Pintu dan Jendela</t>
  </si>
  <si>
    <t>3.11.3.1</t>
  </si>
  <si>
    <t>Pemasangan 1 m' kusen aluminium</t>
  </si>
  <si>
    <t>3.11.3.2</t>
  </si>
  <si>
    <t>Pembuatan dan pemasangan 1 m’ kusen pintu dan kusen jendela, kayu kelas I uk. 6x12 cm</t>
  </si>
  <si>
    <t>3.11.3.3</t>
  </si>
  <si>
    <t>Pembuatan dan pemasangan 1 m’ kusen pintu dan kusen jendela, kayu kelas I uk. 6x15 cm</t>
  </si>
  <si>
    <t>3.11.3.4</t>
  </si>
  <si>
    <t>Pembuatan dan pemasangan 1 m’ kusen pintu dan kusen jendela, kayu kelas II atau III uk. 6x12 cm</t>
  </si>
  <si>
    <t>3.11.3.5</t>
  </si>
  <si>
    <t>Pembuatan dan pemasangan 1 m’ kusen pintu dan kusen jendela, kayu kelas II atau III uk. 6x15 cm</t>
  </si>
  <si>
    <t>3.11.3.6</t>
  </si>
  <si>
    <t>Pembuatan dan pemasangan 1 m2 jalusi kusen, kayu kelas I atau II</t>
  </si>
  <si>
    <t>3.11.3.7</t>
  </si>
  <si>
    <t>Pemasangan 1 buah Jalusi Upvc</t>
  </si>
  <si>
    <t>3.11.3.8</t>
  </si>
  <si>
    <t>Pemasangan 1 buah Kusen Bovenlight uPVC</t>
  </si>
  <si>
    <t>3.11.4</t>
  </si>
  <si>
    <t>AKSESORIS PINTU DA JENDELA</t>
  </si>
  <si>
    <t>3.11.4.1</t>
  </si>
  <si>
    <t>Pemasangan 1 buah kunci tanam antik</t>
  </si>
  <si>
    <t>3.11.4.2</t>
  </si>
  <si>
    <t>Pemasangan 1 buah kunci tanam biasa</t>
  </si>
  <si>
    <t>3.11.4.3</t>
  </si>
  <si>
    <t>Pemasangan 1 buah kunci tanam kamar mandi</t>
  </si>
  <si>
    <t>3.11.4.4</t>
  </si>
  <si>
    <t>Pemasangan 1 buah kunci tanam silinder</t>
  </si>
  <si>
    <t>3.11.4.5</t>
  </si>
  <si>
    <t>Pemasangan 1 buah engsel pintu</t>
  </si>
  <si>
    <t>3.11.4.6</t>
  </si>
  <si>
    <t>Pemasangan 1 buah engsel tanam (floor hinge)</t>
  </si>
  <si>
    <t>3.11.4.7</t>
  </si>
  <si>
    <t>Pemasangan 1 buah Door Closer</t>
  </si>
  <si>
    <t>3.11.4.8</t>
  </si>
  <si>
    <t>Pemasangan 1 buah Door Holder</t>
  </si>
  <si>
    <t>3.11.4.9</t>
  </si>
  <si>
    <t>Pemasangan 1 buah Door Stop</t>
  </si>
  <si>
    <t>3.11.4.10</t>
  </si>
  <si>
    <t>Pemasangan 1 buah Rel Pintu Dorong</t>
  </si>
  <si>
    <t>3.11.4.11</t>
  </si>
  <si>
    <t>Pemasangan 1 buah Venetions Blinds dan Vertical Blinds</t>
  </si>
  <si>
    <t>3.11.4.12</t>
  </si>
  <si>
    <t>Pemasangan 1 m2 Teralis Besi Strip</t>
  </si>
  <si>
    <t>3.11.4.13</t>
  </si>
  <si>
    <t>Pemasangan 1 m2 Kawat Nyamuk Rangka Besi</t>
  </si>
  <si>
    <t>3.11.4.13.1</t>
  </si>
  <si>
    <t>Pemasangan 1 m2 Kawat Nyamuk Rangka Kayu Kelas II</t>
  </si>
  <si>
    <t>3.11.4.14</t>
  </si>
  <si>
    <t>Pemasangan 1 Buah Kunci Slot (Grendel) untuk Jedela</t>
  </si>
  <si>
    <t>3.11.4.15</t>
  </si>
  <si>
    <t>Pemasangan 1 buah engsel jendela kupu-kupu</t>
  </si>
  <si>
    <t>3.11.4.16</t>
  </si>
  <si>
    <t>Pemasangan 1 buah engsel angin</t>
  </si>
  <si>
    <t>3.11.4.17</t>
  </si>
  <si>
    <t>Pemasangan 1 buah spring knip (kunci slot) untuk jendela</t>
  </si>
  <si>
    <t>3.11.4.18</t>
  </si>
  <si>
    <t>Pemasangan 1 buah kait angin</t>
  </si>
  <si>
    <t>3.11.4.19</t>
  </si>
  <si>
    <t>Pemasangan 1 buah kunci lemari</t>
  </si>
  <si>
    <t>3.11.4.20</t>
  </si>
  <si>
    <t>Pemasangan 1 buah grendel</t>
  </si>
  <si>
    <t>3.11.4.21</t>
  </si>
  <si>
    <t>Pemasangan 1 buah grendel tanam</t>
  </si>
  <si>
    <t>3.11.4.22</t>
  </si>
  <si>
    <t>Pemasangan 1 buah Handle Jendela</t>
  </si>
  <si>
    <t>3.12</t>
  </si>
  <si>
    <t>PEKERJAAN KACA</t>
  </si>
  <si>
    <t>3.12.1</t>
  </si>
  <si>
    <t>Pemasangan 1 m2 sunscreen alumunium</t>
  </si>
  <si>
    <t>3.12.2</t>
  </si>
  <si>
    <t>Pemasangan 1 m2 kaca polos tebal 3 mm</t>
  </si>
  <si>
    <t>3.12.3</t>
  </si>
  <si>
    <t>Pemasangan 1 m2 kaca polos tebal 5 mm</t>
  </si>
  <si>
    <t>3.12.4</t>
  </si>
  <si>
    <t>Pemasangan 1 m2 kaca polos tebal 6 mm</t>
  </si>
  <si>
    <t>3.12.5</t>
  </si>
  <si>
    <t>Pemasangan 1 m2 kaca polos tebal 8 mm</t>
  </si>
  <si>
    <t>3.12.6</t>
  </si>
  <si>
    <t>Pemasangan 1 m2 kaca buram tebal 12 mm</t>
  </si>
  <si>
    <t>3.12.7</t>
  </si>
  <si>
    <t>Pemasangan 1 m2 kaca cermin tebal 5 mm</t>
  </si>
  <si>
    <t>3.12.8</t>
  </si>
  <si>
    <t>Pemasangan 1 m2 kaca cermin tebal 8 mm</t>
  </si>
  <si>
    <t>3.12.9</t>
  </si>
  <si>
    <t>Pemasangan 1 m2 kaca wireglass tebal 5 mm</t>
  </si>
  <si>
    <t>3.12.10</t>
  </si>
  <si>
    <t>Pemasangan 1 m2 kaca patri tebal 5 mm</t>
  </si>
  <si>
    <t>3.12.11</t>
  </si>
  <si>
    <t>Pemasangan 1 m2 kaca laminated tebal 16 mm (8 mm double)</t>
  </si>
  <si>
    <t>3.12.12</t>
  </si>
  <si>
    <t>Pemasangan 1 m2 kaca laminated tebal 16 mm (8 mm double) dengan aluminium frame</t>
  </si>
  <si>
    <t>3.12.13</t>
  </si>
  <si>
    <t>Pemasangan 1 m2 kaca tempered tebal 12 mm</t>
  </si>
  <si>
    <t>3.12.14</t>
  </si>
  <si>
    <t>Pemasangan 1 m2 kaca laminated tebal 12 mm dengan aluminium frame</t>
  </si>
  <si>
    <t>3.13</t>
  </si>
  <si>
    <t>PEKERJAAN BESI DAN ALUMINIUM</t>
  </si>
  <si>
    <t>3.13.1</t>
  </si>
  <si>
    <t>Pemasangan 1 m’ Shalimar Aluminium</t>
  </si>
  <si>
    <t>3.13.2</t>
  </si>
  <si>
    <t>Pemasangan 1 m2 profil jalusi aluminium</t>
  </si>
  <si>
    <t>3.13.3</t>
  </si>
  <si>
    <t>Pengelasan 1 m’ dengan las listrik</t>
  </si>
  <si>
    <t>3.13.4</t>
  </si>
  <si>
    <t>Pembuatan dan pemasangan 1 m' railing besi pengaman tinggi 1.2 m</t>
  </si>
  <si>
    <t>3.13.5</t>
  </si>
  <si>
    <t>Pembuatan dan pemasangan 1 m' railing tangga/ramp dan hand rail tinggi 0.85 m dan 0.65 m</t>
  </si>
  <si>
    <t>3.13.6</t>
  </si>
  <si>
    <t>Pemasangan 1 buah Tangga Service tinggi 4 meter</t>
  </si>
  <si>
    <t>3.14</t>
  </si>
  <si>
    <t>PEKERJAAN KAYU</t>
  </si>
  <si>
    <t>3.14.1</t>
  </si>
  <si>
    <t>Pembuatan 1 m2 Plywood Rangkap, Rangka Expose Kayu Kelas I</t>
  </si>
  <si>
    <t>3.14.2</t>
  </si>
  <si>
    <t>Pembuatan 1 m2 Plywood Lapis Formika, Rangka Expose Kayu Kelas Ii</t>
  </si>
  <si>
    <t>3.15</t>
  </si>
  <si>
    <t>PEKEJAAN MONUMEN DAN ORNAMEN</t>
  </si>
  <si>
    <t>3.15.1</t>
  </si>
  <si>
    <t>Pemasangan 1 buah jendela ornamen GRC</t>
  </si>
  <si>
    <t>3.16</t>
  </si>
  <si>
    <t>PEKERJAAN SIGNAGE</t>
  </si>
  <si>
    <t>3.16.1</t>
  </si>
  <si>
    <t>Pemasangan Logo PU</t>
  </si>
  <si>
    <t>3.16.1.1</t>
  </si>
  <si>
    <t>Pemasangan 1 buah Logo PU plat besi finish cat uk. 80x80 cm dengan scaffolding</t>
  </si>
  <si>
    <t>3.16.1.2</t>
  </si>
  <si>
    <t>Pemasangan Logo PU Pelat Besi Finish Cat ukuran 80x80 cm dengan gendola</t>
  </si>
  <si>
    <t>3.16.2</t>
  </si>
  <si>
    <t>Pemasangan Signage Plat Baja Menggunakan Tiang</t>
  </si>
  <si>
    <t>3.16.2.1</t>
  </si>
  <si>
    <t>Pemasangan Signage Plat Baja pada Dinding</t>
  </si>
  <si>
    <t>3.16.3</t>
  </si>
  <si>
    <t>Pemasangan Signage dengan Acrylic</t>
  </si>
  <si>
    <t>3.16.4</t>
  </si>
  <si>
    <t>Pemasangan 1 m2 signage dengan cutting</t>
  </si>
  <si>
    <t>3.16.5</t>
  </si>
  <si>
    <t>Pemasangan 1 m2 Marka dengan Cat Thermoplast</t>
  </si>
  <si>
    <t>n2</t>
  </si>
  <si>
    <t>3.16.6</t>
  </si>
  <si>
    <t>Pemasangan 1 buah Logo PU Akrilik ukuran 40x40 cm</t>
  </si>
  <si>
    <t>3.16.7</t>
  </si>
  <si>
    <t>Pemasangan 1 buah Nomor Rumah Akrilik ukuran 15x30 cm</t>
  </si>
  <si>
    <t>3.17</t>
  </si>
  <si>
    <t>PEKERJAAN FASAD ( Dalam proses Pengembangan dan Kajian)</t>
  </si>
  <si>
    <t>3.18</t>
  </si>
  <si>
    <t>PEKERJAAN SANITAIR</t>
  </si>
  <si>
    <t>3.18.1</t>
  </si>
  <si>
    <t>WESTAFEL</t>
  </si>
  <si>
    <t>3.18.1.1</t>
  </si>
  <si>
    <t>Pemasangan 1 buah wastafel</t>
  </si>
  <si>
    <t>3.18.2</t>
  </si>
  <si>
    <t>KITCHEN SINK</t>
  </si>
  <si>
    <t>3.18.2.1</t>
  </si>
  <si>
    <t>Pemasangan 1 buah Bak Cuci Piring Stainlessteel</t>
  </si>
  <si>
    <t>3.18.2.2</t>
  </si>
  <si>
    <t>Pemasangan 1 Buah Bak Cuci Piring Teraso</t>
  </si>
  <si>
    <t>3.18.3</t>
  </si>
  <si>
    <t>KLOSET</t>
  </si>
  <si>
    <t>3.18.3.1</t>
  </si>
  <si>
    <t>Pemasangan 1 buah closet duduk/monoblock</t>
  </si>
  <si>
    <t>3.18.3.2</t>
  </si>
  <si>
    <t>Pemasangan 1 buah closet jongkok</t>
  </si>
  <si>
    <t>3.18.3.3</t>
  </si>
  <si>
    <t>Pemasangan 1 m2 kubikel toilet</t>
  </si>
  <si>
    <t>3.18.4</t>
  </si>
  <si>
    <t>URINOIR</t>
  </si>
  <si>
    <t>3.18.4.1</t>
  </si>
  <si>
    <t>Pemasangan 1 buah urinoir</t>
  </si>
  <si>
    <t>3.18.4.2</t>
  </si>
  <si>
    <t>Pemasangan 1 buah partisi urinoir</t>
  </si>
  <si>
    <t>3.18.5</t>
  </si>
  <si>
    <t>BAK AIR</t>
  </si>
  <si>
    <t>3.18.5.1</t>
  </si>
  <si>
    <t>Pemasangan 1 buah bak mandi teraso vol. 0,3 m3</t>
  </si>
  <si>
    <t>3.18.5.2</t>
  </si>
  <si>
    <t>Pemasangan 1 buah bak mandi pasangan bata vol. 0,3 m3</t>
  </si>
  <si>
    <t>3.18.5.3</t>
  </si>
  <si>
    <t>Pemasangan 1 buah bak fiberglass vol. 0,3 m3</t>
  </si>
  <si>
    <t>3.18.5.4</t>
  </si>
  <si>
    <t>Pemasangan 1 buah bak fiberglass vol. 1 m3</t>
  </si>
  <si>
    <t>3.18.5.5</t>
  </si>
  <si>
    <t>Pemasangan 1 buah bak beton vol. 1 m3</t>
  </si>
  <si>
    <t>3.18.5.6</t>
  </si>
  <si>
    <t>Pemasangan 1 buah bathup</t>
  </si>
  <si>
    <t>3.18.6</t>
  </si>
  <si>
    <t>AKSESORIS SANITAIR</t>
  </si>
  <si>
    <t>3.18.6.1</t>
  </si>
  <si>
    <t>Pemasangan 1 buah floor drain stainless steel</t>
  </si>
  <si>
    <t>3.18.6.2</t>
  </si>
  <si>
    <t>Pemasanga 1 Buah Kran</t>
  </si>
  <si>
    <t>3.18.6.2.1</t>
  </si>
  <si>
    <t>Pemasangan 1 buah kran diameter ½" atau 3/4"</t>
  </si>
  <si>
    <t>3.18.6.3</t>
  </si>
  <si>
    <t>Pemasangan 1 buah jet washer</t>
  </si>
  <si>
    <t>3.18.6.4</t>
  </si>
  <si>
    <t>Pemasangan 1 buah gantungan baju (robe hook)</t>
  </si>
  <si>
    <t>3.18.6.5</t>
  </si>
  <si>
    <t>Pemasangan 1 buah towel bar</t>
  </si>
  <si>
    <t>3.18.6.6</t>
  </si>
  <si>
    <t>Pemasangan 1 buah grab bar</t>
  </si>
  <si>
    <t>3.18.6.7</t>
  </si>
  <si>
    <t>Pemasangan 1 buah soap holder</t>
  </si>
  <si>
    <t>3.18.6.8</t>
  </si>
  <si>
    <t>Pemasangan 1 buah tissue holder</t>
  </si>
  <si>
    <t>3.18.6.9</t>
  </si>
  <si>
    <t>Pemasangan 1 buah Shower Set</t>
  </si>
  <si>
    <t>4</t>
  </si>
  <si>
    <t>PEKERJAAN LANSEKAP</t>
  </si>
  <si>
    <t>4.1</t>
  </si>
  <si>
    <t>Pekerjaan Penanaman Taman</t>
  </si>
  <si>
    <t>4.1.1</t>
  </si>
  <si>
    <t>HSD Pengadaan dan Pengangkutan Tanaman</t>
  </si>
  <si>
    <t>4.1.1.1</t>
  </si>
  <si>
    <t>Analisa Biaya Operasi Alat Berat untuk Pengangkutan Tanaman</t>
  </si>
  <si>
    <t>4.1.1.2</t>
  </si>
  <si>
    <t>Analisis Produktivitas Truck Angkutan Pohon Kecil di Polybag 20 Liter</t>
  </si>
  <si>
    <t>4.1.1.3</t>
  </si>
  <si>
    <t>Pengadaan dan Pengangkutan Pohon Kecil di Polybag 20 Liter</t>
  </si>
  <si>
    <t>4.1.1.4</t>
  </si>
  <si>
    <t>Analisis Produktivitas Truck Angkut Pohon Kecil di Polybag 25 Liter</t>
  </si>
  <si>
    <t>4.1.1.5</t>
  </si>
  <si>
    <t>Pengadaan dan Pengangkutan Pohon Kecil di Polybag 25 Liter</t>
  </si>
  <si>
    <t>4.1.1.6</t>
  </si>
  <si>
    <t>Analisis Produktivitas Truck Angkutan Pohon Sedang di Polybag 50 Liter</t>
  </si>
  <si>
    <t>4.1.1.7</t>
  </si>
  <si>
    <t>Pengadaan dan Pengangkutan Pohon Sedang di Polybag 50 Liter</t>
  </si>
  <si>
    <t>4.1.1.8</t>
  </si>
  <si>
    <t>Analisis Poduktivitas Truck Angkutan Pohon Sedang di Polybag 75 Liter</t>
  </si>
  <si>
    <t>4.1.1.9</t>
  </si>
  <si>
    <t>Pengadaan dan Pengangkutan Pohon Sedang di Polybag 75 Liter</t>
  </si>
  <si>
    <t>4.1.1.10</t>
  </si>
  <si>
    <t>Analisis Poduktivitas Truck Angkutan Pohon Sedang di Polybag 100 Liter</t>
  </si>
  <si>
    <t>4.1.1.11</t>
  </si>
  <si>
    <t>Pengadaan dan Pengangkutan Pohon Besar di Polybag 100 Liter</t>
  </si>
  <si>
    <t>4.1.1.12</t>
  </si>
  <si>
    <t>Analisis Poduktivitas Truck Angkutan Pohon Sedang di Polybag 150 Liter</t>
  </si>
  <si>
    <t>4.1.1.13</t>
  </si>
  <si>
    <t>Pengadaan dan Pengangkutan Pohon Besar di Polybag 150 Liter</t>
  </si>
  <si>
    <t>4.1.1.14</t>
  </si>
  <si>
    <t>Analisis Poduktivitas Truck Angkutan Pohon Sedang di Polybag 200 Liter</t>
  </si>
  <si>
    <t>4.1.1.15</t>
  </si>
  <si>
    <t>Pengadaan dan Pengangkutan Pohon Besar di Polybag 200 Liter</t>
  </si>
  <si>
    <t>4.1.1.16</t>
  </si>
  <si>
    <t>Analisis Poduktivitas Truck Angkutan Pohon Sedang di Polybag 250 Liter</t>
  </si>
  <si>
    <t>4.1.1.17</t>
  </si>
  <si>
    <t>Pengadaan dan Pengangkutan Pohon Besar di Polybag 250 Liter</t>
  </si>
  <si>
    <t>4.1.1.18</t>
  </si>
  <si>
    <t>Analisis Poduktivitas Truck Angkutan Semak di Polybag 5 Liter Liter</t>
  </si>
  <si>
    <t>4.1.1.19</t>
  </si>
  <si>
    <t>Pengadaan dan Pengangkutan Semak di Polybag 5 Liter</t>
  </si>
  <si>
    <t>4.1.1.20</t>
  </si>
  <si>
    <t>Analisis Poduktivitas Truck Angkutan Semak di Polybag 11 Liter</t>
  </si>
  <si>
    <t>4.1.1.21</t>
  </si>
  <si>
    <t>Pengadaan dan Pengangkutan Semak di Polybag 11 Liter</t>
  </si>
  <si>
    <t>4.1.1.22</t>
  </si>
  <si>
    <t>Analisis Poduktivitas Truck Angkutan Semak di Polybag 20 Liter</t>
  </si>
  <si>
    <t>4.1.1.23</t>
  </si>
  <si>
    <t>Pengadaan dan Pengangkutan Semak di Polybag 20 Liter</t>
  </si>
  <si>
    <t>4.1.1.24</t>
  </si>
  <si>
    <t>Analisis Poduktivitas Truck Angkutan Penutup Tanah</t>
  </si>
  <si>
    <t>4.1.1.25</t>
  </si>
  <si>
    <t>Pengadaan dan Pengangkutan Penutup Tanah</t>
  </si>
  <si>
    <t>4.1.1.26</t>
  </si>
  <si>
    <t>Analisis Poduktivitas Truck Angkutan Rumput</t>
  </si>
  <si>
    <t>4.1.1.27</t>
  </si>
  <si>
    <t>Pengadaan dan Pengangkutan Rumput</t>
  </si>
  <si>
    <t>4.1.1.28</t>
  </si>
  <si>
    <t>Harga Satuan Dasar Water Truck untuk Penyiraman</t>
  </si>
  <si>
    <t>4.1.2</t>
  </si>
  <si>
    <t>Penanaman Pohon</t>
  </si>
  <si>
    <t>4.1.2.1</t>
  </si>
  <si>
    <t>Pohon Kecil , Polibag 20 L</t>
  </si>
  <si>
    <t>4.1.2.1.1</t>
  </si>
  <si>
    <t>Penanaman 1 Buah Pohon Kecil Bungan Mentega (Natrium Oleander ) Diameter 1-2 cm, Tinggi 2-2,5 Meter, Polibag 20 L</t>
  </si>
  <si>
    <t>4.1.2.1.2</t>
  </si>
  <si>
    <t>Penanaman 1 Buah Pohon Kecil Bunga Terompet Kuning (Tecoma Stans) Diameter 1-2 cm, Tinggi 2-2,5 Meter, Polibag 20 L</t>
  </si>
  <si>
    <t>4.1.2.1.3</t>
  </si>
  <si>
    <t>Penanaman 1 Buah Pohon Kecil Bungur Sakura / Bungur Jepang (Lagerstromia indica) Diameter 1-2 cm, Tinggi 2-2,5 Meter, Polibag 20 L</t>
  </si>
  <si>
    <t>4.1.2.1.4</t>
  </si>
  <si>
    <t>Penanaman 1 Buah Pohon Kecil Cassia Glauca / Hujan Emas (Sena Surttensis) Diameter 1-2 cm, Tinggi 2-2,5 Meter, Polibag 20 L</t>
  </si>
  <si>
    <t>4.1.2.1.5</t>
  </si>
  <si>
    <t>Penanaman 1 Buah Pohon Kecil Dracaena ' song of india' (Dracaena Reflexa "sog of india) Diameter 1-2 cm, Tinggi 2-2,5 Meter, Polibag 20 L</t>
  </si>
  <si>
    <t>4.1.2.1.6</t>
  </si>
  <si>
    <t>Penanaman 1 Buah Pohon Kecil Dracaena 'Song of Jamaica'
(Dracaena Reflexa "Song of Jamaica") Diameter 1-2 cm, Tinggi 2-2,5 Meter, Polibag 20 L</t>
  </si>
  <si>
    <t>4.1.2.1.7</t>
  </si>
  <si>
    <t>Penanaman 1 Buah Pohon Kecil Jarak Batavia (Jatropha
Integerrima) Diameter 1-2 cm, Tinggi 2-2,5 Meter, Polibag 20 L</t>
  </si>
  <si>
    <t>4.1.2.1.8</t>
  </si>
  <si>
    <t>Penanaman 1 Buah Pohon Kecil Kayu Putih Kuning (Melaleuca
Revolution Gold) Diameter 1-2 cm, Tinggi 2-2,5 Meter, Polibag 20 L</t>
  </si>
  <si>
    <t>4.1.2.1.9</t>
  </si>
  <si>
    <t>Penanaman 1 Buah Pohon Kecil Bugenvil/Bunga Kertas
(Bougainvillea sp.) Diameter 1-2 cm, Tinggi 2-2,5 Meter, Polibag 20 L</t>
  </si>
  <si>
    <t>4.1.2.1.10</t>
  </si>
  <si>
    <t>Penanaman 1 Buah Pohon Kecil Penda Merah (Xanthostemon
Youngii) Diameter 1-2 cm, Tinggi 2-2,5 Meter, Polibag 20 L</t>
  </si>
  <si>
    <t>4.1.2.1.11</t>
  </si>
  <si>
    <t>Penanaman 1 Buah Pohon Kecil Pucuk Merah (Syzygium
Myrtifolium) Diameter 1-2 cm, Tinggi 2-2,5 Meter, Polibag 20 L</t>
  </si>
  <si>
    <t>4.1.2.1.12</t>
  </si>
  <si>
    <t>Penanaman 1 Buah Pohon Kecil Sikat Botol (Callistemon
Viminalis) Diameter 1-2 cm, Tinggi 2-2,5 Meter, Polibag 20 L</t>
  </si>
  <si>
    <t>4.1.2.1.13</t>
  </si>
  <si>
    <t>Penanaman 1 Buah Pohon Kecil Thevetia (Thevetia Peruviana) Diameter 1-2 cm, Tinggi 2-2,5 Meter, Polibag 20 L</t>
  </si>
  <si>
    <t>4.1.2.1.14</t>
  </si>
  <si>
    <t>Penanaman 1 Buah Pohon Kecil Turi (Sesbania Grandiflora) Diameter 1-2 cm, Tinggi 2-2,5 Meter, Polibag 20 L</t>
  </si>
  <si>
    <t>4.1.2.1.15</t>
  </si>
  <si>
    <t>Penanaman 1 Buah Pohon Kecil Kembang Merak (Caesalpinia
Pulcherrima)Diameter 1-2 cm, Tinggi 2-2,5 Meter, Polibag 20 L</t>
  </si>
  <si>
    <t>4.1.2.1.16</t>
  </si>
  <si>
    <t>Penanaman 1 Buah Pohon Kecil Pandan Bali (Cordyline
Australis) Diameter 1-2 cm, Tinggi 2-2,5 Meter, Polibag 20 L</t>
  </si>
  <si>
    <t>4.1.2.1.17</t>
  </si>
  <si>
    <t>Penanaman 1 Buah Pohon Kecil Yucca (Yucca sp.) Diameter 1-2 cm, Tinggi 2-2,5 Meter, Polibag 20 L</t>
  </si>
  <si>
    <t>4.1.2.2</t>
  </si>
  <si>
    <t>Poho Kecil, Polybag 25 L</t>
  </si>
  <si>
    <t>4.1.2.2.1</t>
  </si>
  <si>
    <t>Penanaman 1 Buah Pohon Kecil Bugan Mentega (Natrium Oleande) Diameter 2-3 cm, Tinggi 2-2,5 meter, Polybag 25 L</t>
  </si>
  <si>
    <t>4.1.2.2.2</t>
  </si>
  <si>
    <t>Penanaman 1 Buah Pohon Kecil Bunga Terompet Kuning
(Tecoma stans) Diameter 2-3 cm, Tinggi 2-2,5 meter, Polybag 25 L</t>
  </si>
  <si>
    <t>4.1.2.2.3</t>
  </si>
  <si>
    <t>Penanaman 1 Buah Pohon Kecil Bunga Terompet Kuning
(Tecoma stans)Bungur Sakura/Bungur Jepang
(Lagerstroemia indica), Diameter 2-3 cm, Tinggi 2-2,5 meter, Polybag 25 L</t>
  </si>
  <si>
    <t>4.1.2.2.4</t>
  </si>
  <si>
    <t>Penanaman 1 Buah Pohon KecilCassia Glauca (Senna
Surattensis), Diameter 2-3 cm, Tinggi 2-2,5 meter, Polybag 25 L</t>
  </si>
  <si>
    <t>4.1.2.2.5</t>
  </si>
  <si>
    <t>Penanaman 1 Buah Pohon Kecil Dracaena ‘Song of India’
(Dracaena reflexa "song of india"), Diameter 2-3 cm, Tinggi 2-2,5 meter, Polybag 25 L</t>
  </si>
  <si>
    <t>4.1.2.2.6</t>
  </si>
  <si>
    <t>Penanaman 1 Buah Pohon Kecil Dracaena 'Song of Jamaica'
(Dracaena reflexa "song of jamaica"), Diameter 2-3 cm, Tinggi 2-2,5 meter, Polybag 25 L</t>
  </si>
  <si>
    <t>4.1.2.2.7</t>
  </si>
  <si>
    <t>Penanaman 1 Buah Pohon Kecil Jarak Batavia (Jatropha Integerrima), Diameter 2-3 cm, Tinggi 2-2,5 meter, Polybag 25 L</t>
  </si>
  <si>
    <t>4.1.2.2.8</t>
  </si>
  <si>
    <t>Penanaman 1 Buah Pohon Kecil Kayu Putih Kuning (Melaleuca Revolution Gold),  Diameter 2-3 cm, Tinggi 2-2,5 meter, Polybag 25 L</t>
  </si>
  <si>
    <t>4.1.2.2.9</t>
  </si>
  <si>
    <t>Penanaman 1 Buah Pohon Kecil Pucuk Merah (Syzygium Myrtifolium), Diameter 2-3 cm, Tinggi 2-2,5 meter, Polybag 25 L</t>
  </si>
  <si>
    <t>4.1.2.2.10</t>
  </si>
  <si>
    <t>Penanaman 1 Buah Pohon Kecil Sikat Botol (Callistemon
Viminalis),  Diameter 2-3 cm, Tinggi 2-2,5 meter, Polybag 25 L</t>
  </si>
  <si>
    <t>4.1.2.2.11</t>
  </si>
  <si>
    <t>Penanaman 1 Buah Pohon Kecil Kecil Thevetia (Thevetia peruviana),  Diameter 2-3 cm, Tinggi 2-2,5 meter, Polybag 25 L</t>
  </si>
  <si>
    <t>4.1.2.2.12</t>
  </si>
  <si>
    <t>Penanaman 1 Buah Pohon Kecil Turi (Sesbania Grandiflora),  Diameter 2-3 cm, Tinggi 2-2,5 meter, Polybag 25 L</t>
  </si>
  <si>
    <t>4.1.2.2.13</t>
  </si>
  <si>
    <t>4.1.2.3</t>
  </si>
  <si>
    <t>Pohon Sedang, Polybag 50 L</t>
  </si>
  <si>
    <t>4.1.2.3.1</t>
  </si>
  <si>
    <t>Penanaman 1 Buah Pohon Sedang Bintaro (Cerbera Manghas), Diameter 3-5 cm, Tinggi 3-4 Meter, Polybag 50 L</t>
  </si>
  <si>
    <t>Buah</t>
  </si>
  <si>
    <t>4.1.2.3.2</t>
  </si>
  <si>
    <t>Penanaman 1 Buah Pohon Sedang Bunga Kupu-Kupu (Bauhinia
Blakeana/Purpurea),, Diameter 3-5 cm, Tinggi 3-4 Meter, Polybag 50 L</t>
  </si>
  <si>
    <t>4.1.2.3.3</t>
  </si>
  <si>
    <t>Penanaman 1 Buah Pohon Sedang Bunga Terompet Kuning (Tecoma stans), Diameter 3-5 cm, Tinggi 3-4 Meter, Polybag 50 L</t>
  </si>
  <si>
    <t>4.1.2.3.4</t>
  </si>
  <si>
    <t>Penanaman 1 Buah Pohon Sedang Bunga Flamboyan (Delonix Regia), Diameter 3-5 cm, Tinggi 3-4 Meter, Polybag 50 L</t>
  </si>
  <si>
    <t>4.1.2.3.5</t>
  </si>
  <si>
    <t>Penanaman 1 Buah Pohon Sedang Flamboyan Kuning (Peltophorum Pterocarpum), Diameter 3-5 cm, Tinggi 3-4 Meter, Polybag 50 L</t>
  </si>
  <si>
    <t>4.1.2.3.6</t>
  </si>
  <si>
    <t>Penanaman 1 Buah Pohon Sedang Janda Merana (Salix Babilonica), Diameter 3-5 cm, Tinggi 3-4 Meter, Polybag 50 L</t>
  </si>
  <si>
    <t>4.1.2.3.7</t>
  </si>
  <si>
    <t>Penanaman 1 Buah Pohon Sedang Ketapang kencana (Terminalia mantaly), Diameter 3-5 cm, Tinggi 3-4 Meter, Polybag 50 L</t>
  </si>
  <si>
    <t>4.1.2.3.8</t>
  </si>
  <si>
    <t>Penanaman 1 Buah Pohon Sedang Sosis (Kigelia Africana), Diameter 3-5 cm, Tinggi 3-4 Meter, Polybag 50 L</t>
  </si>
  <si>
    <t>4.1.2.3.9</t>
  </si>
  <si>
    <t>Penanaman 1 Buah Pohon Sedang Tabebuya (Tabebuia sp.) Diameter 3-5 cm, Tinggi 3-4 Meter, Polybag 50 L</t>
  </si>
  <si>
    <t>4.1.2.3.10</t>
  </si>
  <si>
    <t>Penanaman 1 Buah Pohon Sedang Waru (Hibiscus Tiliaceus), Diameter 3-5 cm, Tinggi 3-4 Meter, Polybag 50 L</t>
  </si>
  <si>
    <t>4.1.2.3.11</t>
  </si>
  <si>
    <t>4.1.2.4</t>
  </si>
  <si>
    <t>Pohon Sedang, Polybag 75 L</t>
  </si>
  <si>
    <t>4.1.2.4.1</t>
  </si>
  <si>
    <t>Penanaman 1 Buah Poho Sedang Bitaro (Cerbera Manghas), Diameter 5-7 cm, Tinggi 3-4 Meter Polybag 75 L</t>
  </si>
  <si>
    <t>4.1.2.4.2</t>
  </si>
  <si>
    <t>Penanaman 1 Buah Poho Sedang Biola Cantik (Ficus Lyrata), Diameter 5-7 cm, Tinggi 3-4 Meter Polybag 75 L</t>
  </si>
  <si>
    <t>4.1.2.4.3</t>
  </si>
  <si>
    <t>Penanaman 1 Buah Poho Sedang Bunga Kupu-Kupu (Bauhinia Blakeana/Purpurea), Diameter 5-7 cm, Tinggi 3-4 Meter Polybag 75 L</t>
  </si>
  <si>
    <t>4.1.2.4.4</t>
  </si>
  <si>
    <t>Penanaman 1 Buah Poho Sedang Bungur (Lagerstroemia Speciosa),  Diameter 5-7 cm, Tinggi 3-4 Meter Polybag 75 L</t>
  </si>
  <si>
    <t>4.1.2.4.5</t>
  </si>
  <si>
    <t>Penanaman 1 Buah Poho Sedang Flamboyan (Delonix Regia),  Diameter 5-7 cm, Tinggi 3-4 Meter Polybag 75 L</t>
  </si>
  <si>
    <t>4.1.2.4.6</t>
  </si>
  <si>
    <t>Penanaman 1 Buah Poho Sedang Flamboyan Kuning (Peltophorum Pterocarpum),  Diameter 5-7 cm, Tinggi 3-4 Meter Polybag 75 L</t>
  </si>
  <si>
    <t>4.1.2.4.7</t>
  </si>
  <si>
    <t>Penanaman 1 Buah Poho SedangJanda Merana (Salix Babilonica), Diameter 5-7 cm, Tinggi 3-4 Meter Polybag 75 L</t>
  </si>
  <si>
    <t>4.1.2.4.8</t>
  </si>
  <si>
    <t>Penanaman 1 Buah Poho Sedang Kamboja (Plumeria Sp.), Diameter 5-7 cm, Tinggi 3-4 Meter Polybag 75 L</t>
  </si>
  <si>
    <t>4.1.2.4.9</t>
  </si>
  <si>
    <t>Penanaman 1 Buah Poho Sedang Keben (Barringtonia Asiatica), Diameter 5-7 cm, Tinggi 3-4 Meter Polybag 75 L</t>
  </si>
  <si>
    <t>4.1.2.4.10</t>
  </si>
  <si>
    <t>Penanaman 1 Buah Poho Sedang Kecrutan (Spathodea
Campanulata), Diameter 5-7 cm, Tinggi 3-4 Meter Polybag 75 L</t>
  </si>
  <si>
    <t>4.1.2.4.11</t>
  </si>
  <si>
    <t>Penanaman 1 Buah Poho Sedang Ketapang Kencana (Terminalia Mantaly), Diameter 5-7 cm, Tinggi 3-4 Meter Polybag 75 L</t>
  </si>
  <si>
    <t>4.1.2.4.12</t>
  </si>
  <si>
    <t>Penanaman 1 Buah Poho Sedang Mahoni (Swietenia
Mahagoni), Diameter 5-7 cm, Tinggi 3-4 Meter Polybag 75 L</t>
  </si>
  <si>
    <t>4.1.2.4.13</t>
  </si>
  <si>
    <t>Penanaman 1 Buah Poho Sedang Pulai (Alstonia Scholaris),, Diameter 5-7 cm, Tinggi 3-4 Meter Polybag 75 L</t>
  </si>
  <si>
    <t>4.1.2.4.14</t>
  </si>
  <si>
    <t>Penanaman 1 Buah Poho Sedang Putat (Planchonia Valida), Diameter 5-7 cm, Tinggi 3-4 Meter Polybag 75 L</t>
  </si>
  <si>
    <t>4.1.2.4.15</t>
  </si>
  <si>
    <t>Penanaman 1 Buah Poho Sedang Sosis (Kigelia Africana), Diameter 5-7 cm, Tinggi 3-4 Meter Polybag 75 L</t>
  </si>
  <si>
    <t>4.1.2.4.16</t>
  </si>
  <si>
    <t>Penanaman 1 Buah Poho Sedang Tabebuya (Tabebuia Sp.), Diameter 5-7 cm, Tinggi 3-4 Meter Polybag 75 L</t>
  </si>
  <si>
    <t>4.1.2.4.17</t>
  </si>
  <si>
    <t>Penanaman 1 Buah Poho Sedang Trembesi (Samanea Saman), Diameter 5-7 cm, Tinggi 3-4 Meter Polybag 75 L</t>
  </si>
  <si>
    <t>4.1.2.4.18</t>
  </si>
  <si>
    <t>Penanaman 1 Buah Poho Sedang Waru (Hibiscus Tiliaceus), Diameter 5-7 cm, Tinggi 3-4 Meter Polybag 75 L</t>
  </si>
  <si>
    <t>4.1.2.5</t>
  </si>
  <si>
    <t>Pohon Besar, Polybag 100 L</t>
  </si>
  <si>
    <t>4.1.2.5.1</t>
  </si>
  <si>
    <t>Penanaman 1 Buah Pohon Besar Pohon Beringi (Ficus Benjamine), Diameter 7-15 cm, Tinggi diatas 5 meter, Polybag 100 L</t>
  </si>
  <si>
    <t>4.1.2.5.2</t>
  </si>
  <si>
    <t>Penanaman 1 Buah Pohon Besar Biola Cantik (Ficus Lyrata), Diameter 7-15 cm, Tinggi diatas 5 meter, Polybag 100 L</t>
  </si>
  <si>
    <t>4.1.2.5.3</t>
  </si>
  <si>
    <t>Penanaman 1 Buah Pohon Besar Bodhi (Ficus Religiosa), Diameter 7-15 cm, Tinggi diatas 5 meter, Polybag 100 L</t>
  </si>
  <si>
    <t>4.1.2.5.4</t>
  </si>
  <si>
    <t>Penanaman 1 Buah Pohon Besar Bungur (Lagerstroemis Speciosa), Diameter 7-15 cm, Tinggi diatas 5 meter, Polybag 100 L</t>
  </si>
  <si>
    <t>4.1.2.5.5</t>
  </si>
  <si>
    <t>Penanaman 1 Buah Pohon Besar Flamboyan (Delonix Regia), Diameter 7-15 cm, Tinggi diatas 5 meter, Polybag 100 L</t>
  </si>
  <si>
    <t>4.1.2.5.6</t>
  </si>
  <si>
    <t>Penanaman 1 Buah Pohon Besar Kamboja (Plumeria Sp.), Diameter 7-15 cm, Tinggi diatas 5 meter, Polybag 100 L</t>
  </si>
  <si>
    <t>4.1.2.5.7</t>
  </si>
  <si>
    <t>Penanaman 1 Buah Pohon Besar Keben (Barringtonia Asiatica), Diameter 7-15 cm, Tinggi diatas 5 meter, Polybag 100 L</t>
  </si>
  <si>
    <t>4.1.2.5.8</t>
  </si>
  <si>
    <t>Penanaman 1 Buah Pohon Besar Kecrutan (Spathodea Campanulata), Diameter 7-15 cm, Tinggi diatas 5 meter, Polybag 100 L</t>
  </si>
  <si>
    <t>4.1.2.5.9</t>
  </si>
  <si>
    <t>Penanaman 1 Buah Pohon Besar Ketapang Kencana (Terminalia Mantaly), Diameter 7-15 cm, Tinggi diatas 5 meter, Polybag 100 L</t>
  </si>
  <si>
    <t>4.1.2.5.10</t>
  </si>
  <si>
    <t>Penanaman 1 Buah Pohon Besar Mahoni (Swietenia Mahagoni), Diameter 7-15 cm, Tinggi diatas 5 meter, Polybag 100 L</t>
  </si>
  <si>
    <t>4.1.2.5.11</t>
  </si>
  <si>
    <t>Penanaman 1 Buah Pohon Besar Pulai (Alstonia Scholaris), Diameter 7-15 cm, Tinggi diatas 5 meter, Polybag 100 L</t>
  </si>
  <si>
    <t>4.1.2.5.12</t>
  </si>
  <si>
    <t>Penanaman 1 Buah Pohon Besar Putat (Planchonia Valida), Diameter 7-15 cm, Tinggi diatas 5 meter, Polybag 100 L</t>
  </si>
  <si>
    <t>4.1.2.5.13</t>
  </si>
  <si>
    <t>Penanaman 1 Buah Pohon Besar Sosis (Kigelia Africana), Diameter 7-15 cm, Tinggi diatas 5 meter, Polybag 100 L</t>
  </si>
  <si>
    <t>4.1.2.5.14</t>
  </si>
  <si>
    <t>Penanaman 1 Buah Pohon Besar Trembesi (Samanea Saman), Diameter 7-15 cm, Tinggi diatas 5 meter, Polybag 100 L</t>
  </si>
  <si>
    <t>4.1.2.6</t>
  </si>
  <si>
    <t>Pohon Besar, Polybag 150 L</t>
  </si>
  <si>
    <t>4.1.2.6.1</t>
  </si>
  <si>
    <t>Penanaman 1 Buah Pohon Besar Bodhi (Ficus Religiosa), Diameter 15-20 cm, Tinggi diatas 5 meter, Polybag 150 L</t>
  </si>
  <si>
    <t>4.1.2.6.2</t>
  </si>
  <si>
    <t>Penanaman 1 Buah Pohon Besar Beringin (Ficus Benjamina), Diameter 15-20 cm, Tinggi diatas 5 meter, Polybag 150 L</t>
  </si>
  <si>
    <t>4.1.2.6.3</t>
  </si>
  <si>
    <t>4.1.2.6.4</t>
  </si>
  <si>
    <t>Penanaman 1 Buah Pohon Besar Flamboyan (Delonix Regia), Diameter 15-20 cm, Tinggi diatas 5 meter, Polybag 150 L</t>
  </si>
  <si>
    <t>4.1.2.6.5</t>
  </si>
  <si>
    <t>Penanaman 1 Buah Pohon Besar Kamboja (Plumeria Sp.), Diameter 15-20 cm, Tinggi diatas 5 meter, Polybag 150 L</t>
  </si>
  <si>
    <t>4.1.2.6.6</t>
  </si>
  <si>
    <t>Penanaman 1 Buah Pohon Besar Besar Pulai (Alstonia Scholaris), Diameter 15-20 cm, Tinggi diatas 5 meter, Polybag 150 L</t>
  </si>
  <si>
    <t>4.1.2.6.7</t>
  </si>
  <si>
    <t>Penanaman 1 Buah Pohon Besar Besar Sosis (Kigelia Africana), Diameter 15-20 cm, Tinggi diatas 5 meter, Polybag 150 L</t>
  </si>
  <si>
    <t>4.1.2.6.8</t>
  </si>
  <si>
    <t>Penanaman 1 Buah Pohon Besar Besar Trembesi (Samanea Saman), Diameter 15-20 cm, Tinggi diatas 5 meter, Polybag 150 L</t>
  </si>
  <si>
    <t>4.1.2.7</t>
  </si>
  <si>
    <t>Pohon Besar, Polybag 200 L</t>
  </si>
  <si>
    <t>4.1.2.7.1</t>
  </si>
  <si>
    <t>Penanaman 1 Buah Pohon Besar Beringin (Ficus Benjamina), Diameter 20-25 cm, Tinggi Diatas 5 meter, Polybag 200 L</t>
  </si>
  <si>
    <t>4.1.2.7.2</t>
  </si>
  <si>
    <t>Penanaman 1 Buah Pohon Besar Bodhi (Ficus Religiosa), Diameter 20-25 cm, Tinggi Diatas 5 meter, Polybag 200 L</t>
  </si>
  <si>
    <t>4.1.2.7.3</t>
  </si>
  <si>
    <t>Penanaman 1 Buah Pohon Besar Flamboyan (Delonix Regia), Diameter 20-25 cm, Tinggi Diatas 5 meter, Polybag 200 L</t>
  </si>
  <si>
    <t>4.1.2.7.4</t>
  </si>
  <si>
    <t>Penanaman 1 Buah Pohon Besar Kamboja Fosil (Plumeria Sp.), Diameter 20-25 cm, Tinggi Diatas 5 meter, Polybag 200 L</t>
  </si>
  <si>
    <t>4.1.2.7.5</t>
  </si>
  <si>
    <t>Penanaman 1 Buah Pohon Besar Pulai (Alstonia Scholaris), Diameter 20-25 cm, Tinggi Diatas 5 meter, Polybag 200 L</t>
  </si>
  <si>
    <t>4.1.2.7.6</t>
  </si>
  <si>
    <t>Penanaman 1 Buah Pohon Besar Sosis (Kigelia Africana), Diameter 20-25 cm, Tinggi Diatas 5 meter, Polybag 200 L</t>
  </si>
  <si>
    <t>4.1.2.7.7</t>
  </si>
  <si>
    <t>Penanaman 1 Buah Pohon Besar Trembesi (Samanea Saman), Diameter 20-25 cm, Tinggi Diatas 5 meter, Polybag 200 L</t>
  </si>
  <si>
    <t>4.1.2.8</t>
  </si>
  <si>
    <t>Pohon Besar, Polybag 250 L</t>
  </si>
  <si>
    <t>4.1.2.8.1</t>
  </si>
  <si>
    <t>Penanaman 1 Buah Pohon Besar Baobab (Adansonia Digitata), Diameter 25-30 cm, Tinggi Diatas 6 meter, Polybag 250 L</t>
  </si>
  <si>
    <t>4.1.2.8.2</t>
  </si>
  <si>
    <t>Penanaman 1 Buah Pohon Besar Beringin (Ficus Benjamina), Diameter 25-30 cm, Tinggi Diatas 6 meter, Polybag 250 L</t>
  </si>
  <si>
    <t>4.1.2.8.3</t>
  </si>
  <si>
    <t>Penanaman 1 Buah Pohon Besar Bodhi (Ficus Religiosa), Diameter 25-30 cm, Tinggi Diatas 6 meter, Polybag 250 L</t>
  </si>
  <si>
    <t>4.1.2.8.4</t>
  </si>
  <si>
    <t>Penanaman 1 Buah Pohon Besar Kamboja Fosil (Plumeria Sp.), Diameter 25-30 cm, Tinggi Diatas 6 meter, Polybag 250 L</t>
  </si>
  <si>
    <t>4.1.2.8.5</t>
  </si>
  <si>
    <t>Penanaman 1 Buah Pohon Besar Pulai (Alstonia Scholaris), Diameter 25-30 cm, Tinggi Diatas 6 meter, Polybag 250 L</t>
  </si>
  <si>
    <t>4.1.2.8.6</t>
  </si>
  <si>
    <t>Penanaman 1 Buah Pohon Besar Sosis (Kigelia Africana), Diameter 25-30 cm, Tinggi Diatas 6 meter, Polybag 250 L</t>
  </si>
  <si>
    <t>4.1.2.8.7</t>
  </si>
  <si>
    <t>Penanaman 1 Buah Pohon Besar Trembesi (Samanea Saman), Diameter 25-30 cm, Tinggi Diatas 6 meter, Polybag 250 L</t>
  </si>
  <si>
    <t>4.1.3</t>
  </si>
  <si>
    <t>Penanaman Palem</t>
  </si>
  <si>
    <t>4.1.3.1</t>
  </si>
  <si>
    <t>Palem Kecil, Polybag 50 L</t>
  </si>
  <si>
    <t>4.1.3.1.1</t>
  </si>
  <si>
    <t>Penaman 1 Buah Pelem Kecil, Palem Jepang (Ptychosperma Macarthurii), Diameter s.d 5 cm, Tinggi 1-1,2 meter, Polybag 50 L</t>
  </si>
  <si>
    <t>4.1.3.1.2</t>
  </si>
  <si>
    <t>Penaman 1 Buah Pelem Kecil, Palem Komodoria/
Komodor/Chamadorea (Chamaedorea Elegans), Diameter s.d 5 cm, Tinggi 1-1,2 meter, Polybag 50 L</t>
  </si>
  <si>
    <t>4.1.3.1.3</t>
  </si>
  <si>
    <t>Penaman 1 Buah Pelem Kecil, Palem Kuning (Dypsis
Lutescens), Diameter s.d 5 cm, Tinggi 1-1,2 meter, Polybag 50 L</t>
  </si>
  <si>
    <t>4.1.3.1.4</t>
  </si>
  <si>
    <t>Penaman 1 Buah Pelem Kecil, Palem Merah/ Pinang Merah
(Cyrtostachys Renda), Tinggi 1-1,2 meter, Polybag 50 L</t>
  </si>
  <si>
    <t>4.1.3.1.5</t>
  </si>
  <si>
    <t>Penaman 1 Buah Pelem Kecil, Palem Waregu (Rhapis
Excelsa), Tinggi 1-1,2 meter, Polybag 50 L</t>
  </si>
  <si>
    <t>4.1.3.1.6</t>
  </si>
  <si>
    <t>Penaman 1 Buah Pelem Kecil, Sikas Halus/Mawar Jambe
(Cycas Revoluta), Tinggi 1-1,2 meter, Polybag 50 L</t>
  </si>
  <si>
    <t>4.1.3.1.7</t>
  </si>
  <si>
    <t>Penaman 1 Buah Pelem Kecil, Palem Phoenix (Phoenix
Roebelenii), Tinggi 1-1,2 meter, Polybag 50 L</t>
  </si>
  <si>
    <t>4.1.3.2</t>
  </si>
  <si>
    <t>Palem Kecil, Polybag 75 L</t>
  </si>
  <si>
    <t>4.1.3.2.2</t>
  </si>
  <si>
    <t>Penaman 1 Buah Pelem Kecil, Palem Komodoria/
Komodor/Chamadorea (Chamaedorea Elegans), Diameter 5-7 cm, Tinggi 1,2 - 1,5 meter, Polybag 75 L</t>
  </si>
  <si>
    <t>4.1.3.2.3</t>
  </si>
  <si>
    <t>Penaman 1 Buah Pelem Kecil, Palem Kuning (Dypsis
Lutescens),  Diameter 5-7 cm, Tinggi 1,2 - 1,5 meter, Polybag 75 L</t>
  </si>
  <si>
    <t>4.1.3.2.4</t>
  </si>
  <si>
    <t>Penaman 1 Buah Pelem Kecil, Palem Merah/ Pinang Merah
(Cyrtostachys Renda), Diameter Diameter 5-7 cm, Tinggi 1,2 - 1,5 meter, Polybag 75 L</t>
  </si>
  <si>
    <t>4.1.3.2.5</t>
  </si>
  <si>
    <t>Penaman 1 Buah Pelem Kecil, Palem Waregu (Rhapis Excelsa), Diameter Diameter 5-7 cm, Tinggi 1,2 - 1,5 meter, Polybag 75 L</t>
  </si>
  <si>
    <t>4.1.3.2.6</t>
  </si>
  <si>
    <t>Penaman 1 Buah Pelem Kecil,Sikas Halus/Mawar Jambe
(Cycas Revoluta), Diameter Diameter 5-7 cm, Tinggi 1,2 - 1,5 meter, Polybag 75 L</t>
  </si>
  <si>
    <t>4.1.3.2.7</t>
  </si>
  <si>
    <t>Penaman 1 Buah Pelem Kecil,Palem Phoenix (Phoenix
Roebelenii), Diameter Diameter 5-7 cm, Tinggi 1,2 - 1,5 meter, Polybag 75 L</t>
  </si>
  <si>
    <t>4.1.3.3</t>
  </si>
  <si>
    <t>Palem Besar, Polibag 100 L</t>
  </si>
  <si>
    <t>4.1.3.3.1</t>
  </si>
  <si>
    <t>Penanaman 1 Buah Palem Besar, Palem Ekor Tupai (Wodyetia Bifucata), Diameter 7-15 cm, Tinggi 3-3,8 meter, Polybag 100 L</t>
  </si>
  <si>
    <t>4.1.3.3.2</t>
  </si>
  <si>
    <t>Penanaman 1 Buah Palem Besar, Sylvertris (Phoenix Sylvertris),
Diameter 7-15 cm, Diameter 7-15 cm, Tinggi 3-3,8 meter, Polybag 100 L</t>
  </si>
  <si>
    <t>4.1.3.3.3</t>
  </si>
  <si>
    <t>Penanaman 1 Buah Palem Besar, Palem Putri (Veitchia Merillii),
Diameter 7-15 cm, Diameter 7-15 cm, Tinggi 3-3,8 meter, Polybag 100 L</t>
  </si>
  <si>
    <t>4.1.3.3.4</t>
  </si>
  <si>
    <t>Penanaman 1 Buah Palem Besar, alem Raja (Roystonea Regia),
Diameter 7-15 cm, Diameter 7-15 cm, Tinggi 3-3,8 meter, Polybag 100 L</t>
  </si>
  <si>
    <t>4.1.3.3.5</t>
  </si>
  <si>
    <t>Penanaman 1 Buah Palem Besar, Palem Sadeng (Saribus
Rotundifolius),
Diameter 7-15 cm, Diameter 7-15 cm, Tinggi 3-3,8 meter, Polybag 100 L</t>
  </si>
  <si>
    <t>4.1.3.4</t>
  </si>
  <si>
    <t>Palem Besar, Polybag 150 L</t>
  </si>
  <si>
    <t>4.1.3.4.1</t>
  </si>
  <si>
    <t>Penanaman 1 Buah Palem Besar,Palem Ekor Tupai (Wodyetia
Bifurcata), Diameter 15 -20 cm, Tinggi 4 – 5 meter, Polybag
150L</t>
  </si>
  <si>
    <t>4.1.3.4.2</t>
  </si>
  <si>
    <t>Penanaman 1 Buah Palem Besar,Sylvertris (Phoenix Sylvertris),, Diameter 15 -20 cm, Tinggi 4 – 5 meter, Polybag
150L</t>
  </si>
  <si>
    <t>4.1.3.4.3</t>
  </si>
  <si>
    <t>Penanaman 1 Buah Palem Besar,Palem Putri (Veitchia Merillii), Diameter 15 -20 cm, Tinggi 4 – 5 meter, Polybag
150L</t>
  </si>
  <si>
    <t>4.1.3.4.4</t>
  </si>
  <si>
    <t>Penanaman 1 Buah Palem Besar, Palem Raja (Roystonea Regia), Diameter 15 -20 cm, Tinggi 4 – 5 meter, Polybag
150L</t>
  </si>
  <si>
    <t>4.1.3.4.5</t>
  </si>
  <si>
    <t>Penanaman 1 Buah Palem Besar, Palem Sadeng (Saribus
Rotundifolius) Diameter 15 -20 cm, Tinggi 4 – 5 meter, Polybag
150L</t>
  </si>
  <si>
    <t>4.1.3.5</t>
  </si>
  <si>
    <t>Palem Besar, Polybag 200 L</t>
  </si>
  <si>
    <t>4.1.3.5.1</t>
  </si>
  <si>
    <t>Penanaman 1 Buah Palem Besar,Palem Ekor Tupai (Wodyetia
Bifurcata), Diameter 20-25 cm, Tinggi Diatas 5 meter, Polybag
200 L</t>
  </si>
  <si>
    <t>4.1.3.5.2</t>
  </si>
  <si>
    <t>Penanaman 1 Buah Palem Besar,Sylvertris (Phoenix Sylvertris), Diameter 20-25 cm, Tinggi Diatas 5 meter, Polybag
200 L</t>
  </si>
  <si>
    <t>4.1.3.5.3</t>
  </si>
  <si>
    <t>Penanaman 1 Buah Palem Besar,Palem Putri (Veitchia Merillii), Diameter 20-25 cm, Tinggi Diatas 5 meter, Polybag
200 L</t>
  </si>
  <si>
    <t>4.1.3.5.4</t>
  </si>
  <si>
    <t>Penanaman 1 Buah Palem Besar,Palem Raja (Roystonea Regia), Diameter 20-25 cm, Tinggi Diatas 5 meter, Polybag
200 L</t>
  </si>
  <si>
    <t>4.1.3.5.5</t>
  </si>
  <si>
    <t>Penanaman 1 Buah Palem Besar,Palem Sadeng (Saribus
Rotundifolius), Diameter 20-25 cm, Tinggi Diatas 5 meter, Polybag
200 L</t>
  </si>
  <si>
    <t>4.1.3.6</t>
  </si>
  <si>
    <t>Palem Besar, Polybag 250 L</t>
  </si>
  <si>
    <t>4.1.3.6.1</t>
  </si>
  <si>
    <t>Penanaman 1 Buah Palem Besar Palem Sadeng ( Saribus Rotundifolius), Diameter 25-30 cm, Tinggi Diatas 5 meter, Polybag 250 L</t>
  </si>
  <si>
    <t>4.1.3.6.2</t>
  </si>
  <si>
    <t>Penanaman 1 Buah Palem Besar Palem Ekor Tupai (Wodyetia
Bifurcata), Diameter 25-30 cm, Tinggi Diatas 5 meter, Polybag 250 L</t>
  </si>
  <si>
    <t>4.1.3.6.3</t>
  </si>
  <si>
    <t>Penanaman 1 Buah Palem Besar, Sylvertris (Phoenix Sylvertris), Diameter 25-30 cm, Tinggi Diatas 5 meter, Polybag 250 L</t>
  </si>
  <si>
    <t>4.1.3.6.4</t>
  </si>
  <si>
    <t>Penanaman 1 Buah Palem Besar, Palem Putri (Veitchia Merillii), Diameter 25-30 cm, Tinggi Diatas 5 meter, Polybag 250 L</t>
  </si>
  <si>
    <t>4.1.3.6.5</t>
  </si>
  <si>
    <t>Penanaman 1 Buah Palem Besar, Palem Raja (Roystonea Regia), Diameter 25-30 cm, Tinggi Diatas 5 meter, Polybag 250 L</t>
  </si>
  <si>
    <t>4.1.4.</t>
  </si>
  <si>
    <t>Penanaman Semak</t>
  </si>
  <si>
    <t>4.1.4.1</t>
  </si>
  <si>
    <t>Semak, Polybag 5 L</t>
  </si>
  <si>
    <t>4.1.4.1.1</t>
  </si>
  <si>
    <t>Penanaman 1 m2 Semak, Alamanda/Bunga Terompet Emas ( Allamanda Cathartica), 25 Buah/m2, Polybag 5 L</t>
  </si>
  <si>
    <t>4.1.4.1.2</t>
  </si>
  <si>
    <t>Penanaman 1 m2 Semak,Bakung Lele (Hymenocalis Speciosa),
36 Buah/m2,, Polybag 5 L</t>
  </si>
  <si>
    <t>4.1.4.1.3</t>
  </si>
  <si>
    <t>Penanaman 1 m2 Semak,Bunga Iris (Neomarica Longifolia), 36
Buah/m2, Polybag 5 L</t>
  </si>
  <si>
    <t>4.1.4.1.4</t>
  </si>
  <si>
    <t>Penanaman 1 m2 Semak,Calathea (Calathea Sp.), 16 Buah/m2, 36
Buah/m2, Polybag 5 L</t>
  </si>
  <si>
    <t>4.1.4.1.5</t>
  </si>
  <si>
    <t>Penanaman 1 m2 Semak,Cendrawasih (Phyllanthus Myrtifolius),
36 Buah/m2, Polybag 5 L</t>
  </si>
  <si>
    <t>4.1.4.1.6</t>
  </si>
  <si>
    <t>Penanaman 1 m2 SemakHujan Mas (Galphimia Glauca), 25
Buah/m2, Polybag 5 L</t>
  </si>
  <si>
    <t>4.1.4.1.7</t>
  </si>
  <si>
    <t>Penanaman 1 m2 Semak, Kacapiring Wangi/Gardenia (Gardenia
Jasminoides), 25 Buah/m2 Polybag 5 L</t>
  </si>
  <si>
    <t>4.1.4.1.8</t>
  </si>
  <si>
    <t>Penanaman 1 m2 Semak,Kemuning (Murraya Paniculata), 25
Buah/m2, 25 Buah/m2 Polybag 5 L</t>
  </si>
  <si>
    <t>4.1.4.1.9</t>
  </si>
  <si>
    <t>Penanaman 1 m2 Semak Melati Putih (Jasminum Sambac), 25
Buah/m2, Polybag 5 L</t>
  </si>
  <si>
    <t>4.1.4.1.10</t>
  </si>
  <si>
    <t>Penanaman 1 m2 Semak, Pandan Kuning (Pandanus
Pygmaeus), 25 Buah/m2, Polybag 5 L</t>
  </si>
  <si>
    <t>4.1.4.1.11</t>
  </si>
  <si>
    <t>Penanaman 1 m2 Semak, Pretty Pink (Breynia Disticha), 25
Buah/m2, 25 Buah/m2, Polybag 5 L</t>
  </si>
  <si>
    <t>4.1.4.1.12</t>
  </si>
  <si>
    <t>Penanaman 1 m2 Semak, Sansevieria/Lidah Mertua
(Sansevieria Trifasciata), 25 Buah/m2, Polybag 5 L</t>
  </si>
  <si>
    <t>4.1.4.1.13</t>
  </si>
  <si>
    <t>Penanaman 1 m2 Semak,Tabernae/Mondokaki
(Tabernaemontana Divaricata ), 25 Buah/m2, Polybag 5 L</t>
  </si>
  <si>
    <t>4.1.4.1.14</t>
  </si>
  <si>
    <t>Penanaman 1 m2 Semak,Walisongo/Umbrella Tree (Schefflera
Arboricola), 25 Buah/m2, Polybag 5 L</t>
  </si>
  <si>
    <t>4.1.4.2</t>
  </si>
  <si>
    <t>Semak , Polybag 11 L</t>
  </si>
  <si>
    <t>4.1.4.2.1</t>
  </si>
  <si>
    <t>Penanaman 1 m2 Semak, Agave/ Lidah Naga ( Agave Americana), 5 buah/m2, Polybag 11 L</t>
  </si>
  <si>
    <t>4.1.4.2.2</t>
  </si>
  <si>
    <t>Penanaman 1 m2 Semak, Alamanda/Bunga Terompet Emas
(Allamanda Cathartica), 9 Buah/m2, Polybag 11 L</t>
  </si>
  <si>
    <t>4.1.4.2.3</t>
  </si>
  <si>
    <t>Penanaman 1 m2 Semak, Bakung Jawa (Crinum Asiaticum), 16
Buah/m2,, Polybag 11 L</t>
  </si>
  <si>
    <t>4.1.4.2.4</t>
  </si>
  <si>
    <t>Penanaman 1 m2 Semak, Bakung Lele (Hymenocalis Speciosa),
16 Buah/m2, Polybag 11 L</t>
  </si>
  <si>
    <t>4.1.4.2.5</t>
  </si>
  <si>
    <t>Penanaman 1 m2 Semak, Bromelia (Bromelia Sp.), 5 Buah/m2, Polybag 11 L</t>
  </si>
  <si>
    <t>4.1.4.2.6</t>
  </si>
  <si>
    <t>Penanaman 1 m2 Semak,Bunga Terompet Kuning (Tecoma
Stans), 9 Buah/m2, Polybag 11 L</t>
  </si>
  <si>
    <t>4.1.4.2.7</t>
  </si>
  <si>
    <t>Penanaman 1 m2 Semak, Costus (Costus Woodsonii), 16
Buah/m2, Polybag 11 L</t>
  </si>
  <si>
    <t>4.1.4.2.8</t>
  </si>
  <si>
    <t>Penanaman 1 m2 Semak, Dracaena ‘Song Of India’ (Dracaena
Reflexa "Song Of India"), 9 Buah/m2,  Polybag 11 L</t>
  </si>
  <si>
    <t>4.1.4.2.9</t>
  </si>
  <si>
    <t>Penanaman 1 m2 Semak,Dracaena 'Song Of Jamaica' (Dracaena
Reflexa "Song Of Jamaica"), 9 Buah/m2,  Polybag 11 L</t>
  </si>
  <si>
    <t>4.1.4.2.10</t>
  </si>
  <si>
    <t>Penanaman 1 m2 Semak, Helliconia (Heliconia Psittacorum),
16 Buah/m2,, 9 Buah/m2,  Polybag 11 L</t>
  </si>
  <si>
    <t>4.1.4.2.11</t>
  </si>
  <si>
    <t>Penanaman 1 m2 Semak, Honje/Kecombrang (Etlingera
Elatior), 16 Buah/m2,  Polybag 11 L</t>
  </si>
  <si>
    <t>4.1.4.2.12</t>
  </si>
  <si>
    <t>Penanaman 1 m2 Semak, Hujan Mas (Galphimia Glauca), 16
Buah/m2,  Polybag 11 L</t>
  </si>
  <si>
    <t>4.1.4.2.13</t>
  </si>
  <si>
    <t>Penanaman 1 m2 Semak, Kaca Piring (Gardenia Augusta), 16
Buah/m2, Polybag 11 L</t>
  </si>
  <si>
    <t>4.1.4.2.14</t>
  </si>
  <si>
    <t>Penanaman 1 m2 Semak, Kacapiring Wangi/Gardenia
(Gardenia Jasminoides), 16 Buah/m2 Polybag 11 L</t>
  </si>
  <si>
    <t>4.1.4.2.15</t>
  </si>
  <si>
    <t>Penanaman 1 m2 Semak, Kana (Canna Indica), 16 Buah/m2, Polybag 11 L</t>
  </si>
  <si>
    <t>4.1.4.2.16</t>
  </si>
  <si>
    <t>Penanaman 1 m2 Semak,Lili Brazil (Dianella Tasmanica), 16
Buah/m2, Polybag 11 L</t>
  </si>
  <si>
    <t>4.1.4.2.17</t>
  </si>
  <si>
    <t>Penanaman 1 m2 Semak,Melati Putih (Jasminum Sambac), 16
Buah/m2, Polybag 11 L</t>
  </si>
  <si>
    <t>4.1.4.2.18</t>
  </si>
  <si>
    <t>Penanaman 1 m2 Semak, Nusa Indah (Mussaenda), 9 Buah/m2, Polybag 11 L</t>
  </si>
  <si>
    <t>4.1.4.2.19</t>
  </si>
  <si>
    <t>Penanaman 1 m2 Semak, Oleander/Bunga Mentega (Nerium
Oleander), 16 Buah/m2,, Polybag 11 L</t>
  </si>
  <si>
    <t>4.1.4.2.20</t>
  </si>
  <si>
    <t>Penanaman 1 m2 Semak, Pretty Pink (Breynia Disticha), 16
Buah/m2, Polybag 11 L</t>
  </si>
  <si>
    <t>4.1.4.2.21</t>
  </si>
  <si>
    <t>Penanaman 1 m2 Semak, Puring (Codiaeum Variegatum), 16
Buah/m2, Polybag 11 L</t>
  </si>
  <si>
    <t>4.1.4.2.22</t>
  </si>
  <si>
    <t>Penanaman 1 m2 Semak, Ruelia / Kencana Ungu (Ruellia
Simplex), 16 Buah/m2, Polybag 11 L</t>
  </si>
  <si>
    <t>4.1.4.2.23</t>
  </si>
  <si>
    <t>Penanaman 1 m2 Semak, Sansevieria/Lidah Mertua
(Sansevieria Trifasciata), 16 Buah/m2, Polybag 11 L</t>
  </si>
  <si>
    <t>4.1.4.2.24</t>
  </si>
  <si>
    <t>Penanaman 1 m2 Semak, Soka (Ixora Coccinea), 16 Buah/m2, Polybag 11 L</t>
  </si>
  <si>
    <t>4.1.4.2.25</t>
  </si>
  <si>
    <t>Penanaman 1 m2 Semak, Tabernae (Tabernaemontana Sp.), 16
Buah/m2, Polybag 11 L</t>
  </si>
  <si>
    <t>4.1.4.2.26</t>
  </si>
  <si>
    <t>Penanaman 1 m2 Semak,Walisongo/Umbrella Tree (Schefflera
Arboricola), 16 Buah/m2,, Polybag 11 L</t>
  </si>
  <si>
    <t>4.1.4.3</t>
  </si>
  <si>
    <t>Semak, Polybag 20 L</t>
  </si>
  <si>
    <t>4.1.4.3.1</t>
  </si>
  <si>
    <t>Penanaman 1 m2 Semak, Agave/ Lidah Naga (Agave Americana), 23 Buah/m2, Polybag 20 L</t>
  </si>
  <si>
    <t>4.1.4.3.2</t>
  </si>
  <si>
    <t>Penanaman 1 m2 Semak, Alamanda/Bunga Terompet Emas
(Allamanda Cathartica), 5 Buah/ m2, Polybag 20 L</t>
  </si>
  <si>
    <t>4.1.4.3.3</t>
  </si>
  <si>
    <t>Penanaman 1 m2 Semak, Bakung Jawa (Crinum Asiaticum), 12
Buah/ m2, Polybag 20 L</t>
  </si>
  <si>
    <t>4.1.4.3.4</t>
  </si>
  <si>
    <t>Penanaman 1 m2 Semak, Bromelia (Bromelia Sp.), 3 Buah/ m2,, Polybag 20 L</t>
  </si>
  <si>
    <t>4.1.4.3.5</t>
  </si>
  <si>
    <t>Penanaman 1 m2 Semak, Bugenvil/Bunga Kertas (Bougenvillea
Sp), 12 Buah/ m2, Polybag 20 L</t>
  </si>
  <si>
    <t>4.1.4.3.6</t>
  </si>
  <si>
    <t>Penanaman 1 m2 Semak, Bunga Terompet Kuning (Tecoma
Stans), 12 Buah/ m2, Polybag 20 L</t>
  </si>
  <si>
    <t>4.1.4.3.7</t>
  </si>
  <si>
    <t>Penanaman 1 m2 Semak, Canna (Canna Indica), 12 Buah/ m2, Polybag 20 L</t>
  </si>
  <si>
    <t>4.1.4.3.8</t>
  </si>
  <si>
    <t>Penanaman 1 m2 Semak, Dracaena ‘Song Of India’ (Dracaena
Reflexa "Song Of India"), 12 Buah/ m2,  Polybag 20 L</t>
  </si>
  <si>
    <t>4.1.4.3.9</t>
  </si>
  <si>
    <t>Penanaman 1 m2 Semak, Dracaena 'Song Of Jamaica' (Dracaena
Reflexa "Song Of Jamaica"), 12 Buah/ m2,  Polybag 20 L</t>
  </si>
  <si>
    <t>4.1.4.3.10</t>
  </si>
  <si>
    <t>Penanaman 1 m2 Semak, Helliconia (Heliconia Psittacorum),
12 Buah/ m2,,  Polybag 20 L</t>
  </si>
  <si>
    <t>4.1.4.3.11</t>
  </si>
  <si>
    <t>Penanaman 1 m2 Semak, Honje/Kecombrang (Etlingera
Elatior), 12 Buah/ m2, Polybag 20 L</t>
  </si>
  <si>
    <t>4.1.4.3.12</t>
  </si>
  <si>
    <t>Penanaman 1 m2 Semak, Hujan Mas (Galphimia Glauca), 12
Buah/ m2, Polybag 20 L</t>
  </si>
  <si>
    <t>4.1.4.3.13</t>
  </si>
  <si>
    <t>Penanaman 1 m2 Semak, Kacapiring Wangi/Gardenia (Gardenia
Jasminoides), 12 Buah/ m2, Polybag 20 L</t>
  </si>
  <si>
    <t>4.1.4.3.14</t>
  </si>
  <si>
    <t>Penanaman 1 m2 Semak, Kembang Sepatu (Hibiscus Rosa-
Sinensis), 12 Buah/ m2,, Polybag 20 L</t>
  </si>
  <si>
    <t>4.1.4.3.15</t>
  </si>
  <si>
    <t>Penanaman 1 m2 Semak, Oleander/Bunga Mentega (Nerium
Oleander), 12 Buah/ m2, Polybag 20 L</t>
  </si>
  <si>
    <t>4.1.4.3.16</t>
  </si>
  <si>
    <t>Penanaman 1 m2 Semak, Penda Emas (Xanthostemon
Chrysanthus), 12 Buah/ m2, Polybag 20 L</t>
  </si>
  <si>
    <t>4.1.4.3.17</t>
  </si>
  <si>
    <t>Penanaman 1 m2 Semak,Puring (Codiaeum Variegatum), 12
Buah/ m2, Polybag 20 L</t>
  </si>
  <si>
    <t>4.1.4.3.18</t>
  </si>
  <si>
    <t>Penanaman 1 m2 Semak, Tabernac (Tabernaemontana Sp. ), 12
Buah/ m2, Polybag 20 L</t>
  </si>
  <si>
    <t>4.1.4.3.19</t>
  </si>
  <si>
    <t>Penanaman 1 m2 SemakWalisongo/Umbrella Tree (Schefflera
Arboricola), 12 Buah/ m2, Polybag 20 L</t>
  </si>
  <si>
    <t>4.1.5</t>
  </si>
  <si>
    <t>Penanaman Penutup Tanah (Ground Cover)</t>
  </si>
  <si>
    <t>4.1.5.1</t>
  </si>
  <si>
    <t>Penanaman 1 m2 Penutup Tanah, Kacang Hias (Arachis Pintoi) 50 Buah / m2, Polybag 0,5 L</t>
  </si>
  <si>
    <t>4.1.5.2</t>
  </si>
  <si>
    <t>Penanaman 1 m2 Penutup Tanah, Widelia (Wedelia Trilobata), 50
Buah/ m2, Polybag 0,5 L</t>
  </si>
  <si>
    <t>4.1.5.3</t>
  </si>
  <si>
    <t>Penanaman 1 m2 Penutup Tanah, Sutra Bombay (Portulaca Sp.),
50 Buah/ m2, Polybag 0,5 L</t>
  </si>
  <si>
    <t>4.1.5.4</t>
  </si>
  <si>
    <t>Penanaman 1 m2 Penutup Tanah, Lantana (Lantana Camara), 50
Buah/ m2, Polybag 0,5 L</t>
  </si>
  <si>
    <t>4.1.5.5</t>
  </si>
  <si>
    <t>Penanaman 1 m2 Penutup Tanah,Kucai Mini (Ophiopogon
Japonicus), 50 Buah/ m2, Polybag 0,5 L</t>
  </si>
  <si>
    <t>4.1.6</t>
  </si>
  <si>
    <t>Penanaman Rumput</t>
  </si>
  <si>
    <t>4.1.6.1</t>
  </si>
  <si>
    <t>Penanaman 1 m2 Rumput,Rumput Gajah (Pennisetum Purpureum)</t>
  </si>
  <si>
    <t>4.1.6.2</t>
  </si>
  <si>
    <t>Penanaman 1 m2 Rumput,Rumput Gajah Mini (Axonopus
Compressus)</t>
  </si>
  <si>
    <t>4.1.6.3</t>
  </si>
  <si>
    <t>Penanaman 1 m2 Rumput,Rumput Peking (Agrostis Stolonifera)</t>
  </si>
  <si>
    <t>4.1.6.4</t>
  </si>
  <si>
    <t>Penanaman 1 m2 Rumput, Rumput Embun (Bothriochloa Pertusa)</t>
  </si>
  <si>
    <t>4.1.7</t>
  </si>
  <si>
    <t>Penanaman pada Lahan Miring/Kelerengan</t>
  </si>
  <si>
    <t>4.1.7.1</t>
  </si>
  <si>
    <t>Penanaman pada Lereng Tanah 1:2 (13-26,5° ), Metode Hydroseeding per m2 permukaan lereng ( Menggunakan Jenis Biji Rumput)</t>
  </si>
  <si>
    <t>4.1.7.2</t>
  </si>
  <si>
    <t>Penanaman pada Lereng Tanah 1:2 (13°-26.5°), Metode Taplok per
m2 Permukaan Lereng (Menggunakan Jenis Biji Rumput)</t>
  </si>
  <si>
    <t>4.1.7.3</t>
  </si>
  <si>
    <t>Penanaman pada Lereng Tanah 1:1 (26.5°-45°), Metode
Hydroseeding per m2 Permukaan Lereng (Menggunakan Jenis Biji
Rumput)</t>
  </si>
  <si>
    <t>4.1.7.4</t>
  </si>
  <si>
    <t>Penanaman pada Lereng Tanah 1:1 (26.5°-45°), Metode Taplok per
m2 Permukaan Lereng (Menggunakan Jenis Biji Rumput</t>
  </si>
  <si>
    <t>4.1.7.5</t>
  </si>
  <si>
    <t>Penanaman pada Lereng Tanah dan/atau Kombinasi Tanah dan
Batuan 1:0.5 (45°-63°), Metode Hydroseeding per m2 Permukaan
Lereng (Menggunakan Jenis Biji Rumput)</t>
  </si>
  <si>
    <t>4.1.7.6</t>
  </si>
  <si>
    <t>Penanaman pada Lereng Tanah dan/atau Kombinasi Tanah dan
Batuan 1:0.5 (45°-63°), Metode Taplok per m2 Permukaan Lereng
(Menggunakan Jenis Biji Rumput</t>
  </si>
  <si>
    <t>4.1.7.7</t>
  </si>
  <si>
    <t>Penanaman pada Lereng Tanah 1:2 (13°-26.5°), Metode
Hydroseeding per m2 Permukaan Lereng (Menggunakan Jenis Biji
Legume Crop Cover/LCC)</t>
  </si>
  <si>
    <t>4.1.7.8</t>
  </si>
  <si>
    <t>Penanaman pada Lereng Tanah 1:2 (13°-26.5°), Metode Taplok per
m2 Permukaan Lereng (Menggunakan Jenis Biji Legume Crop
Cover/LCC)</t>
  </si>
  <si>
    <t>4.1.7.9</t>
  </si>
  <si>
    <t>Penanaman pada Lereng Tanah 1:1 (26.5°-45°), Metode
Hydroseeding per m2 Permukaan Lereng (Menggunakan Jenis Biji
Legume Crop Cover/LCC)</t>
  </si>
  <si>
    <t>4.1.7.10</t>
  </si>
  <si>
    <t>Penanaman Pada Lereng Tanah 1:1 (26.5°-45°), Metode Taplok per
m2 Permukaan Lereng (Menggunakan Jenis Biji Legume Crop
Cover/LCC)</t>
  </si>
  <si>
    <t>4.1.7.11</t>
  </si>
  <si>
    <t>Penanaman pada Lereng Tanah dan/atau Kombinasi Tanah dan
Batuan 1:0.5 (45°-63°), Metode Hydroseeding per m2 Permukaan
Lereng (Menggunakan Jenis Biji Legume Crop Cover/LCC)</t>
  </si>
  <si>
    <t>4.1.7.12</t>
  </si>
  <si>
    <t>Penanaman pada Lereng Tanah dan/atau Kombinasi Tanah dan
Batuan 1:0.5 (45°-63°), Metode Taplok per m2 Permukaan Lereng
(Menggunakan Jenis Biji Legume Crop Cover/LCC)</t>
  </si>
  <si>
    <t>4.1.8</t>
  </si>
  <si>
    <t>Pengolaha Tanah berPH Tidak Subur</t>
  </si>
  <si>
    <t>4.1.8.1</t>
  </si>
  <si>
    <t>Cara Perhitungan AHSP Pengelolaan Tanah Tidak Subur</t>
  </si>
  <si>
    <t>4.1.8.2</t>
  </si>
  <si>
    <t>Pengolahan Tanah berPH 4,50-5,50 dan bertekstur Pasir 60,01%-100,00% atau tanah sandy per m3</t>
  </si>
  <si>
    <t>4.1.8.3</t>
  </si>
  <si>
    <t>Pengolahan Tanah berPH 4.50-5.50 dan Bertekstur Liat 40.01% -
60.00% atau Tanah Sandy Loam per m3</t>
  </si>
  <si>
    <t>4.1.8.4</t>
  </si>
  <si>
    <t>Pengolahan Tanah berPH 4.50-5.50 dan Bertekstur Liat 60.01% -
100.00% atau Tanah Loam To Clay Loam per m3</t>
  </si>
  <si>
    <t>4.1.8.5</t>
  </si>
  <si>
    <t>Pengolahan Tanah berPH 3.50-4.49 dan Bertekstur Liat 60.01% -
100.00% atau Tanah Sandy per m3</t>
  </si>
  <si>
    <t>4.1.8.6</t>
  </si>
  <si>
    <t>Pengolahan Tanah berPH 3.50-4.49 dan Bertekstur Liat 40.01% -
60.00% atau Tanah Sandy Loam per m3</t>
  </si>
  <si>
    <t>4.1.8.7</t>
  </si>
  <si>
    <t>Pengolahan Tanah berPH 3.50-4.49 dan Bertekstur Liat 60.01% -
100.00% atau Tanah Loam To Clay Loam per m3</t>
  </si>
  <si>
    <t>4.1.8.8</t>
  </si>
  <si>
    <t>Pengolahan Tanah berPH &gt;7.5 per m3</t>
  </si>
  <si>
    <t>4.1.8.9</t>
  </si>
  <si>
    <t>Pengolahan Tanah berPH &gt;7.5 dan Bertekstur Pasir 60.01% -
100.00% atau Tanah Sandy per m3</t>
  </si>
  <si>
    <t>4.1.8.10</t>
  </si>
  <si>
    <t>Pengolahan Tanah berPH &gt;7.5 dan Bertekstur Liat 40.01% -
60.00% atau Tanah Sandy Loam per m3</t>
  </si>
  <si>
    <t>4.1.8.11</t>
  </si>
  <si>
    <t>Pengolahan Tanah berPH &gt;7.5 dan Bertekstur Liat 60.01% -
100.00% atau Tanah Loam To Clay Loam per m3</t>
  </si>
  <si>
    <t>4.1.9</t>
  </si>
  <si>
    <t>Pengolahan Tanah Bertekstur Tidak Subur</t>
  </si>
  <si>
    <t>4.1.9.1</t>
  </si>
  <si>
    <t>Pengolahan Tanah bertekstur  liat  40,01%-60,00% atau tanah Sandy per m3</t>
  </si>
  <si>
    <t>4.1.9.2</t>
  </si>
  <si>
    <t>Pengolahan Tanah bertekstur  liat  60,01%-100,00% atau tanah Sandy Loam per m3</t>
  </si>
  <si>
    <t>4.1.9.3</t>
  </si>
  <si>
    <t>Pengolahan Tanah bertekstur  liat  60,01%-100,00% atau tanah Loam to Clay Loam per m3</t>
  </si>
  <si>
    <t>4.1.10</t>
  </si>
  <si>
    <t>Penyiraman Pada Tanah Datar (Lahan Subur)</t>
  </si>
  <si>
    <t>4.1.10.1</t>
  </si>
  <si>
    <t>Peyiraman untuk 1 hari ( dengan selang plastik 3/4 ich) untuk 1 buah pohon/palem</t>
  </si>
  <si>
    <t>hari</t>
  </si>
  <si>
    <t>4.1.10.2</t>
  </si>
  <si>
    <t>Peyiraman untuk 1 m2 Semak/Penutup tanah untuk 1 hari ( dengan selang plastik 3/4 ich)</t>
  </si>
  <si>
    <t>4.1.10.3</t>
  </si>
  <si>
    <t>Peyiraman untuk 1 m2 Rumput untuk 1 hari ( dengan selang plastik 3/4 ich)</t>
  </si>
  <si>
    <t>4.1.10.4</t>
  </si>
  <si>
    <t>Peyiraman untuk 1 m2 Semak/Penutup Tanah  untuk 1 hari ( dengan Sprinkler) *Sistem Sprinkler tersedia</t>
  </si>
  <si>
    <t>4.1.10.5</t>
  </si>
  <si>
    <t>Peyiraman untuk 1 m2 Rumput untuk 1 hari ( dengan Sprinkler) *Sistem Sprinkler tersedia</t>
  </si>
  <si>
    <t>4.1.11</t>
  </si>
  <si>
    <t>Penyiraman pada Tanah Tidak Subur di Lahan Datar</t>
  </si>
  <si>
    <t>4.1.11.1</t>
  </si>
  <si>
    <t>Penyiraman untuk 1 hari (dengan Selang Plastik 3/4 inch) untuk 1 buah pohon/palem di tanah tidak subur di lahan datar dan tidak memiliki jaringa air yang baik</t>
  </si>
  <si>
    <t>4.1.11.2</t>
  </si>
  <si>
    <t>Penyiraman untuk 1 Hari (dengan Selang Plastik 3/4 inch) untuk
1 m2 Semak/Penutup Tanah di Tanah Tidak Subur di Lahan Datar
dan Tidak Memiliki Jaringan Air Yang Baik</t>
  </si>
  <si>
    <t>hari/m2</t>
  </si>
  <si>
    <t>4.1.11.3</t>
  </si>
  <si>
    <t>Penyiraman untuk 1 Hari (dengan Selang Plastik 3/4 inch) untuk
1 m2 Rumput di Tanah Tidak Subur di Lahan Datar dan Tidak
Memiliki Jaringan Air Yang Baik</t>
  </si>
  <si>
    <t>4.1.11.4</t>
  </si>
  <si>
    <t>4.1.11.5</t>
  </si>
  <si>
    <t>Penyiraman untuk 1 Hari (dengan Sprinkler*) untuk 1 m2 Rumput
di Tanah Tidak Subur di Lahan Datar dan Tidak Memiliki Jaringan
Air Yang Baik</t>
  </si>
  <si>
    <t>4.1.11.6</t>
  </si>
  <si>
    <t>Penyiraman untuk 1 Hari (dengan Selang Plastik 3/4 inch) untuk
1 Buah Pohon/Palem di Tanah Tidak Subur di Lahan Datar dan
Memiliki Jaringan Air Yang Baik</t>
  </si>
  <si>
    <t>4.1.11.7</t>
  </si>
  <si>
    <t>Penyiraman untuk 1 Hari (dengan Selang Plastik 3/4 inch) untuk
1 m2 Semak/Penutup Tanah di Tanah Tidak Subur di Lahan Datar
dan Memiliki Jaringan Air Yang Baik</t>
  </si>
  <si>
    <t>4.1.11.8</t>
  </si>
  <si>
    <t>Penyiraman untuk 1 Hari (dengan Selang Plastik 3/4 inch) untuk
1 m2 Rumput di Tanah Tidak Subur di Lahan Datar dan Memiliki
Jaringan Air Yang Baik</t>
  </si>
  <si>
    <t>4.1.11.9</t>
  </si>
  <si>
    <t>Penyiraman untuk 1 Hari (dengan Sprinkler*) untuk 1 m2
Semak/Penutup Tanah di Tanah Tidak Subur di Lahan Datar dan
Memiliki Jaringan Air Yang Baik</t>
  </si>
  <si>
    <t>4.1.11.10</t>
  </si>
  <si>
    <t>Penyiraman untuk 1 Hari (dengan Sprinkler*) untuk 1 m2
Rumput di Tanah Tidak Subur di Lahan Datar dan Memiliki
Jaringan Air Yang Baik</t>
  </si>
  <si>
    <t>4.1.12</t>
  </si>
  <si>
    <t>Penyiraman pada Tanah Subur di Lahan Miring/Kelerengan</t>
  </si>
  <si>
    <t>4.1.12.1</t>
  </si>
  <si>
    <t>Penyiraman untuk 1 Hari di Tanah Subur di Kelerengan Tanah 1:2
(13° - 26.5°) per m2</t>
  </si>
  <si>
    <t>4.1.12.2</t>
  </si>
  <si>
    <t>Penyiraman untuk 1 Hari di Tanah Subur di Kelerengan Tanah 1:2
(26.5°- 45°) per m2</t>
  </si>
  <si>
    <t>hari.m2</t>
  </si>
  <si>
    <t>4.1.12.3</t>
  </si>
  <si>
    <t>Penyiraman untuk 1 Hari di Tanah Subur di Kelerengan Tanah
1:0.5 (45° - 63°) per m2</t>
  </si>
  <si>
    <t>hari/m3</t>
  </si>
  <si>
    <t>4.1.13</t>
  </si>
  <si>
    <t>hari.m3</t>
  </si>
  <si>
    <t>4.1.13.1</t>
  </si>
  <si>
    <t>Penyiraman untuk 1 Hari di Tanah Tidak Subur di Kelerengan
Tanah 1:2 (13° - 26.5°) per m2 untuk Sumber Air Dari Luar Lokasi
Pekerjaan</t>
  </si>
  <si>
    <t>hari/m4</t>
  </si>
  <si>
    <t>4.1.13.2</t>
  </si>
  <si>
    <t>Penyiraman untuk 1 Hari di Tanah Tidak Subur di Kelerengan
Tanah 1:1 (26.5° - 45°) per m2 untuk Sumber Air Dari Luar Lokasi
Pekerjaan</t>
  </si>
  <si>
    <t>hari.m4</t>
  </si>
  <si>
    <t>4.1.13.3</t>
  </si>
  <si>
    <t>Penyiraman untuk 1 Hari di Tanah Tidak Subur di Kelerengan
Tanah 1:0.5 (45° - 63°) per m2 untuk Sumber Air Dari Luar Lokasi
Pekerjaan</t>
  </si>
  <si>
    <t>hari/m5</t>
  </si>
  <si>
    <t>4.1.13.4</t>
  </si>
  <si>
    <t>Penyiraman untuk 1 Hari di Tanah Tidak Subur di Kelerengan
Tanah 1:2 (13° - 26.5°) per m2 untuk Sumber Air Tersedia Lokasi
Pekerjaan</t>
  </si>
  <si>
    <t>hari.m5</t>
  </si>
  <si>
    <t>4.1.13.5</t>
  </si>
  <si>
    <t>Penyiraman untuk 1 Hari di Tanah Tidak Subur di Kelerengan
Tanah 1:1 (26.5° - 45°) per m2 untuk Sumber Air Tersedia Lokasi
Pekerjaan</t>
  </si>
  <si>
    <t>hari/m6</t>
  </si>
  <si>
    <t>4.1.13.6</t>
  </si>
  <si>
    <t>Penyiraman untuk 1 Hari di Tanah Tidak Subur di Kelerengan
Tanah 1:0.5 (45° - 63°) per m2 untuk Sumber Air Tersedia Lokasi
Pekerjaan</t>
  </si>
  <si>
    <t>hari.m6</t>
  </si>
  <si>
    <t>4.2</t>
  </si>
  <si>
    <t>PEKERJAAN PEMELIHARAAN TANAMAN</t>
  </si>
  <si>
    <t>4.2.1</t>
  </si>
  <si>
    <t>Penyiraman pada Masa Pemeliharaan</t>
  </si>
  <si>
    <t>4.2.1.1</t>
  </si>
  <si>
    <t>Penyiraman 1m2 Area Tanam untuk 1 hari (dengan Selang Plastik
3/4 inch)</t>
  </si>
  <si>
    <t>4.2.1.2</t>
  </si>
  <si>
    <t>Penyiraman 1 m2 Area Tanam untuk 1 hari (dengan Sprinkler)
*Sistem Sprinkler Tersedia</t>
  </si>
  <si>
    <t>4.2.2</t>
  </si>
  <si>
    <t>Pemupukan Organik</t>
  </si>
  <si>
    <t>4.2.2.1</t>
  </si>
  <si>
    <t>Pemupukan Pupuk Organik (1 kali) untuk 1 Buah Pohon/Palem</t>
  </si>
  <si>
    <t>4.2.2.2</t>
  </si>
  <si>
    <t>Pemupukan Pupuk Organik (1 kali) untuk 1 m2 Semak/Penutup
Tanah/Rumput</t>
  </si>
  <si>
    <t>4.2.3</t>
  </si>
  <si>
    <t>Pemupukan Anorganik</t>
  </si>
  <si>
    <t>4.2.3.1</t>
  </si>
  <si>
    <t>Pemupukan Pupuk Anorganik Padat (1 kali) untuk 1 Buah
Pohon/Palem</t>
  </si>
  <si>
    <t>4.2.3.2</t>
  </si>
  <si>
    <t>Pemupukan Pupuk Anorganik Padat (1 kali) untuk 1 m2 Semak</t>
  </si>
  <si>
    <t>4.2.3.2a</t>
  </si>
  <si>
    <t>4.2.3.3</t>
  </si>
  <si>
    <t>Pemupukan pupuk anorganik cair (1 kali) untuk 1 buah
pohon/palem</t>
  </si>
  <si>
    <t>4.2.3.4</t>
  </si>
  <si>
    <t>Pemupukan pupuk anorganik cair (1 kali) untuk 1 buah
semak/penutup tanah/rumput</t>
  </si>
  <si>
    <t>4.2.4</t>
  </si>
  <si>
    <t>Pemangkasan</t>
  </si>
  <si>
    <t>4.2.4.1</t>
  </si>
  <si>
    <t>Pemangkasan 1 Buah Pohon Kecil (Dia. Tajuk &lt; 5 m, Tinggi 3-6m)
Termasuk Pengangkutan Keluar Area Tanam</t>
  </si>
  <si>
    <t>4.2.4.2</t>
  </si>
  <si>
    <t>4.2.4.3</t>
  </si>
  <si>
    <t>Pemangkasan 1 Buah Pohon Besar (Dia. Tajuk &gt; 10 m) Termasuk
Pengangkutan Keluar Area Tanam</t>
  </si>
  <si>
    <t>4.2.4.3a</t>
  </si>
  <si>
    <t>Pemangkasan 1 Buah Palem Sedang/Besar, Termasuk
Pengangkutan Keluar Area Tanam</t>
  </si>
  <si>
    <t>4.2.4.4</t>
  </si>
  <si>
    <t>Pemangkasan 1 m2 Semak dengan Gunting Pangkas</t>
  </si>
  <si>
    <t>4.2.4.4a</t>
  </si>
  <si>
    <t>Pemangkasan 1 m2 Penutup Tanah dengan Gunting Pangkas</t>
  </si>
  <si>
    <t>4.2.4.5</t>
  </si>
  <si>
    <t>Pemangkasan 1 m2 Rumput dengan Mesin Gendong</t>
  </si>
  <si>
    <t>4.2.4.6</t>
  </si>
  <si>
    <t>Pemangkasan 1 m2 Rumput dengan Mesin Dorong</t>
  </si>
  <si>
    <t>m 2</t>
  </si>
  <si>
    <t>4.2.5</t>
  </si>
  <si>
    <t>Penyemprotan Pestisida (Insektisida/Fungisida)</t>
  </si>
  <si>
    <t>4.2.5.1</t>
  </si>
  <si>
    <t>Penyemprotan Pestisida (Insektisida/Fungisida) dengan Sprayer
Gendong 1 Kali untuk 1 Buah Pohon/Palem</t>
  </si>
  <si>
    <t>4.2.5.2</t>
  </si>
  <si>
    <t>Penyemprotan Pestisida (Fungisida /Insektisida) dengan Sprayer
Gendong 1 Kali untuk 1 m2 Semak</t>
  </si>
  <si>
    <t>4.2.5.3</t>
  </si>
  <si>
    <t>Penyemprotan Pestisida (Fungisida /Insektisida) dengan Sprayer
Gendong 1 Kali untuk 1 m2 Penutup Tanah/Rumput</t>
  </si>
  <si>
    <t>4.2.6</t>
  </si>
  <si>
    <t>Pembersihan Lahan (Menyapu)</t>
  </si>
  <si>
    <t>4.2.6.1</t>
  </si>
  <si>
    <t>Pembersihan (Penyapuan) 1 m2 Area Tanam</t>
  </si>
  <si>
    <t>4.2.7</t>
  </si>
  <si>
    <t>Pencabutan Gulma</t>
  </si>
  <si>
    <t>4.2.7.1</t>
  </si>
  <si>
    <t>Pencabutan Gulma (Intensitas Gulma di Atas 50%) 1 m2 Rumput</t>
  </si>
  <si>
    <t>4.2.7.2</t>
  </si>
  <si>
    <t>Pencabutan Gulma (Intensitas Gulma di Atas 20%) 1 m2 Rumput</t>
  </si>
  <si>
    <t>4.3.</t>
  </si>
  <si>
    <t>PEKERJAAN HARDSCAPE DAN STREET FURNITURE</t>
  </si>
  <si>
    <t>4.3.1</t>
  </si>
  <si>
    <t>Pembuatan dan pemasangan 1 buah Tong Sampah Kaleng 2 Tabung dengan Rangka Hollow 30x60</t>
  </si>
  <si>
    <t>5</t>
  </si>
  <si>
    <t>PEKERJAAN MEKANIKAL DAN ELEKTRIKAL</t>
  </si>
  <si>
    <t>5.1</t>
  </si>
  <si>
    <t>PEKERJAAN SISTEM DISTRIBUSI JARINGAN LISTRIK</t>
  </si>
  <si>
    <t>5.1.1</t>
  </si>
  <si>
    <t>Pemasangan kabel arus kuat (kabel, kabel tray/ladder)</t>
  </si>
  <si>
    <t>5.1.1.1</t>
  </si>
  <si>
    <t>Kabel NYY</t>
  </si>
  <si>
    <t>5.1.1.1.1</t>
  </si>
  <si>
    <t>Pemasangan 1 m' kabel NYY 1 x 4 mm²</t>
  </si>
  <si>
    <t>5.1.1.1.2</t>
  </si>
  <si>
    <t>Pemasangan 1 m' kabel NYY 1 x 6 mm²</t>
  </si>
  <si>
    <t>5.1.1.1.3</t>
  </si>
  <si>
    <t>Pemasangan 1 m' kabel NYY 1 x 10 mm²</t>
  </si>
  <si>
    <t>5.1.1.1.4</t>
  </si>
  <si>
    <t>Pemasangan 1 m' kabel NYY 1 x 16 mm²</t>
  </si>
  <si>
    <t>5.1.1.1.5</t>
  </si>
  <si>
    <t>Pemasangan 1 m' kabel NYY 1 x 25 mm²</t>
  </si>
  <si>
    <t>5.1.1.1.6</t>
  </si>
  <si>
    <t>Pemasangan 1 m' kabel NYY 1 x 35 mm²</t>
  </si>
  <si>
    <t>5.1.1.1.7</t>
  </si>
  <si>
    <t>Pemasangan 1 m' kabel NYY 1 x 50 mm²</t>
  </si>
  <si>
    <t>5.1.1.1.8</t>
  </si>
  <si>
    <t>Pemasangan 1 m' kabel NYY 1 x 70 mm²</t>
  </si>
  <si>
    <t>5.1.1.1.9</t>
  </si>
  <si>
    <t>Pemasangan 1 m' kabel NYY 1 x 95 mm²</t>
  </si>
  <si>
    <t>5.1.1.1.10</t>
  </si>
  <si>
    <t>Pemasangan 1 m' kabel NYY 1 x 120 mm²</t>
  </si>
  <si>
    <t>5.1.1.1.11</t>
  </si>
  <si>
    <t>Pemasangan 1 m' kabel NYY 1 x 150 mm²</t>
  </si>
  <si>
    <t>5.1.1.1.12</t>
  </si>
  <si>
    <t>Pemasangan 1 m' kabel NYY 1 x 185 mm²</t>
  </si>
  <si>
    <t>5.1.1.1.13</t>
  </si>
  <si>
    <t>Pemasangan 1 m' kabel NYY 1 x 250 mm²</t>
  </si>
  <si>
    <t>5.1.1.1.14</t>
  </si>
  <si>
    <t>Pemasangan 1 m' kabel NYY 1 x 300 mm²</t>
  </si>
  <si>
    <t>5.1.1.1.15</t>
  </si>
  <si>
    <t>Pemasangan 1 m' kabel NYY 1 x 400 mm²</t>
  </si>
  <si>
    <t>5.1.1.1.16</t>
  </si>
  <si>
    <t>Pemasangan 1 m' kabel NYY 1 x 500 mm²</t>
  </si>
  <si>
    <t>5.1.1.1.17</t>
  </si>
  <si>
    <t>Pemasangan 1 m' kabel NYY 1 x 630 mm²</t>
  </si>
  <si>
    <t>5.1.1.1.18</t>
  </si>
  <si>
    <t>Pemasangan 1 m' kabel NYY 2 x 1,5 mm²</t>
  </si>
  <si>
    <t>5.1.1.1.19</t>
  </si>
  <si>
    <t>Pemasangan 1 m' kabel NYY 2 x 2,5 mm²</t>
  </si>
  <si>
    <t>5.1.1.1.20</t>
  </si>
  <si>
    <t>Pemasangan 1 m' kabel NYY 2 x 4 mm²</t>
  </si>
  <si>
    <t>5.1.1.1..21</t>
  </si>
  <si>
    <t>Pemasangan 1 m' kabel NYY 2 x 6 mm²</t>
  </si>
  <si>
    <t>5.1.1.1.22</t>
  </si>
  <si>
    <t>Pemasangan 1 m' kabel NYY 2 x 10 mm²</t>
  </si>
  <si>
    <t>5.1.1.1.23</t>
  </si>
  <si>
    <t>Pemasangan 1 m' kabel NYY 2 x 16 mm²</t>
  </si>
  <si>
    <t>5.1.1.1.24</t>
  </si>
  <si>
    <t>Pemasangan 1 m' kabel NYY 3 x 1,5 mm²</t>
  </si>
  <si>
    <t>5.1.1.1.25</t>
  </si>
  <si>
    <t>Pemasangan 1 m' kabel NYY 3 x 2,5 mm²</t>
  </si>
  <si>
    <t>5.1.1.1.26</t>
  </si>
  <si>
    <t>Pemasangan 1 m' kabel NYY 3 x 4 mm²</t>
  </si>
  <si>
    <t>5.1.1.1.27</t>
  </si>
  <si>
    <t>Pemasangan 1 m' kabel NYY 3 x 6 mm²</t>
  </si>
  <si>
    <t>5.1.1.1.28</t>
  </si>
  <si>
    <t>Pemasangan 1 m' kabel NYY 3 x 10 mm²</t>
  </si>
  <si>
    <t>5.1.1.1.29</t>
  </si>
  <si>
    <t>Pemasangan 1 m' kabel NYY 3 x 16 mm²</t>
  </si>
  <si>
    <t>5.1.1.1.30</t>
  </si>
  <si>
    <t>Pemasangan 1 m' kabel NYY 3 x 25 mm²</t>
  </si>
  <si>
    <t>5.1.1.1.31</t>
  </si>
  <si>
    <t>Pemasangan 1 m' kabel NYY 3 x 35 mm²</t>
  </si>
  <si>
    <t>5.1.1.1.32</t>
  </si>
  <si>
    <t>Pemasangan 1 m' kabel NYY 3 x 50 mm²</t>
  </si>
  <si>
    <t>5.1.1.1.33</t>
  </si>
  <si>
    <t>Pemasangan 1 m' kabel NYY 4 x 1,5 mm²</t>
  </si>
  <si>
    <t>5.1.1.1.34</t>
  </si>
  <si>
    <t>Pemasangan 1 m' kabel NYY 4 x 2,5 mm²</t>
  </si>
  <si>
    <t>5.1.1.1.35</t>
  </si>
  <si>
    <t>Pemasangan 1 m' kabel NYY 4 x 4 mm²</t>
  </si>
  <si>
    <t>5.1.1.1.36</t>
  </si>
  <si>
    <t>Pemasangan 1 m' kabel NYY 4 x 6 mm²</t>
  </si>
  <si>
    <t>5.1.1.1.37</t>
  </si>
  <si>
    <t>Pemasangan 1 m' kabel NYY 4 x 10 mm²</t>
  </si>
  <si>
    <t>5.1.1.1.38</t>
  </si>
  <si>
    <t>Pemasangan 1 m' kabel NYY 4 x 16 mm²</t>
  </si>
  <si>
    <t>5.1.1.1.39</t>
  </si>
  <si>
    <t>Pemasangan 1 m' kabel NYY 4 x 25 mm²</t>
  </si>
  <si>
    <t>5.1.1.1.40</t>
  </si>
  <si>
    <t>Pemasangan 1 m' kabel NYY 4 x 35 mm²</t>
  </si>
  <si>
    <t>5.1.1.1.41</t>
  </si>
  <si>
    <t>Pemasangan 1 m' kabel NYY 4 x 50 mm²</t>
  </si>
  <si>
    <t>5.1.1.1.42</t>
  </si>
  <si>
    <t>Pemasangan 1 m' kabel NYY 4 x 70 mm²</t>
  </si>
  <si>
    <t>5.1.1.1.43</t>
  </si>
  <si>
    <t>Pemasangan 1 m' kabel NYY 4 x 95 mm²</t>
  </si>
  <si>
    <t>5.1.1.1.44</t>
  </si>
  <si>
    <t>Pemasangan 1 m' kabel NYY 4 x 120 mm²</t>
  </si>
  <si>
    <t>5.1.1.1.45</t>
  </si>
  <si>
    <t>Pemasangan 1 m' kabel NYY 4 x 150 mm²</t>
  </si>
  <si>
    <t>5.1.1.1.46</t>
  </si>
  <si>
    <t>Pemasangan 1 m' kabel NYY 4 x 185 mm²</t>
  </si>
  <si>
    <t>5.1.1.1.47</t>
  </si>
  <si>
    <t>Pemasangan 1 m' kabel NYY 4 x 240 mm²</t>
  </si>
  <si>
    <t>5.1.1.1.48</t>
  </si>
  <si>
    <t>Pemasangan 1 m' kabel NYY 4 x 300 mm²</t>
  </si>
  <si>
    <t>5.1.1.2</t>
  </si>
  <si>
    <t>Kabel NYA</t>
  </si>
  <si>
    <t>5.1.1.2.1</t>
  </si>
  <si>
    <t>Pemasangan 1 m' kabel NYA 1 x 1,5 mm²</t>
  </si>
  <si>
    <t>5.1.1.2.2</t>
  </si>
  <si>
    <t>Pemasangan 1 m' kabel NYA 1 x 2,5 mm²</t>
  </si>
  <si>
    <t>5.1.1.2.3</t>
  </si>
  <si>
    <t>Pemasangan 1 m' kabel NYA 1 x 4 mm²</t>
  </si>
  <si>
    <t>5.1.1.2.4</t>
  </si>
  <si>
    <t>Pemasangan 1 m' kabel NYA 1 x 6 mm²</t>
  </si>
  <si>
    <t>5.1.1.2.5</t>
  </si>
  <si>
    <t>Pemasangan 1 m' kabel NYA 1 x 10 mm²</t>
  </si>
  <si>
    <t>5.1.1.2.6</t>
  </si>
  <si>
    <t>Pemasangan 1 m' kabel NYA 1 x 16 mm²</t>
  </si>
  <si>
    <t>5.1.1.2.7</t>
  </si>
  <si>
    <t>Pemasangan 1 m' kabel NYA 2 x 1,5 mm² + PVC conduit HI 20 mm²</t>
  </si>
  <si>
    <t>5.1.1.2.8</t>
  </si>
  <si>
    <t>Pemasangan 1 m' kabel NYA 3 x 1,5 mm² + PVC conduit HI 20 mm²</t>
  </si>
  <si>
    <t>5.1.1.2.9</t>
  </si>
  <si>
    <t>Pemasangan 1 m' kabel NYA 3 x 2,5 mm² + PVC conduit HI 20 mm²</t>
  </si>
  <si>
    <t>5.1.1.2.10</t>
  </si>
  <si>
    <t>Pemasangan 1 m' kabel NYA 3 x 2,5 mm² + PVC conduit HI 32 mm²</t>
  </si>
  <si>
    <t>5.1.1.2.11</t>
  </si>
  <si>
    <t>Pemasangan 1 m' kabel NYA 5 x 2,5 mm² + PVC conduit HI 20 mm²</t>
  </si>
  <si>
    <t>5.1.1.2.12</t>
  </si>
  <si>
    <t>Pemasangan 1 m' kabel NYA 5 x 2,5 mm² + PVC conduit HI 32 mm²</t>
  </si>
  <si>
    <t>5.1.1.2.13</t>
  </si>
  <si>
    <t>Pemasangan 1 m' kabel NYA 1 x 35 mm²</t>
  </si>
  <si>
    <t>5.1.1.2.14</t>
  </si>
  <si>
    <t>Pemasangan 1 m' kabel NYA 1 x 95 mm²</t>
  </si>
  <si>
    <t>5.1.1.3</t>
  </si>
  <si>
    <t>Kabel NYM</t>
  </si>
  <si>
    <t>5.1.1.3.1</t>
  </si>
  <si>
    <t>Pemasangan 1 m' kabel NYM 2 x 1,5 mm²</t>
  </si>
  <si>
    <t>5.1.1.3.2</t>
  </si>
  <si>
    <t>Pemasangan 1 m' kabel NYM 2 x 2,5 mm²</t>
  </si>
  <si>
    <t>5.1.1.3.3</t>
  </si>
  <si>
    <t>Pemasangan 1 m' kabel NYM 2 x 4 mm²</t>
  </si>
  <si>
    <t>5.1.1.3.4</t>
  </si>
  <si>
    <t>Pemasangan 1 m' kabel NYM 2 x 6 mm²</t>
  </si>
  <si>
    <t>5.1.1.3.5</t>
  </si>
  <si>
    <t>Pemasangan 1 m' kabel NYM 2 x 10 mm²</t>
  </si>
  <si>
    <t>5.1.1.3.6</t>
  </si>
  <si>
    <t>Pemasangan 1 m' kabel NYM 3 x 1,5 mm²</t>
  </si>
  <si>
    <t>5.1.1.3.7</t>
  </si>
  <si>
    <t>Pemasangan 1 m' kabel NYM 3 x 2,5 mm²</t>
  </si>
  <si>
    <t>5.1.1.3.8</t>
  </si>
  <si>
    <t>Pemasangan 1 m' kabel NYM 3 x 4 mm²</t>
  </si>
  <si>
    <t>5.1.1.3.9</t>
  </si>
  <si>
    <t>Pemasangan 1 m' kabel NYM 3 x 6 mm²</t>
  </si>
  <si>
    <t>5.1.1.3.10</t>
  </si>
  <si>
    <t>Pemasangan 1 m' kabel NYM 3 x 10 mm²</t>
  </si>
  <si>
    <t>5.1.1.3.11</t>
  </si>
  <si>
    <t>Pemasangan 1 m' kabel NYM 4 x 1,5 mm²</t>
  </si>
  <si>
    <t>5.1.1.3.12</t>
  </si>
  <si>
    <t>Pemasangan 1 m' kabel NYM 4 x 2,5 mm²</t>
  </si>
  <si>
    <t>5.1.1.3.13</t>
  </si>
  <si>
    <t>Pemasangan 1 m' kabel NYM 4 x 4 mm²</t>
  </si>
  <si>
    <t>5.1.1.3.14</t>
  </si>
  <si>
    <t>Pemasangan 1 m' kabel NYM 4 x 6 mm²</t>
  </si>
  <si>
    <t>5.1.1.3.15</t>
  </si>
  <si>
    <t>Pemasangan 1 m' kabel NYM 4 x 10 mm²</t>
  </si>
  <si>
    <t>5.1.1.3.16</t>
  </si>
  <si>
    <t>Pemasangan 1 m' kabel NYM 4 x 16 mm²</t>
  </si>
  <si>
    <t>5.1.1.4</t>
  </si>
  <si>
    <t>Kabel NYMHY</t>
  </si>
  <si>
    <t>5.1.1.4.1</t>
  </si>
  <si>
    <t>Pemasangan 1 m' kabel NYMHY 2 x 1,5 mm²</t>
  </si>
  <si>
    <t>5.1.1.4.2</t>
  </si>
  <si>
    <t>Pemasangan 1 m' kabel NYMHY 2 x 2,5 mm²</t>
  </si>
  <si>
    <t>5.1.1.4.3</t>
  </si>
  <si>
    <t>Pemasangan 1 m' kabel NYMHY 3 x 1,5 mm²</t>
  </si>
  <si>
    <t>5.1.1.4.4</t>
  </si>
  <si>
    <t>Pemasangan 1 m' kabel NYMHY 3 x 2,5 mm²</t>
  </si>
  <si>
    <t>5.1.1.4.5</t>
  </si>
  <si>
    <t>Pemasangan 1 m' kabel NYMHY 4 x 2,5 mm²</t>
  </si>
  <si>
    <t>5.1.1.4.6</t>
  </si>
  <si>
    <t>Pemasangan 1 m' kabel NYMHY 3 x 1,5 mm² + PVC conduit HI 20 mm²</t>
  </si>
  <si>
    <t>5.1.1.4.7</t>
  </si>
  <si>
    <t>Pemasangan 1 m' kabel NYMHY 2 (3 x 1,5 mm²) + PVC conduit HI 20 mm²</t>
  </si>
  <si>
    <t>5.1.1.5</t>
  </si>
  <si>
    <t>Kabel NYFGBY</t>
  </si>
  <si>
    <t>5.1.1.5.1</t>
  </si>
  <si>
    <t>Pemasangan 1 m' kabel NYFGBY 2 x 1,5 mm²</t>
  </si>
  <si>
    <t>5.1.1.5.2</t>
  </si>
  <si>
    <t>Pemasangan 1 m' kabel NYFGBY 2 x 2,5 mm²</t>
  </si>
  <si>
    <t>5.1.1.5.3</t>
  </si>
  <si>
    <t>Pemasangan 1 m' kabel NYFGBY 2 x 4 mm²</t>
  </si>
  <si>
    <t>5.1.1.5.4</t>
  </si>
  <si>
    <t>Pemasangan 1 m' kabel NYFGBY 2 x 6 mm²</t>
  </si>
  <si>
    <t>5.1.1.5.5</t>
  </si>
  <si>
    <t>Pemasangan 1 m' kabel NYFGBY 2 x 10 mm²</t>
  </si>
  <si>
    <t>5.1.1.5.6</t>
  </si>
  <si>
    <t>Pemasangan 1 m' kabel NYFGBY 2 x 16 mm²</t>
  </si>
  <si>
    <t>5.1.1.5.7</t>
  </si>
  <si>
    <t>Pemasangan 1 m' kabel NYFGBY 3 x 1,5 mm²</t>
  </si>
  <si>
    <t>5.1.1.5.8</t>
  </si>
  <si>
    <t>Pemasangan 1 m' kabel NYFGBY 3 x 2,5 mm²</t>
  </si>
  <si>
    <t>5.1.1.5.9</t>
  </si>
  <si>
    <t>Pemasangan 1 m' kabel NYFGBY 3 x 4 mm²</t>
  </si>
  <si>
    <t>5.1.1.5.10</t>
  </si>
  <si>
    <t>Pemasangan 1 m' kabel NYFGBY 3 x 6 mm²</t>
  </si>
  <si>
    <t>5.1.1.5.11</t>
  </si>
  <si>
    <t>Pemasangan 1 m' kabel NYFGBY 3 x 10 mm²</t>
  </si>
  <si>
    <t>5.1.1.5.12</t>
  </si>
  <si>
    <t>Pemasangan 1 m' kabel NYFGBY 3 x 16 mm²</t>
  </si>
  <si>
    <t>5.1.1.5.13</t>
  </si>
  <si>
    <t>Pemasangan 1 m' kabel NYFGBY 4 x 1,5 mm²</t>
  </si>
  <si>
    <t>5.1.1.5.14</t>
  </si>
  <si>
    <t>Pemasangan 1 m' kabel NYFGBY 4 x 2,5 mm²</t>
  </si>
  <si>
    <t>5.1.1.5.15</t>
  </si>
  <si>
    <t>Pemasangan 1 m' kabel NYFGBY 4 x 4 mm²</t>
  </si>
  <si>
    <t>5.1.1.5.16</t>
  </si>
  <si>
    <t>Pemasangan 1 m' kabel NYFGBY 4 x 6 mm²</t>
  </si>
  <si>
    <t>5.1.1.5.17</t>
  </si>
  <si>
    <t>Pemasangan 1 m' kabel NYFGBY 4 x 10 mm²</t>
  </si>
  <si>
    <t>5.1.1.5.18</t>
  </si>
  <si>
    <t>Pemasangan 1 m' kabel NYFGBY 4 x 16 mm²</t>
  </si>
  <si>
    <t>5.1.1.5.19</t>
  </si>
  <si>
    <t>Pemasangan 1 m' kabel NYFGBY 4 x 25 mm²</t>
  </si>
  <si>
    <t>5.1.1.5.20</t>
  </si>
  <si>
    <t>Pemasangan 1 m' kabel NYFGBY 4 x 35 mm²</t>
  </si>
  <si>
    <t>5.1.1.5.21</t>
  </si>
  <si>
    <t>Pemasangan 1 m' kabel NYFGBY 4 x 50 mm²</t>
  </si>
  <si>
    <t>5.1.1.5.22</t>
  </si>
  <si>
    <t>Pemasangan 1 m' kabel NYFGBY 4 x 70 mm²</t>
  </si>
  <si>
    <t>5.1.1.5.23</t>
  </si>
  <si>
    <t>Pemasangan 1 m' kabel NYFGBY 4 x 95 mm²</t>
  </si>
  <si>
    <t>5.1.1.5.24</t>
  </si>
  <si>
    <t>Pemasangan 1 m' kabel NYFGBY 4 x 120 mm²</t>
  </si>
  <si>
    <t>5.1.1.5.25</t>
  </si>
  <si>
    <t>Pemasangan 1 m' kabel NYFGBY 4 x 150 mm²</t>
  </si>
  <si>
    <t>5.1.1.5.26</t>
  </si>
  <si>
    <t>Pemasangan 1 m' kabel NYFGBY 4 x 185 mm²</t>
  </si>
  <si>
    <t>5.1.1.5.27</t>
  </si>
  <si>
    <t>Pemasangan 1 m' kabel NYFGBY 4 x 240 mm²</t>
  </si>
  <si>
    <t>5.1.1.5.28</t>
  </si>
  <si>
    <t>Pemasangan 1 m' kabel NYFGBY 4 x 300 mm²</t>
  </si>
  <si>
    <t>5.1.1.6</t>
  </si>
  <si>
    <t>Kabel FRC 3 x 2,5 mm²</t>
  </si>
  <si>
    <t>5.1.1.6.1</t>
  </si>
  <si>
    <t>Pemasangan 1 m' kabel FRC 3 x 2,5 mm²</t>
  </si>
  <si>
    <t>5.1.1.6.2</t>
  </si>
  <si>
    <t>Pemasangan 1 m' kabel FRC 4 x 4 mm²</t>
  </si>
  <si>
    <t>5.1.1.6.3</t>
  </si>
  <si>
    <t>Pemasangan 1 m' kabel FRC 4 x 6 mm²</t>
  </si>
  <si>
    <t>5.1.1.6.4</t>
  </si>
  <si>
    <t>Pemasangan 1 m' kabel FRC 4 x 150 mm²</t>
  </si>
  <si>
    <t>5.1.1.6.5</t>
  </si>
  <si>
    <t>Pemasangan 1 m' kabel FRC 1 x 150 mm²</t>
  </si>
  <si>
    <t>5.1.1.6.6</t>
  </si>
  <si>
    <t>Pemasangan 1 m' kabel FRC 2 x 1,5 mm² + PVC Conduit HI 20 mm2</t>
  </si>
  <si>
    <t>5.1.1.6.7</t>
  </si>
  <si>
    <t>Pemasangan 1 m' kabel FRC 2 x 2,5 mm² + PVC Conduit HI 20 mm2</t>
  </si>
  <si>
    <t>5.1.1.7</t>
  </si>
  <si>
    <t>Kabel BCC</t>
  </si>
  <si>
    <t>5.1.1.7.1</t>
  </si>
  <si>
    <t>Pemasangan 1 m' kabel BCC 4 mm² (0,04 kg/m)</t>
  </si>
  <si>
    <t>5.1.1.7.2</t>
  </si>
  <si>
    <t>Pemasangan 1 m' kabel BCC 6 mm² (0,06 kg/m)</t>
  </si>
  <si>
    <t>5.1.1.7.3</t>
  </si>
  <si>
    <t>Pemasangan 1 m' kabel BCC 10 mm² (0,10 kg/m)</t>
  </si>
  <si>
    <t>5.1.1.7.4</t>
  </si>
  <si>
    <t>Pemasangan 1 m' kabel BCC 16 mm² (0,16 kg/m)</t>
  </si>
  <si>
    <t>5.1.1.7.5</t>
  </si>
  <si>
    <t>Pemasangan 1 m' kabel BCC 25 mm² (0,25 kg/m)</t>
  </si>
  <si>
    <t>5.1.1.7.6</t>
  </si>
  <si>
    <t>Pemasangan 1 m' kabel BCC 35 mm² (0,35 kg/m)</t>
  </si>
  <si>
    <t>5.1.1.7.7</t>
  </si>
  <si>
    <t>Pemasangan 1 m' kabel BCC 50 mm² (0,50 kg/m)</t>
  </si>
  <si>
    <t>5.1.1.7.8</t>
  </si>
  <si>
    <t>Pemasangan 1 m' kabel BCC 70 mm² (0,70 kg/m)</t>
  </si>
  <si>
    <t>5.1.1.7.9</t>
  </si>
  <si>
    <t>Pemasangan 1 m' kabel BCC 95 mm² (0,95 kg/m)</t>
  </si>
  <si>
    <t>5.1.1.8</t>
  </si>
  <si>
    <t>Kabel STP</t>
  </si>
  <si>
    <t>5.1.1.8.1</t>
  </si>
  <si>
    <t>Pemasangan 1 m' Kabel STP AWG 18 + PVC Conduit HI 20 mm</t>
  </si>
  <si>
    <t>5.1.1.9</t>
  </si>
  <si>
    <t>Kabel ITC</t>
  </si>
  <si>
    <t>5.1.1.9.1</t>
  </si>
  <si>
    <t>Pemasangan 1 m' kabel ITC 2x2x0,6 mm2 + PVC Conduit HI 20 mm2</t>
  </si>
  <si>
    <t>5.1.1.10</t>
  </si>
  <si>
    <t>Kabel UTP</t>
  </si>
  <si>
    <t>5.1.1.10.1</t>
  </si>
  <si>
    <t>Pemasangan 1 m' kabel UTP CAT 6 + PVC Conduit HI 20 mm2</t>
  </si>
  <si>
    <t>5.1.1.11</t>
  </si>
  <si>
    <t>Kabel Coaxial</t>
  </si>
  <si>
    <t>5.1.1.11.1</t>
  </si>
  <si>
    <t>Pemasangan 1 m' kabel Coaxial 7C-2V</t>
  </si>
  <si>
    <t>5.1.1.12</t>
  </si>
  <si>
    <t>Kabel TRAY / Ladder</t>
  </si>
  <si>
    <t>5.1.1.12.1</t>
  </si>
  <si>
    <t>Pemasangan 1 Unit Kabel Tray (Horizontal) 600x100mm TRU Powder Coating</t>
  </si>
  <si>
    <t>unit</t>
  </si>
  <si>
    <t>5.1.1.12.2</t>
  </si>
  <si>
    <t>Pemasangan 1 unit kabel tray (horizontal) 500 x 100 mm</t>
  </si>
  <si>
    <t>5.1.1.12.3</t>
  </si>
  <si>
    <t>Pemasangan 1 unit kabel tray (horizontal) 400 x 100 mm</t>
  </si>
  <si>
    <t>5.1.1.12.4</t>
  </si>
  <si>
    <t>Pemasangan 1 unit kabel tray (horizontal) 300 x 100 mm</t>
  </si>
  <si>
    <t>5.1.1.12.5</t>
  </si>
  <si>
    <t>Pemasangan 1 unit kabel tray (horizontal) 200 x 100 mm</t>
  </si>
  <si>
    <t>5.1.1.12.6</t>
  </si>
  <si>
    <t>Pemasangan 1 unit kabel tray (vertikal) 600 x 100 mm</t>
  </si>
  <si>
    <t>51.1.12.7</t>
  </si>
  <si>
    <t>Pemasangan 1 unit kabel tray (vertikal) 500 x 100 mm</t>
  </si>
  <si>
    <t>5.1.1.12.8</t>
  </si>
  <si>
    <t>Pemasangan 1 unit kabel tray (vertikal) 400 x 100 mm</t>
  </si>
  <si>
    <t>5.1.1.12.9</t>
  </si>
  <si>
    <t>Pemasangan 1 unit kabel tray (vertikal) 300 x 100 mm</t>
  </si>
  <si>
    <t>5.1.1.12.10</t>
  </si>
  <si>
    <t>Pemasangan 1 unit kabel tray (vertikal) 200 x 100 mm</t>
  </si>
  <si>
    <t>5.1.1.12.11</t>
  </si>
  <si>
    <t>Pemasangan 1 unit kabel Ladder  500 x 100 mm</t>
  </si>
  <si>
    <t>5.1.1.12.12</t>
  </si>
  <si>
    <t>Pemasangan 1 unit kabel Ladder  600 x 100 mm</t>
  </si>
  <si>
    <t>5.1.1.12.13</t>
  </si>
  <si>
    <t>Pemasangan 1 unit kabel Ladder  800 x 100 mm</t>
  </si>
  <si>
    <t>5.1.1.12.14</t>
  </si>
  <si>
    <t>Pemasangan 1 unit pasang baja ringan 75 x 35 mm + Hanger</t>
  </si>
  <si>
    <t>5.1.1.12.15</t>
  </si>
  <si>
    <t>Pemasangan 1 Unit Kabel Tray (Horizontal) 1000 x 100 mm TRU Powder Coating</t>
  </si>
  <si>
    <t>5.1.1.12.16</t>
  </si>
  <si>
    <t>Pemasangan 1 Unit Kabel Tray (Horizontal) 1000 x 100 mm TRU Hot Dip Galvanized</t>
  </si>
  <si>
    <t>5.1.1.12.17</t>
  </si>
  <si>
    <t>Pemasangan 1 Unit Kabel Tray (Horizontal) 1000 x 100 mm TRU OCP</t>
  </si>
  <si>
    <t>5.1.1.12.18</t>
  </si>
  <si>
    <t>Pemasangan 1 Unit Kabel Tray (Horizontal) 1000 x 100 mm TRC Powder Coating</t>
  </si>
  <si>
    <t>5.1.1.12.19</t>
  </si>
  <si>
    <t>Pemasangan 1 Unit Kabel Tray (Horizontal) 1000 x 100 mm TRC Hot Dip Galvanized</t>
  </si>
  <si>
    <t>5.1.1.12.20</t>
  </si>
  <si>
    <t>Pemasangan 1 Unit Kabel Tray (Horizontal) 1000 x 100 mm TRC OCP</t>
  </si>
  <si>
    <t>5.1.1.12.21</t>
  </si>
  <si>
    <t>Pemasangan 1 Unit Kabel Tray (Horizontal) 900 x 100 mm TRU Powder Coating</t>
  </si>
  <si>
    <t>5.1.1.12.22</t>
  </si>
  <si>
    <t>Pemasangan 1 Unit Kabel Tray (Horizontal) 900 x 100 mm
TRU Hot Dip Galvanized</t>
  </si>
  <si>
    <t>5.1.1.12.23</t>
  </si>
  <si>
    <t>Pemasangan 1 Unit Kabel Tray (Horizontal) 900 x 100 mm
TRU OCP</t>
  </si>
  <si>
    <t>5.1.1.12.24</t>
  </si>
  <si>
    <t>Pemasangan 1 Unit Kabel Tray (Horizontal) 900 x 100 mm TRC Powder Coating</t>
  </si>
  <si>
    <t>5.1.1.12.25</t>
  </si>
  <si>
    <t>Pemasangan 1 Unit Kabel Tray (Horizontal) 900 x 100 mm TRC Hot Dip Galvanized</t>
  </si>
  <si>
    <t>5.1.1.12.26</t>
  </si>
  <si>
    <t>Pemasangan 1 Unit Kabel Tray (Horizontal) 900 x 100 mm
TRC OCP</t>
  </si>
  <si>
    <t>5.1.1.12.27</t>
  </si>
  <si>
    <t>Pemasangan 1 Unit Kabel Tray (Horizontal) 800 x 100 mm
TRU Powder Coating</t>
  </si>
  <si>
    <t>5.1.1.12.28</t>
  </si>
  <si>
    <t>Pemasangan 1 Unit Kabel Tray (Horizontal) 800 x 100 mm
TRU Hot Dip Galvanized</t>
  </si>
  <si>
    <t>5.1.1.12.29</t>
  </si>
  <si>
    <t>Pemasangan 1 Unit Kabel Tray (Horizontal) 800 x 100 mm
TRU OCP</t>
  </si>
  <si>
    <t>5.1.1.12.30</t>
  </si>
  <si>
    <t>Pemasangan 1 Unit Kabel Tray (Horizontal) 800 x 100 mm
TRC Powder Coating</t>
  </si>
  <si>
    <t>5.1.1.12.31</t>
  </si>
  <si>
    <t>Pemasangan 1 Unit Kabel Tray (Horizontal) 800 x 100 mm
TRC Hot Dip Galvanized</t>
  </si>
  <si>
    <t>5.1.1.12.32</t>
  </si>
  <si>
    <t>Pemasangan 1 Unit Kabel Tray (Horizontal) 800 x 100 mm TRC OCP</t>
  </si>
  <si>
    <t>5.1.1.12.33</t>
  </si>
  <si>
    <t>Pemasangan 1 Unit Kabel Tray (Horizontal) 700 x 100 mm TRU Powder Coating</t>
  </si>
  <si>
    <t>5.1.1.12.34</t>
  </si>
  <si>
    <t>Pemasangan 1 Unit Kabel Tray (Horizontal) 700 x 100 mm TRU Hot Dip Galvanized</t>
  </si>
  <si>
    <t>5.1.1.12.35</t>
  </si>
  <si>
    <t>Pemasangan 1 Unit Kabel Tray (Horizontal) 700 x 100 mm TRU OCP</t>
  </si>
  <si>
    <t>5.1.1.12.36</t>
  </si>
  <si>
    <t>Pemasangan 1 Unit Kabel Tray (Horizontal) 700 x 100 mm TRC Powder Coating</t>
  </si>
  <si>
    <t>5.1.1.12.37</t>
  </si>
  <si>
    <t>Pemasangan 1 Unit Kabel Tray (Horizontal) 700 x 100 mm TRC Hot Dip Galvanized</t>
  </si>
  <si>
    <t>5.1.1.12.38</t>
  </si>
  <si>
    <t>Pemasangan 1 Unit Kabel Tray (Horizontal) 700 x 100 mm TRC OCP</t>
  </si>
  <si>
    <t>5.1.1.12.39</t>
  </si>
  <si>
    <t>Pemasangan 1 unit Kabel Tray (Horizontal) 600x100mm TRU Hot Dip Galvanizer</t>
  </si>
  <si>
    <t>5.1.1.12.40</t>
  </si>
  <si>
    <t>Pemasangan 1 unit Kabel Tray (Horizontal) 600x100mm TRU OCP</t>
  </si>
  <si>
    <t>5.1.1.12.41</t>
  </si>
  <si>
    <t>Pemasangan 1 unit Kabel Tray (Horizontal) 600x100mm TRC Powder Coating</t>
  </si>
  <si>
    <t>5.1.1.12.42</t>
  </si>
  <si>
    <t>Pemasangan 1 Unit Kabel Tray (Horizontal) 600 x 100 mm TRC Hot Dip Galvanized</t>
  </si>
  <si>
    <t>5.1.1.12.43</t>
  </si>
  <si>
    <t>Pemasangan 1 Unit Kabel Tray (Horizontal) 600 x 100 mm TRC OCP</t>
  </si>
  <si>
    <t>5.1.1.12.44</t>
  </si>
  <si>
    <t>Pemasangan 1 Unit Kabel Tray (Horizontal) 500 x 100 mm TRU Hot Dip Galvanized</t>
  </si>
  <si>
    <t>5.1.1.12.45</t>
  </si>
  <si>
    <t>Pemasangan 1 Unit Kabel Tray (Horizontal) 500 x 100 mm TRU OCP</t>
  </si>
  <si>
    <t>5.1.1.12.46</t>
  </si>
  <si>
    <t>Pemasangan 1 Unit Kabel Tray (Horizontal) 500 x 100 mm TRC Powder Coating</t>
  </si>
  <si>
    <t>5.1.1.12.47</t>
  </si>
  <si>
    <t>Pemasangan 1 Unit Kabel Tray (Horizontal) 500 x 100 mm TRC Hot Dip Galvanized</t>
  </si>
  <si>
    <t>5.1.1.12.48</t>
  </si>
  <si>
    <t>Pemasangan 1 Unit Kabel Tray (Horizontal) 500 x 100 mm TRC OCP</t>
  </si>
  <si>
    <t>5.1.1.12.49</t>
  </si>
  <si>
    <t>Pemasangan 1 Unit Kabel Tray (Horizontal) 400 x 100 mm TRU Hot Dip Galvanized</t>
  </si>
  <si>
    <t>5.1.1.12.50</t>
  </si>
  <si>
    <t>Pemasangan 1 Unit Kabel Tray (Horizontal) 400 x 100 mm TRU OCP</t>
  </si>
  <si>
    <t>5.1.1.12.51</t>
  </si>
  <si>
    <t>Pemasangan 1 Unit Kabel Tray (Horizontal) 400 x 100 mm TRC Powder Coating</t>
  </si>
  <si>
    <t>5.1.1.12.52</t>
  </si>
  <si>
    <t>Pemasangan 1 Unit Kabel Tray (Horizontal) 400 x 100 mm TRC Hot Dip Galvanized</t>
  </si>
  <si>
    <t>5.1.1.12.53</t>
  </si>
  <si>
    <t>Pemasangan 1 Unit Kabel Tray (Horizontal) 400 x 100 mm TRC OCP</t>
  </si>
  <si>
    <t>5.1.1.12.54</t>
  </si>
  <si>
    <t>Pemasangan 1 Unit Kabel Tray (Horizontal) 300 x 100 mm TRU Hot Dip Galvanized</t>
  </si>
  <si>
    <t>5.1.1.12.55</t>
  </si>
  <si>
    <t>Pemasangan 1 Unit Kabel Tray (Horizontal) 300 x 100 mm TRU OCP</t>
  </si>
  <si>
    <t>5.1.1.12.56</t>
  </si>
  <si>
    <t>Pemasangan 1 Unit Kabel Tray (Horizontal) 300 x 100 mm TRC Powder Coating</t>
  </si>
  <si>
    <t>5.1.1.12.57</t>
  </si>
  <si>
    <t>Pemasangan 1 Unit Kabel Tray (Horizontal) 300 x 100 mm TRC Hot Dip Galvanized</t>
  </si>
  <si>
    <t>5.1.1.12.58</t>
  </si>
  <si>
    <t>Pemasangan 1 Unit Kabel Tray (Horizontal) 300 x 100 mm TRC OCP</t>
  </si>
  <si>
    <t>5.1.1.12.59</t>
  </si>
  <si>
    <t>Pemasangan 1 Unit Kabel Tray (Horizontal) 200 x 100 mm TRU Hot Dip Galvanized</t>
  </si>
  <si>
    <t>5.1.1.12.60</t>
  </si>
  <si>
    <t>Pemasangan 1 Unit Kabel Tray (Horizontal) 200 x 100 mm TRU OCP</t>
  </si>
  <si>
    <t>5.1.1.12.61</t>
  </si>
  <si>
    <t>Pemasangan 1 Unit Kabel Tray (Horizontal) 200 x 100 mm TRC Powder Coating</t>
  </si>
  <si>
    <t>5.1.1.12.62</t>
  </si>
  <si>
    <t>Pemasangan 1 Unit Kabel Tray (Horizontal) 200 x 100 mm TRC Hot Dip Galvanized</t>
  </si>
  <si>
    <t>5.1.1.12.63</t>
  </si>
  <si>
    <t>Pemasangan 1 Unit Kabel Tray (Horizontal) 200 x 100 mm TRC OCP</t>
  </si>
  <si>
    <t>5.1.1.12.64</t>
  </si>
  <si>
    <t>Pemasangan 1 Unit Kabel Tray (Horizontal) 150 x 100 mm TRU Powder Coating</t>
  </si>
  <si>
    <t>5.1.1.12.65</t>
  </si>
  <si>
    <t>Pemasangan 1 Unit Kabel Tray (Horizontal) 150 x 100 mm TRU Hot Dip Galvanized</t>
  </si>
  <si>
    <t>5.1.1.12.66</t>
  </si>
  <si>
    <t>Pemasangan 1 Unit Kabel Tray (Horizontal) 150 x 100 mm TRU OCP</t>
  </si>
  <si>
    <t>5.1.1.12.67</t>
  </si>
  <si>
    <t>Pemasangan 1 Unit Kabel Tray (Horizontal) 150 x 100 mm TRC Powder Coatingmasangan 1 Unit Kabel Tray (Horizontal) 150 x 100 mm TRU OCP</t>
  </si>
  <si>
    <t>5.1.1.12.68</t>
  </si>
  <si>
    <t>Pemasangan 1 Unit Kabel Tray (Horizontal) 150 x 100 mm TRC Hot Dip Galvanized</t>
  </si>
  <si>
    <t>5.1.1.12.69</t>
  </si>
  <si>
    <t>Pemasangan 1 Unit Kabel Tray (Horizontal) 150 x 100 mm TRC OCP</t>
  </si>
  <si>
    <t>5.1.1.12.70</t>
  </si>
  <si>
    <t>Pemasangan 1 Unit Kabel Tray (Vertikal) 1000 x 100 mm TRU Powder Coating</t>
  </si>
  <si>
    <t>5.1.1.12.71</t>
  </si>
  <si>
    <t>Pemasangan 1 Unit Kabel Tray (Vertikal) 1000 x 100 mm TRU Hot Dip Galvanized</t>
  </si>
  <si>
    <t>5.1.1.12.72</t>
  </si>
  <si>
    <t>Pemasangan 1 Unit Kabel Tray (Vertikal) 1000 x 100 mm TRU OCP</t>
  </si>
  <si>
    <t>5.1.1.12.73</t>
  </si>
  <si>
    <t>Pemasangan 1 Unit Kabel Tray (Vertikal) 1000 x 100 mm TRC Powder Coating</t>
  </si>
  <si>
    <t>5.1.1.12.74</t>
  </si>
  <si>
    <t>Pemasangan 1 Unit Kabel Tray (Vertikal) 1000 x 100 mm TRC Hot Dip Galvanized\</t>
  </si>
  <si>
    <t>5.1.1.12.75</t>
  </si>
  <si>
    <t>Pemasangan 1 Unit Kabel Tray (Vertikal) 1000 x 100 mm TRC OCP</t>
  </si>
  <si>
    <t>5.1.1.12.76</t>
  </si>
  <si>
    <t>Pemasangan 1 Unit Kabel Tray (Vertikal) 900 x 100 mm TRU Powder Coating</t>
  </si>
  <si>
    <t>5.1.1.12.77</t>
  </si>
  <si>
    <t>Pemasangan 1 Unit Kabel Tray (Vertikal) 900 x 100 mm TRU Hot Dip Galvanized</t>
  </si>
  <si>
    <t>5.1.1.12.78</t>
  </si>
  <si>
    <t>Pemasangan 1 Unit Kabel Tray (Vertikal) 900 x 100 mm TRU OCP</t>
  </si>
  <si>
    <t>5.1.1.12.79</t>
  </si>
  <si>
    <t>Pemasangan 1 Unit Kabel Tray (Vertikal) 900 x 100 mm TRC Powder Coating</t>
  </si>
  <si>
    <t>5.1.1.12.80</t>
  </si>
  <si>
    <t>Pemasangan 1 Unit Kabel Tray (Vertikal) 900 x 100 mm TRC Hot Dip Galvanized</t>
  </si>
  <si>
    <t>5.1.1.12.81</t>
  </si>
  <si>
    <t>Pemasangan 1 Unit Kabel Tray (Vertikal) 900 x 100 mm TRC OCP</t>
  </si>
  <si>
    <t>5.1.1.12.82</t>
  </si>
  <si>
    <t>Pemasangan 1 Unit Kabel Tray (Vertikal) 800 x 100 mm TRU Powder Coating</t>
  </si>
  <si>
    <t>5.1.1.12.83</t>
  </si>
  <si>
    <t>Pemasangan 1 Unit Kabel Tray (Vertikal) 800 x 100 mm TRU Hot Dip Galvanized</t>
  </si>
  <si>
    <t>5.1.1.12.84</t>
  </si>
  <si>
    <t>Pemasangan 1 Unit Kabel Tray (Vertikal) 800 x 100 mm TRU OCP</t>
  </si>
  <si>
    <t>5.1.1.12.85</t>
  </si>
  <si>
    <t>Pemasangan 1 Unit Kabel Tray (Vertikal) 800 x 100 mm TRC Powder Coating</t>
  </si>
  <si>
    <t>5.1.1.12.86</t>
  </si>
  <si>
    <t>Pemasangan 1 Unit Kabel Tray (Vertikal) 800 x 100 mm TRC Hot Dip Galvanized</t>
  </si>
  <si>
    <t>5.1.1.12.87</t>
  </si>
  <si>
    <t>Pemasangan 1 Unit Kabel Tray (Vertikal) 800 x 100 mm TRC OCP</t>
  </si>
  <si>
    <t>5.1.1.12.88</t>
  </si>
  <si>
    <t>Pemasangan 1 Unit Kabel Tray (Vertikal) 700 x 100 mm TRU Powder Coating</t>
  </si>
  <si>
    <t>5.1.1.12.89</t>
  </si>
  <si>
    <t>Pemasangan 1 Unit Kabel Tray (Vertikal) 700 x 100 mm TRU Hot Dip Galvanized</t>
  </si>
  <si>
    <t>5.1.1.12.90</t>
  </si>
  <si>
    <t>Pemasangan 1 Unit Kabel Tray (Vertikal) 700 x 100 mm TRU OCP</t>
  </si>
  <si>
    <t>5.1.1.12.91</t>
  </si>
  <si>
    <t>Pemasangan 1 Unit Kabel Tray (Vertikal) 700 x 100 mm TRC Powder Coating</t>
  </si>
  <si>
    <t>5.1.1.12.92</t>
  </si>
  <si>
    <t>Pemasangan 1 Unit Kabel Tray (Vertikal) 700 x 100 mm TRC Hot Dip Galvanized</t>
  </si>
  <si>
    <t>5.1.1.12.93</t>
  </si>
  <si>
    <t>Pemasangan 1 Unit Kabel Tray (Vertikal) 700 x 100 mm TRC OCP</t>
  </si>
  <si>
    <t>5.1.1.12.94</t>
  </si>
  <si>
    <t>Pemasangan 1 Unit Kabel Tray (Vertikal) 600 x 100 mm TRU Hot Dip Galvanized</t>
  </si>
  <si>
    <t>5.1.1.12.95</t>
  </si>
  <si>
    <t>Pemasangan 1 Unit Kabel Tray (Vertikal) 600 x 100 mm TRU OCP</t>
  </si>
  <si>
    <t>5.1.1.12.96</t>
  </si>
  <si>
    <t>Pemasangan 1 Unit Kabel Tray (Vertikal) 600 x 100 mm TRC
Powder Coating</t>
  </si>
  <si>
    <t>5.1.1.12.97</t>
  </si>
  <si>
    <t>Pemasangan 1 Unit Kabel Tray (Vertikal) 600 x 100 mm TRC
Hot Dip Galvanized</t>
  </si>
  <si>
    <t>5.1.1.12.98</t>
  </si>
  <si>
    <t>Pemasangan 1 Unit Kabel Tray (Vertikal) 600 x 100 mm TRC
OCP</t>
  </si>
  <si>
    <t>5.1.1.12.99</t>
  </si>
  <si>
    <t>Pemasangan 1 Unit Kabel Tray (Vertikal) 500 x 100 mm TRU
Hot Dip Galvanized</t>
  </si>
  <si>
    <t>5.1.1.12.100</t>
  </si>
  <si>
    <t>Pemasangan 1 Unit Kabel Tray (Vertikal) 500 x 100 mm TRU
OCP</t>
  </si>
  <si>
    <t>5.1.1.12.101</t>
  </si>
  <si>
    <t>Pemasangan 1 Unit Kabel Tray (Vertikal) 500 x 100 mm TRC
Powder Coating</t>
  </si>
  <si>
    <t>5.1.1.12.102</t>
  </si>
  <si>
    <t>Pemasangan 1 Unit Kabel Tray (Vertikal) 500 x 100 mm TRC
Hot Dip Galvanized</t>
  </si>
  <si>
    <t>5.1.1.12.103</t>
  </si>
  <si>
    <t>Pemasangan 1 Unit Kabel Tray (Vertikal) 500 x 100 mm TRC
OCP</t>
  </si>
  <si>
    <t>5.1.1.12.104</t>
  </si>
  <si>
    <t>Pemasangan 1 Unit Kabel Tray (Vertikal) 400 x 100 mm TRU
Hot Dip Galvanized</t>
  </si>
  <si>
    <t>5.1.1.12.105</t>
  </si>
  <si>
    <t>Pemasangan 1 Unit Kabel Tray (Vertikal) 400 x 100 mm TRU
OCP</t>
  </si>
  <si>
    <t>5.1.1.12.106</t>
  </si>
  <si>
    <t>Pemasangan 1 Unit Kabel Tray (Vertikal) 400 x 100 mm TRC
Powder Coating</t>
  </si>
  <si>
    <t>5.1.1.12.107</t>
  </si>
  <si>
    <t>Pemasangan 1 Unit Kabel Tray (Vertikal) 400 x 100 mm TRC
Hot Dip Galvanized</t>
  </si>
  <si>
    <t>5.1.1.12.108</t>
  </si>
  <si>
    <t>Pemasangan 1 Unit Kabel Tray (Vertikal) 400 x 100 mm TRC
OCP</t>
  </si>
  <si>
    <t>5.1.1.12.109</t>
  </si>
  <si>
    <t>Pemasangan 1 Unit Kabel Tray (Vertikal) 300 x 100 mm TRU
Hot Dip Galvanized</t>
  </si>
  <si>
    <t>5.1.1.12.110</t>
  </si>
  <si>
    <t>Pemasangan 1 Unit Kabel Tray (Vertikal) 300 x 100 mm TRU
OCP</t>
  </si>
  <si>
    <t>5.1.1.12.111</t>
  </si>
  <si>
    <t>Pemasangan 1 Unit Kabel Tray (Vertikal) 300 x 100 mm TRC
Powder Coating</t>
  </si>
  <si>
    <t>5.1.1.12.112</t>
  </si>
  <si>
    <t>Pemasangan 1 Unit Kabel Tray (Vertikal) 300 x 100 mm TRC
Hot Dip Galvanized</t>
  </si>
  <si>
    <t>5.1.1.12.113</t>
  </si>
  <si>
    <t>Pemasangan 1 Unit Kabel Tray (Vertikal) 300 x 100 mm TRC
OCP</t>
  </si>
  <si>
    <t>5.1.1.12.114</t>
  </si>
  <si>
    <t>Pemasangan 1 Unit Kabel Tray (Vertikal) 200 x 100 mm TRU
Hot Dip Galvanized</t>
  </si>
  <si>
    <t>5.1.1.12.115</t>
  </si>
  <si>
    <t>Pemasangan 1 Unit Kabel Tray (Vertikal) 200 x 100 mm TRU
OCP</t>
  </si>
  <si>
    <t>5.1.1.12.116</t>
  </si>
  <si>
    <t>Pemasangan 1 Unit Kabel Tray (Vertikal) 200 x 100 mm TRC
Powder Coating</t>
  </si>
  <si>
    <t>5.1.1.12.117</t>
  </si>
  <si>
    <t>Pemasangan 1 Unit Kabel Tray (Vertikal) 200 x 100 mm TRC
Hot Dip Galvanized</t>
  </si>
  <si>
    <t>5.1.1.12.118</t>
  </si>
  <si>
    <t>Pemasangan 1 Unit Kabel Tray (Vertikal) 200 x 100 mm TRC
OCP</t>
  </si>
  <si>
    <t>5.1.1.12.119</t>
  </si>
  <si>
    <t>Pemasangan 1 Unit Kabel Tray (Vertikal) 150 x 100 mm TRU
Powder Coating</t>
  </si>
  <si>
    <t>5.1.1.12.120</t>
  </si>
  <si>
    <t>Pemasangan 1 Unit Kabel Tray (Vertikal) 150 x 100 mm TRU
Hot Dip Galvanized</t>
  </si>
  <si>
    <t>5.1.1.12.121</t>
  </si>
  <si>
    <t>Pemasangan 1 Unit Kabel Tray (Vertikal) 150 x 100 mm TRU
OCP</t>
  </si>
  <si>
    <t>5.1.1.12.122</t>
  </si>
  <si>
    <t>Pemasangan 1 Unit Kabel Tray (Vertikal) 150 x 100 mm TRC
Powder Coating</t>
  </si>
  <si>
    <t>5.1.1.12.123</t>
  </si>
  <si>
    <t>Pemasangan 1 Unit Kabel Tray (Vertikal) 150 x 100 mm TRC
Hot Dip Galvanized</t>
  </si>
  <si>
    <t>5.1.1.12.124</t>
  </si>
  <si>
    <t>Pemasangan 1 Unit Kabel Tray (Vertikal) 150 x 100 mm TRC
OCP</t>
  </si>
  <si>
    <t>5.1.2</t>
  </si>
  <si>
    <t>Pemasangan Panel Listrik</t>
  </si>
  <si>
    <t>5.1.2.1</t>
  </si>
  <si>
    <t>Pemasangan 1 Unit Panel Utama Tegangan Menengah (PUTM)</t>
  </si>
  <si>
    <t>5.1.2.2</t>
  </si>
  <si>
    <t>Pemasangan 1 Unit Panel Utama Tegangan Redah (PUTR) per Kubikal</t>
  </si>
  <si>
    <t>5.1.2.3</t>
  </si>
  <si>
    <t>Pemasangan 1 Unit Main Distribution Panel (MDP) Floor Standing</t>
  </si>
  <si>
    <t>5.1.2.4</t>
  </si>
  <si>
    <t>Pemasangan 1 Unit Main Distribution Panel (MDP) Wall Mounted</t>
  </si>
  <si>
    <t>5.1.2.5</t>
  </si>
  <si>
    <t>Pemasangan 1 Unit Sub Distribution Panel (SDP) Floor Standig</t>
  </si>
  <si>
    <t>5.1.2.6</t>
  </si>
  <si>
    <t>Pemasangan 1 Unit Sub Distribution Panel (SDP) Wall Maunted</t>
  </si>
  <si>
    <t>5.1.2.7</t>
  </si>
  <si>
    <t>Pemasangan 1 Unit Panel Lantai Wall Mounted (800x 600 x200 mm)</t>
  </si>
  <si>
    <t>5.1.2.8</t>
  </si>
  <si>
    <t>Pemasangan 1 Unit Panel Lantai Wall Mounted (600x 400 x200 mm)</t>
  </si>
  <si>
    <t>5.1.2.9</t>
  </si>
  <si>
    <t>Pemasangan 1 Unit Panel kWh Meter</t>
  </si>
  <si>
    <t>5.1.2.10</t>
  </si>
  <si>
    <t>Pemasangan 1 Unit Panel Penerang Luar Outdoor</t>
  </si>
  <si>
    <t>5.1.2.11</t>
  </si>
  <si>
    <t>Pemasangan 1 Unit Panel Kontrol (Pompa Transfer, Pompa Kolam Renang,Water Treatment Plat (WTP), Instalasi Pengelolaan Air Limbah ( IPAL), dan Power Lift)</t>
  </si>
  <si>
    <t>5.1.2.16</t>
  </si>
  <si>
    <t>Pemasangan 1 Unit Panel Power Gondola</t>
  </si>
  <si>
    <t>5.1.2.17</t>
  </si>
  <si>
    <t>Pemasangan 1 Unit Panel Power Elektronik</t>
  </si>
  <si>
    <t>5.1.2.18</t>
  </si>
  <si>
    <t>Pemasangan 1 Unit Panel Power AHU</t>
  </si>
  <si>
    <t>5.1.2.19</t>
  </si>
  <si>
    <t>Pemasangan 1 Unit Panel Power AC (VRF/DX System)</t>
  </si>
  <si>
    <t>5.1.2.20</t>
  </si>
  <si>
    <t>Pemasangan 1 Unit Panel Power Chiller</t>
  </si>
  <si>
    <t>5.1.2.21</t>
  </si>
  <si>
    <t>Pemasangan 1 Unit Panel Kontrol Power Chiller</t>
  </si>
  <si>
    <t>5.1.2.22</t>
  </si>
  <si>
    <t>Pemasangan 1 Unit Panel Kontrol Pompa Cooling Tower</t>
  </si>
  <si>
    <t>5.1.2.23</t>
  </si>
  <si>
    <t>Pemasangan 1 Unit Panel Kontrol Fan Presurisasi</t>
  </si>
  <si>
    <t>5.1.2.24</t>
  </si>
  <si>
    <t>Pemasangan 1 Unit MCB Box</t>
  </si>
  <si>
    <t>5.1.3</t>
  </si>
  <si>
    <t>Pemasangan Genset</t>
  </si>
  <si>
    <t>5.1.3.1</t>
  </si>
  <si>
    <t>Pemasanga 1 Unit Genset Kap : 75 Kva Silent Type</t>
  </si>
  <si>
    <t>5.1.3.2</t>
  </si>
  <si>
    <t>Pemasanga 1 Unit Genset Kap : 100 Kva Silent Type</t>
  </si>
  <si>
    <t>5.1.3.3</t>
  </si>
  <si>
    <t>Pemasanga 1 Unit Genset Kap : 400 Kva Silent Type</t>
  </si>
  <si>
    <t>5.1.3.4</t>
  </si>
  <si>
    <t>Pemasanga 1 Unit UPS KVA/3P Type  Online Back Up Battery 15 menit</t>
  </si>
  <si>
    <t>5.1.3.5</t>
  </si>
  <si>
    <t>Pemasanga 1 Unit Tangki Solar Harian 500 Liter</t>
  </si>
  <si>
    <t>5.1.3.6</t>
  </si>
  <si>
    <t>Pemasanga 1 Unit Tangki Solar</t>
  </si>
  <si>
    <t>5.1.4</t>
  </si>
  <si>
    <t>Pemasangan Trafo</t>
  </si>
  <si>
    <t>5.1.4.1</t>
  </si>
  <si>
    <t>Pemasanga 1 Unit Trafo Kap : 630 Kva : Synthetic Oil Ester (Termasuk Terminasi Instalasi Trafo)</t>
  </si>
  <si>
    <t>5.1.5</t>
  </si>
  <si>
    <t>Pemasangan Saklar dan Stop Kontak</t>
  </si>
  <si>
    <t>5.1.5.1</t>
  </si>
  <si>
    <t>Pemasanga 1 Unit Saklar Tunggal</t>
  </si>
  <si>
    <t>5.1.5.2</t>
  </si>
  <si>
    <t>Pemasanga 1 Unit Saklar Ganda</t>
  </si>
  <si>
    <t>5.1.5.3</t>
  </si>
  <si>
    <t>Pemasanga 1 Unit Saklar Triple</t>
  </si>
  <si>
    <t>5.1.5.4</t>
  </si>
  <si>
    <t>Pemasanga 1 Unit Grid Switch 2 x 2</t>
  </si>
  <si>
    <t>5.1.5.5</t>
  </si>
  <si>
    <t>Pemasanga 1 Unit Grid Switch 2 x 12  dan 14</t>
  </si>
  <si>
    <t>5.1.5.7</t>
  </si>
  <si>
    <t>Pemasanga 1 Unit Grid Switch 2 x 24</t>
  </si>
  <si>
    <t>5.1.5.8</t>
  </si>
  <si>
    <t>Pemasanga 1 Unit Grid Switch 4 x 2 Gang</t>
  </si>
  <si>
    <t>5.1.5.9</t>
  </si>
  <si>
    <t>Pemasanga 1 Unit Stop Kontak (1 P, 10 A, 200 W+ cover,hand Dryer 1 Ph. 1000 w)</t>
  </si>
  <si>
    <t>5.1.5.12</t>
  </si>
  <si>
    <t>Pemasanga 1 Unit Stop Kontak AC</t>
  </si>
  <si>
    <t>5.1.5.13</t>
  </si>
  <si>
    <t>Pemasanga 1 titik Instalasi Stop Kontak</t>
  </si>
  <si>
    <t>5.1.5.14</t>
  </si>
  <si>
    <t>Pemasanga 1 titik Instalasi Stop Kontak (Kabel LSOH)</t>
  </si>
  <si>
    <t>5.1.6</t>
  </si>
  <si>
    <t>Pemasangan kWh meter token</t>
  </si>
  <si>
    <t>5.1.6.1</t>
  </si>
  <si>
    <t>Pemasangan 1 unit kWh Meter Token 1 Phase</t>
  </si>
  <si>
    <t>5.1.6.2</t>
  </si>
  <si>
    <t>Pemasangan 1 unit kWh Meter Token 3 Phase</t>
  </si>
  <si>
    <t>5.1.6.3</t>
  </si>
  <si>
    <t>Pemasangan 1 unit Softwer Sistem Offile / online untuk kWh Meter Swakelola Prabayar</t>
  </si>
  <si>
    <t>5.1.6.4</t>
  </si>
  <si>
    <t>Pemasangan 1 Unit PC Server termasuk OS Windows Server, monitor, keyboard dan Mouse</t>
  </si>
  <si>
    <t>5.1.7</t>
  </si>
  <si>
    <t>Pemasangan Panel Solar</t>
  </si>
  <si>
    <t>5.1.8</t>
  </si>
  <si>
    <t>Pemasangan sistem Pembumian</t>
  </si>
  <si>
    <t>5.1.8.1</t>
  </si>
  <si>
    <t>Pemasangan 1 set pembumian sistem elektrikal dengan batang tembaga dia.5/8"</t>
  </si>
  <si>
    <t>set</t>
  </si>
  <si>
    <t>5.1.8.2</t>
  </si>
  <si>
    <t>Pemasangan 1 set pembumian sistem elektrikal dengan batang tembaga dia.3/4"</t>
  </si>
  <si>
    <t>sey</t>
  </si>
  <si>
    <t>5.2</t>
  </si>
  <si>
    <t>PEKERJAAN SISTEM PROTEKSI PETIR</t>
  </si>
  <si>
    <t>5.2.1</t>
  </si>
  <si>
    <t>Pemasangan 1 unit Air Terminal @1.000 mm</t>
  </si>
  <si>
    <t>5.2.2</t>
  </si>
  <si>
    <t>Pemasangan 1 unit Base Air Terminal</t>
  </si>
  <si>
    <t>5.2.3</t>
  </si>
  <si>
    <t>Pemasangan 1 Unit DC Clip Non Metalic Clamp</t>
  </si>
  <si>
    <t>5.2.4</t>
  </si>
  <si>
    <t>Pemasangan 1 UnitSquare Tape Clamp</t>
  </si>
  <si>
    <t>5.2.5</t>
  </si>
  <si>
    <t>Pemasangan 1 Unit Bimetallic Connector</t>
  </si>
  <si>
    <t>5.2.6</t>
  </si>
  <si>
    <t>Pemasangan 1 Unit Grounding Test Box</t>
  </si>
  <si>
    <t>5.2.7</t>
  </si>
  <si>
    <t>Pemasangan 1 Unit 5/8" Rod Coupling</t>
  </si>
  <si>
    <t>5.2.8</t>
  </si>
  <si>
    <t>Pemasangan 1 Unit 5/8"Driving Stud</t>
  </si>
  <si>
    <t>5.2.9</t>
  </si>
  <si>
    <t>Pemasangan 1 Unit Rod to Cable Clamp (Type GUV)</t>
  </si>
  <si>
    <t>5.2.10</t>
  </si>
  <si>
    <t>Pemasangan 1 Unit Polymer Inspection Pit</t>
  </si>
  <si>
    <t>5.2.11</t>
  </si>
  <si>
    <t>Pemasangan 1 Unit Coupling Bonding Grounded Rod 70 mm2</t>
  </si>
  <si>
    <t>5.2.12</t>
  </si>
  <si>
    <t>Pemasangan 1 Unit Clamp BC L ukuran BC 70 mm2</t>
  </si>
  <si>
    <t>5.2.13</t>
  </si>
  <si>
    <t>Pemasangan 1 Unit Clamp PVC 1"</t>
  </si>
  <si>
    <t>5.2.14</t>
  </si>
  <si>
    <t>Pemasangan 1 unit Copper Air Terminal Base 15 mm (dudukan)</t>
  </si>
  <si>
    <t>5.2.15</t>
  </si>
  <si>
    <t>Pemasangan 1 unit 15x500 mm Aluminium Air Rod</t>
  </si>
  <si>
    <t>5.2.16</t>
  </si>
  <si>
    <t>Pemasangan 1 unit 15x500 mm Coper Air Rod</t>
  </si>
  <si>
    <t>5.2.17</t>
  </si>
  <si>
    <t>Pemasangan 1 m' 25x3 mm Bare Aluminium Tape</t>
  </si>
  <si>
    <t>5.2.18</t>
  </si>
  <si>
    <t>Pemasangan 1 buah 5/8" x 1800 mm Extensible Copperbond Rod</t>
  </si>
  <si>
    <t>5.2.19</t>
  </si>
  <si>
    <t>Pemasangan 1 buah 5/8" Copperbond Rod</t>
  </si>
  <si>
    <t>5.2.20</t>
  </si>
  <si>
    <t>Pemasangan 1 buah Grounding Rod Gip 1" Panjang 1 m</t>
  </si>
  <si>
    <t>5.2.21</t>
  </si>
  <si>
    <t>Pemasangan 1 buah Grounding Rod Gip 1" Panjang 2m</t>
  </si>
  <si>
    <t>5.2.22</t>
  </si>
  <si>
    <t>Pemasangan 1 buah 1" Rod Coupling</t>
  </si>
  <si>
    <t>5.2.23</t>
  </si>
  <si>
    <t>Pemasangan 1 buah Exothermic Welding</t>
  </si>
  <si>
    <t>5.2.24</t>
  </si>
  <si>
    <t>Pemasangan 1 unit Surge Arrester 1 Phase ( 15 KA)</t>
  </si>
  <si>
    <t>5.2.25</t>
  </si>
  <si>
    <t>Pemasangan 1 unit Surge Arrester 3 Phase ( 15 KA)</t>
  </si>
  <si>
    <t>5.3</t>
  </si>
  <si>
    <t>PEKERJAAN SISTEM PENCAHAYAAN</t>
  </si>
  <si>
    <t>5.3.1</t>
  </si>
  <si>
    <t>Pemasangan Lampu dan Armatur</t>
  </si>
  <si>
    <t>5.3.1.1</t>
  </si>
  <si>
    <t>Pemasangan 1 titik Instalasi Lampu</t>
  </si>
  <si>
    <t>5.3.1.2</t>
  </si>
  <si>
    <t>Pemasangan 1 titik Instalasi Lampu (Kabel LSOH)</t>
  </si>
  <si>
    <t>titk</t>
  </si>
  <si>
    <t>5.3.1.3</t>
  </si>
  <si>
    <t>Pemasangan 1 Unit Downlight 5 inch 14,5 Watt LED</t>
  </si>
  <si>
    <t>5.3.1.4</t>
  </si>
  <si>
    <t>Pemasangan 1 Unit Fitting E27 + 10 Watt LED</t>
  </si>
  <si>
    <t>5.3.1.5</t>
  </si>
  <si>
    <t>Pemasangan 1 Unit Fitting E27 + 10 Watt LED c/w Nicad Battery</t>
  </si>
  <si>
    <t>5.3.1.6</t>
  </si>
  <si>
    <t>Pemasangan 1 Unit Fitting E27 + 19 Watt LED</t>
  </si>
  <si>
    <t>5.3.1.7</t>
  </si>
  <si>
    <t>Pemasangan 1 Unit Fitting E27 + 19 Watt LED  c/w Nicad Battery</t>
  </si>
  <si>
    <t>5.3.1.8</t>
  </si>
  <si>
    <t>Pemasangan 1 Unit RM TKI 2 x 16 Watt LED</t>
  </si>
  <si>
    <t>5.3.1.9</t>
  </si>
  <si>
    <t>Pemasangan 1 Unit Lampu Sorot LED 100 watt</t>
  </si>
  <si>
    <t>5.3.1.10</t>
  </si>
  <si>
    <t>Pemasangan 1 Unit Lampu Sorot RGB 30 Watt 100 untuk Outdoor</t>
  </si>
  <si>
    <t>5.3.1.11</t>
  </si>
  <si>
    <t>Pemasangan 1 Unit Lampu High Bay 100 Watt</t>
  </si>
  <si>
    <t>5.3.1.12</t>
  </si>
  <si>
    <t>Pemasangan 1 Unit Lampu Eksit LED 3 Watt c/w Battery</t>
  </si>
  <si>
    <t>5.3.1.13</t>
  </si>
  <si>
    <t>Pemasangan 1 Unit Lampu TLED 1 X 14 Watt 2.100 Lumen (Dust Proof)</t>
  </si>
  <si>
    <t>5.3.1.14</t>
  </si>
  <si>
    <t>Pemasangan 1 Unit Lampu TLED 1 X 24 Watt 2.100 Lumen (Balk)</t>
  </si>
  <si>
    <t>5.3.1.15</t>
  </si>
  <si>
    <t>Pemasangan 1 Unit Lampu TLED 1 X 24 Watt 2.100 Lumen (Balk) c/w Niced Battery</t>
  </si>
  <si>
    <t>5.3.1.16</t>
  </si>
  <si>
    <t>Pemasangan 1 Unit Lampu TLED 2 X 24 Watt 2.100 Lumen (Balk)</t>
  </si>
  <si>
    <t>5.3.1.17</t>
  </si>
  <si>
    <t>Pemasangan 1 Unit Lampu TLED 2 X 24 Watt 2.100 Lumen (Balk) c/w Nicad Battery</t>
  </si>
  <si>
    <t>5.3.1.18</t>
  </si>
  <si>
    <t>Pemasangan 1 unit Lampu PJU Kawasan LED 50 Watt + Tiang 6-7 M (single Pool)</t>
  </si>
  <si>
    <t>5.3.1.19</t>
  </si>
  <si>
    <t>Pemasangan 1 Unit Lampu Kawasan LED 50 Watt + Solar Cell + Tiang 6-7 M ( Single Pool)</t>
  </si>
  <si>
    <t>5.3.1.20</t>
  </si>
  <si>
    <t>Pemasangan 1 Unit Lampu Taman 25 Watt + Tiang 1 M</t>
  </si>
  <si>
    <t>5.3.1.21</t>
  </si>
  <si>
    <t>Pemasangan 1 Unit Fitting + 7 Watt LED</t>
  </si>
  <si>
    <t>5.3.1.22</t>
  </si>
  <si>
    <t>Pemasangan 1 Unit Fitting + 7 Watt LED c/w Nicad Battery</t>
  </si>
  <si>
    <t>5.3.1.23</t>
  </si>
  <si>
    <t>Pemasangan 1 Unit Fitting +  9 Watt LED</t>
  </si>
  <si>
    <t>5.3.1.24</t>
  </si>
  <si>
    <t>Pemasangan 1 Unit Fitting +  9 Watt LED c/w Nicad Battery</t>
  </si>
  <si>
    <t>5.3.1.25</t>
  </si>
  <si>
    <t>Pemasangan 1 Unit Fitting +  20 Watt Baret c/w Nicad Battery</t>
  </si>
  <si>
    <t>5.3.1.26</t>
  </si>
  <si>
    <t>Pemasangan 1 Unit Fitting +  32 Watt Baret c/w Nicad Battery</t>
  </si>
  <si>
    <t>5.3.1.27</t>
  </si>
  <si>
    <t>Pemasangan 1 Unit Fitting +  40 Watt Lampu Pijar</t>
  </si>
  <si>
    <t>5.3.1.28</t>
  </si>
  <si>
    <t>Pemasangan 1 Unit Lampu TL 18 Watt ( Balk)</t>
  </si>
  <si>
    <t>5.3.1.29</t>
  </si>
  <si>
    <t>Pemasangan 1 Unit Lampu TLED 18 Watt ( Balk)</t>
  </si>
  <si>
    <t>5.3.1. 30</t>
  </si>
  <si>
    <t>Pemasangan 1 Unit Lampu TL  36 Watt ( Balk)</t>
  </si>
  <si>
    <t>5.3.1. 31</t>
  </si>
  <si>
    <t>Pemasangan 1 Unit Lampu TL ED 36 Watt ( Balk)</t>
  </si>
  <si>
    <t>5.3.1. 32</t>
  </si>
  <si>
    <t>Pemasangan 1 titik Instalasi Lampu Luar/Taman ( dengan Kabel NYFGBY)</t>
  </si>
  <si>
    <t>5.3.1. 33</t>
  </si>
  <si>
    <t>Pemasangan 1 titik Instalasi Lampu Luar/Taman ( dengan Kabel NYY)</t>
  </si>
  <si>
    <t>5.3.1. 34</t>
  </si>
  <si>
    <t>Pemasangan 1 titik Instalasi Lampu Luar/Taman ( dengan Kabel NYM)</t>
  </si>
  <si>
    <t>5.3.1. 35</t>
  </si>
  <si>
    <t>Pemasangan 1 titik Instalasi Lampu PJU ( dengan Kabel NYFGBY)</t>
  </si>
  <si>
    <t>5.3.1. 36</t>
  </si>
  <si>
    <t>Pemasangan 1 titik Instalasi Lampu PJU ( dengan Kabel NYY)</t>
  </si>
  <si>
    <t>5.3.1. 37</t>
  </si>
  <si>
    <t>Pemasangan 1 titik Instalasi Lampu PJU Tiang 7 m  ( dengan Kabel NYM)</t>
  </si>
  <si>
    <t>5.3.1. 38</t>
  </si>
  <si>
    <t>Pemasangan 1 titik Instalasi Lampu PJU Tiang 9 m  ( dengan Kabel NYM)</t>
  </si>
  <si>
    <t>5.3.1. 39</t>
  </si>
  <si>
    <t>Pemasangan 1 Unit Sport Floodlight LED, Min 180000 Lumen, Max. 1340 W, 5700K, min. CRI 80, min. IP 66 c/w DMX Led Driver &amp; Customized Bracklet ( Field of Play)</t>
  </si>
  <si>
    <t>5.3.1. 40</t>
  </si>
  <si>
    <t>Pemasangan 1 buah Junction Box IP Rated</t>
  </si>
  <si>
    <t>5.3.1. 41</t>
  </si>
  <si>
    <t>Setting &amp; Aiming 1 titik Lampu Field Of Play (FOP) Eksisting</t>
  </si>
  <si>
    <t>5.3.1. 42</t>
  </si>
  <si>
    <t>Pemasangan 1 m' Kabel Fiber Optic Dual Core Single Mode + Pipa HDPE Conduit 20 mm</t>
  </si>
  <si>
    <t>5.3.1. 43</t>
  </si>
  <si>
    <t>Pemasangan 1 buah DMX LED Controller , 1 Universe</t>
  </si>
  <si>
    <t>5.3.2</t>
  </si>
  <si>
    <t>Pemasangan Sensor</t>
  </si>
  <si>
    <t>5.3.2.1</t>
  </si>
  <si>
    <t>Pemasangan 1 Unit Sensor Cahaya</t>
  </si>
  <si>
    <t>5.3.2.2</t>
  </si>
  <si>
    <t>Pemasangan 1 Unit Sensor Gerak</t>
  </si>
  <si>
    <t>5.4</t>
  </si>
  <si>
    <t>PEKERJAAN SISTEM ELEKTRONIK</t>
  </si>
  <si>
    <t>5.4.1</t>
  </si>
  <si>
    <t>Sistem Alarm Kebakaran</t>
  </si>
  <si>
    <t>5.4.1.1</t>
  </si>
  <si>
    <t>Pemasangan 1 Unit MCP-FA (Semi Addressable 1 Loop)</t>
  </si>
  <si>
    <t>5.4.1.2</t>
  </si>
  <si>
    <t>Pemasangan 1  Unit PC Komputer</t>
  </si>
  <si>
    <t>5.4.1.3</t>
  </si>
  <si>
    <t>Pemasangan 1 Unit Alarm Printer</t>
  </si>
  <si>
    <t>5.4.1.4</t>
  </si>
  <si>
    <t>Pemasangan 1 Unit Report Printer</t>
  </si>
  <si>
    <t>5.4.1.5</t>
  </si>
  <si>
    <t>Pemasangan 1 Unit Announciator</t>
  </si>
  <si>
    <t>5.4.1.6</t>
  </si>
  <si>
    <t>Pemasangan 1 Unit Terminal Box Fire Alarm (Lengkap dengan Modul)</t>
  </si>
  <si>
    <t>5.4.1.7</t>
  </si>
  <si>
    <t>Pemasangan 1 Unit Some Detector Addressable</t>
  </si>
  <si>
    <t>5.4.1.8</t>
  </si>
  <si>
    <t>Pemasangan 1 Unit Rate of Rise Detector Addressable</t>
  </si>
  <si>
    <t>5.4.1.9</t>
  </si>
  <si>
    <t>Pemasangan 1 Unit Fix Heat Detector Addressable</t>
  </si>
  <si>
    <t>5.4.1.10</t>
  </si>
  <si>
    <t>Pemasangan 1 Unit Smoke Detector Konvensional</t>
  </si>
  <si>
    <t>5.4.1.11</t>
  </si>
  <si>
    <t>Pemasangan 1 Unit Rate of Rise Detector Konvensional</t>
  </si>
  <si>
    <t>5.4.1.12</t>
  </si>
  <si>
    <t>Pemasangan 1 Unit Fix Heat Detector Konvensional</t>
  </si>
  <si>
    <t>5.4.1.13</t>
  </si>
  <si>
    <t>Pemasangan 1 Unit  Lamp Indicator</t>
  </si>
  <si>
    <t>5.4.1.14</t>
  </si>
  <si>
    <t>Pemasangan 1 Unit Manual Break Glass</t>
  </si>
  <si>
    <t>5.4.1.15</t>
  </si>
  <si>
    <t>Pemasangan 1 Unit  Horn Strobe</t>
  </si>
  <si>
    <t>5.4.1.16</t>
  </si>
  <si>
    <t>Pemasangan 1 Unit  Fire Fighting Telepon</t>
  </si>
  <si>
    <t>5.4.1.17</t>
  </si>
  <si>
    <t>Pemasangan 1 Unit  Alrm Bell</t>
  </si>
  <si>
    <t>5.4.1.18</t>
  </si>
  <si>
    <t>Pemasangan 1 titik Instalasi Detector Adressable Per Titik</t>
  </si>
  <si>
    <t>5.4.1.19</t>
  </si>
  <si>
    <t>Pemasangan 1 titik Instalasi Detector Konvensional Per Tititk</t>
  </si>
  <si>
    <t>5.4.1.20</t>
  </si>
  <si>
    <t>Pemasangan 1 titik Instalasi Lamp Indicator</t>
  </si>
  <si>
    <t>5.4.1.21</t>
  </si>
  <si>
    <t>Pemasangan 1 titik Instalasi Manual Push Button</t>
  </si>
  <si>
    <t>5.4.1.22</t>
  </si>
  <si>
    <t>Pemasangan 1 titik Instalasi Alarm Bell</t>
  </si>
  <si>
    <t>5.4.1.23</t>
  </si>
  <si>
    <t>Pemasangan 1 titik Instalasi  Indicator Bell</t>
  </si>
  <si>
    <t>5.4.1.24</t>
  </si>
  <si>
    <t>Pemasangan 1 titik Instalasi Intercom Jack</t>
  </si>
  <si>
    <t>5.4.1.25</t>
  </si>
  <si>
    <t>Pemasangan 1 titik Instalasi Flow &amp; Temper Switch</t>
  </si>
  <si>
    <t>5.4.1.26</t>
  </si>
  <si>
    <t>Pemasangan 1 buah Sirine Module</t>
  </si>
  <si>
    <t>5.4.1.27</t>
  </si>
  <si>
    <t>Pemasangan 1 buah Control Module</t>
  </si>
  <si>
    <t>5.4.1.28</t>
  </si>
  <si>
    <t>Pemasangan 1 buah Relay Module</t>
  </si>
  <si>
    <t>5.4.1.29</t>
  </si>
  <si>
    <t>Pemasangan 1 buah Isolator Module</t>
  </si>
  <si>
    <t>5.4.1.30</t>
  </si>
  <si>
    <t>Pemasangan 1 buah Monitor  Module</t>
  </si>
  <si>
    <t>5.4.1.31</t>
  </si>
  <si>
    <t>Pemasangan 1 buah Terminal Box Fire Alarm ( Tanpa Modul)</t>
  </si>
  <si>
    <t>5.4.1.32</t>
  </si>
  <si>
    <t>Pemasangan 1 buah Kabel Power Fire Alarm NYA 20x1,5 mm2</t>
  </si>
  <si>
    <t>5.4.1.33</t>
  </si>
  <si>
    <t>Pemasangan 1 buah Kabel Power Fire Alarm NYA 3x2x2,5 mm2</t>
  </si>
  <si>
    <t>5.4.1.34</t>
  </si>
  <si>
    <t>Pemasangan 1 buah Kabel Power Fire Alarm NYA 5x2x2,5 mm2</t>
  </si>
  <si>
    <t>5.4.1.35</t>
  </si>
  <si>
    <t>Pemasangan 1 Unit Rectifier</t>
  </si>
  <si>
    <t>5.4.1.36</t>
  </si>
  <si>
    <t>Pemasangan 1 Unit Power Surge Arrester</t>
  </si>
  <si>
    <t>5.4.1.37</t>
  </si>
  <si>
    <t>Pemasangan 1 Unit UPS 2 KVA ( Inverter, Rectifier, Battery Backup 15 menit)</t>
  </si>
  <si>
    <t>5.4.1.38</t>
  </si>
  <si>
    <t>Pemasangan 1 Unit UPS 2 KVA ( Inverter, Rectifier, Battery Backup 30 menit)</t>
  </si>
  <si>
    <t>5.4.1.39</t>
  </si>
  <si>
    <t>Pemasangan 1 Unit UPS 2 KVA ( Inverter, Rectifier, Battery Backup 1 Jam)</t>
  </si>
  <si>
    <t>5.4.1.40</t>
  </si>
  <si>
    <t>Pemasangan 1 Unit UPS 2 KVA ( Inverter, Rectifier, Battery Backup 2Jam)</t>
  </si>
  <si>
    <t>5.4.1.41</t>
  </si>
  <si>
    <t>Pemasangan 1 Unit UPS 2 KVA ( Inverter, Rectifier, Battery Backup 4 Jam)</t>
  </si>
  <si>
    <t>5.4.1.42</t>
  </si>
  <si>
    <t>Pemasangan 1 Buah End of Line Resistor</t>
  </si>
  <si>
    <t>5.4.2</t>
  </si>
  <si>
    <t>Sistem CCTV</t>
  </si>
  <si>
    <t>5.4.2.1</t>
  </si>
  <si>
    <t>Pemasangan 1 Unit Patch Panel UTP Cat 6 4 Port</t>
  </si>
  <si>
    <t>5.4.2.2</t>
  </si>
  <si>
    <t>Pemasangan 1 Unit  Wirig Mangement</t>
  </si>
  <si>
    <t>5.4.2.3</t>
  </si>
  <si>
    <t>Pemasangan 1 Unit  PoE Switch HUB</t>
  </si>
  <si>
    <t>5.4.2.4</t>
  </si>
  <si>
    <t>Pemasangan 1 Unit  Network Video Recorder (NVR) Kapasitas 32 Chanel + 8TB Hardisk</t>
  </si>
  <si>
    <t>5.4.2.5</t>
  </si>
  <si>
    <t>Pemasangan 1 Unit  RAK HUB 12 U ( Lengkap dengan Power Outlet)</t>
  </si>
  <si>
    <t>5.4.2.6</t>
  </si>
  <si>
    <t>Pemasangan 1 Unit  LCD Monitor 32"</t>
  </si>
  <si>
    <t>5.4.2.7</t>
  </si>
  <si>
    <t>Pemasangan 1 Unit  LCD Monitor 50"</t>
  </si>
  <si>
    <t>5.4.2.8</t>
  </si>
  <si>
    <t>Pemasangan 1 Unit  Keyboard + Mouse</t>
  </si>
  <si>
    <t>5.4.2.9</t>
  </si>
  <si>
    <t>Pemasangan 1 Unit  Indoor Fix Dome IP Camera</t>
  </si>
  <si>
    <t>5.4.2.10</t>
  </si>
  <si>
    <t>Pemasangan 1 Unit Outdoor Fix Dome IP Camera</t>
  </si>
  <si>
    <t>5.4.2.11</t>
  </si>
  <si>
    <t>Pemasangan 1 titik Instalasi Camera CCTV</t>
  </si>
  <si>
    <t>5.4.3</t>
  </si>
  <si>
    <t>Sistem Tata Suara</t>
  </si>
  <si>
    <t>5.4.3.1</t>
  </si>
  <si>
    <t>Pemasangan 1 Unit MDF - SS</t>
  </si>
  <si>
    <t>5.4.3.2</t>
  </si>
  <si>
    <t>Pemasangan 1 Unit Selector Switch c/w Control Panel</t>
  </si>
  <si>
    <t>5.4.3.3</t>
  </si>
  <si>
    <t>Pemasangan 1 Unit Power Amplifier 360 Watt</t>
  </si>
  <si>
    <t>5.4.3.4</t>
  </si>
  <si>
    <t>Pemasangan 1 Unit Power Amplifier 240 Watt</t>
  </si>
  <si>
    <t>5.4.3.5</t>
  </si>
  <si>
    <t>Pemasangan 1 Unit Power Amplifier 120 Watt</t>
  </si>
  <si>
    <t>5.4.3.6</t>
  </si>
  <si>
    <t>Pemasangan 1 Unit  System Controller ( Mixer Pre Amp-Equalizer)</t>
  </si>
  <si>
    <t>5.4.3.7</t>
  </si>
  <si>
    <t>Pemasangan 1 Unit VCD/DVD/MP3/MP4</t>
  </si>
  <si>
    <t>5.4.3.8</t>
  </si>
  <si>
    <t>Pemasangan 1 Unit Sound Source</t>
  </si>
  <si>
    <t>5.4.3.9</t>
  </si>
  <si>
    <t>Pemasangan 1 Unit Automatic Alarm System</t>
  </si>
  <si>
    <t>5.4.3.10</t>
  </si>
  <si>
    <t>Pemasangan 1 Unit Paging Mic Keyboard</t>
  </si>
  <si>
    <t>5.4.3.11</t>
  </si>
  <si>
    <t>Pemasangan 1 Unit UPS 1 KVA ( Inverter, Rectifier, Battery Backup 4 Jam)</t>
  </si>
  <si>
    <t>5.4.3.12</t>
  </si>
  <si>
    <t>Pemasangan 1 Unit Rack Cabinet</t>
  </si>
  <si>
    <t>5.4.3.13</t>
  </si>
  <si>
    <t>Pemasangan 1 Unit Terminal Box Tata Suara (TBTS)</t>
  </si>
  <si>
    <t>5.4.3.14</t>
  </si>
  <si>
    <t>Pemasangan 1 Unit Ceiling Speaker</t>
  </si>
  <si>
    <t>5.4.3.15</t>
  </si>
  <si>
    <t>Pemasangan 1 Unit Wall Speaker</t>
  </si>
  <si>
    <t>5.4.3.16</t>
  </si>
  <si>
    <t>Pemasangan 1 Unit Horn Speaker</t>
  </si>
  <si>
    <t>5.4.3.17</t>
  </si>
  <si>
    <t>Pemasangan 1 Unit Horn Speaker+ Tiang</t>
  </si>
  <si>
    <t>5.4.3.18</t>
  </si>
  <si>
    <t>Pemasangan 1 titik Instalasi  Horn Speaker</t>
  </si>
  <si>
    <t>5.4.3.19</t>
  </si>
  <si>
    <t>Pemasangan 1 titik Instalasi  Ceiling Speaker</t>
  </si>
  <si>
    <t>5.4.4.</t>
  </si>
  <si>
    <t>Sistem Telepon</t>
  </si>
  <si>
    <t>5.4.4.1</t>
  </si>
  <si>
    <t>Pemasangan 1 Unit MDF 2 x 8 pair</t>
  </si>
  <si>
    <t>5.4.4.2</t>
  </si>
  <si>
    <t>Pemasangan 1 Unit MDF 2 x 10 pair</t>
  </si>
  <si>
    <t>5.4.4.3</t>
  </si>
  <si>
    <t>Pemasangan 1 Unit PABX Kap: 1 Line 10 Extension ( Lengkap dengan Pemprograman)</t>
  </si>
  <si>
    <t>5.4.4.4</t>
  </si>
  <si>
    <t>Pemasangan 1 Unit PABX Kap: 1 Line 8 Extension ( Lengkap dengan Pemprograman)</t>
  </si>
  <si>
    <t>5.4.4.5</t>
  </si>
  <si>
    <t>Pemasangan 1 Unit Terminal Box Telepon</t>
  </si>
  <si>
    <t>5.4.4.6</t>
  </si>
  <si>
    <t>Pemasangan 1 Unit Outlet Telepon</t>
  </si>
  <si>
    <t>5.4.4.7</t>
  </si>
  <si>
    <t>Pemasangan 1 Unit Instalasi Outlet Telepon</t>
  </si>
  <si>
    <t>5.4.5</t>
  </si>
  <si>
    <t>Sistem Data dan Internet</t>
  </si>
  <si>
    <t>5.4.5.1</t>
  </si>
  <si>
    <t>Pemasangan 1 Unit Sever / Gateway c/w PC, Monitor, Keyboar, Mouse</t>
  </si>
  <si>
    <t>5.4.5.2</t>
  </si>
  <si>
    <t>Pemasangan 1 Unit Main Switch HUB 24 Port</t>
  </si>
  <si>
    <t>5.4.5.3</t>
  </si>
  <si>
    <t>Pemasangan 1 Unit Main Switch HUB 12 Port</t>
  </si>
  <si>
    <t>5.4.5.4</t>
  </si>
  <si>
    <t>Pemasangan 1 Unit Router Broadband</t>
  </si>
  <si>
    <t>5.4.5.5</t>
  </si>
  <si>
    <t>Pemasangan 1 Unit Fire Wall + Anti Virus</t>
  </si>
  <si>
    <t>5.4.5.6</t>
  </si>
  <si>
    <t>Pemasangan 1 Unit  Outlet Data</t>
  </si>
  <si>
    <t>5.4.5.7</t>
  </si>
  <si>
    <t>Pemasangan 1 Titik Instalasi Outlet Data</t>
  </si>
  <si>
    <t>5.4.5.8</t>
  </si>
  <si>
    <t>Pemasangan 1 Unit Patch Cord</t>
  </si>
  <si>
    <t>5.4.5.9</t>
  </si>
  <si>
    <t>Pemasangan 1 Unit Patch  Panel 24 Port</t>
  </si>
  <si>
    <t>5.4.5.10</t>
  </si>
  <si>
    <t>Pemasangan 1 Unit Wifi Access Ponit ( Wifi 6 Radius 50 m)</t>
  </si>
  <si>
    <t>5.4.5.11</t>
  </si>
  <si>
    <t>Pemasangan 1 Unit Switch HUB 8 Port, Unmanaged c/w OTB</t>
  </si>
  <si>
    <t>5.4.5.12</t>
  </si>
  <si>
    <t>Pemasangan 1 Unit Touch Screen Panel 7"</t>
  </si>
  <si>
    <t>5.4.5.13</t>
  </si>
  <si>
    <t>Pemasangan 1 Unit Touch Screen Panel 10"</t>
  </si>
  <si>
    <t>5.4.5.14</t>
  </si>
  <si>
    <t>Pemasangan 1 Unit Touch Screen Panel 12"</t>
  </si>
  <si>
    <t>5.4.5.15</t>
  </si>
  <si>
    <t>Pemasangan 1 Unit Touch Screen Panel 14"</t>
  </si>
  <si>
    <t>5.4.5.16</t>
  </si>
  <si>
    <t>Pemasangan 1 Unit Wall Mounted Rack 15U</t>
  </si>
  <si>
    <t>5.4.5.17</t>
  </si>
  <si>
    <t>Pemasangan 1 Unit Workstation, Meja + Kursi</t>
  </si>
  <si>
    <t>5.4.6</t>
  </si>
  <si>
    <t>Sistem MATV</t>
  </si>
  <si>
    <t>5.4.6.1</t>
  </si>
  <si>
    <t>Pemasangan 1 Titik Instalasi TV</t>
  </si>
  <si>
    <t>5.4.6.2</t>
  </si>
  <si>
    <t>Pemasangan 1 Unit Splitter TV 6 Port</t>
  </si>
  <si>
    <t>5.4.6.3</t>
  </si>
  <si>
    <t>Pemasangan 1 Unit Splitter TV 7 Port</t>
  </si>
  <si>
    <t>5.4.6.4</t>
  </si>
  <si>
    <t>Pemasangan 1 Unit Terminal Box TV</t>
  </si>
  <si>
    <t>5.4.6.5</t>
  </si>
  <si>
    <t>Pemasangan 1 Unit Antena UHF</t>
  </si>
  <si>
    <t>5.4.6.6</t>
  </si>
  <si>
    <t>Pemasangan 1 Unit Antena VHF</t>
  </si>
  <si>
    <t>5.5</t>
  </si>
  <si>
    <t>PEKERJAAN SISTEM TATA UDARA</t>
  </si>
  <si>
    <t>5.5.1</t>
  </si>
  <si>
    <t>Pemasangan Unit AC</t>
  </si>
  <si>
    <t>5.5.1.1</t>
  </si>
  <si>
    <t>Pemasangan 1 Unit AC Wall Mounted Kap: 5.000 BTUH</t>
  </si>
  <si>
    <t>5.5.1.2</t>
  </si>
  <si>
    <t>Pemasangan 1 Unit AC Wall Mounted Kap: 6.500 BTUH</t>
  </si>
  <si>
    <t>5.5.1.3</t>
  </si>
  <si>
    <t>Pemasangan 1 Unit AC Wall Mounted Kap: 7.000 BTUH</t>
  </si>
  <si>
    <t>5.5.1.4</t>
  </si>
  <si>
    <t>Pemasangan 1 Unit AC Wall Mounted Kap: 9.000 BTUH</t>
  </si>
  <si>
    <t>5.5.1.5</t>
  </si>
  <si>
    <t>Pemasangan 1 Unit AC Wall Mounted Kap:12.000 BTUH</t>
  </si>
  <si>
    <t>5.5.1.6</t>
  </si>
  <si>
    <t>Pemasangan 1 Unit AC Wall Mounted Kap:24.000 BTUH</t>
  </si>
  <si>
    <t>5.5.1.7</t>
  </si>
  <si>
    <t>Pemasangan 1 Unit AC Wall Mounted Kap:35.000 BTUH</t>
  </si>
  <si>
    <t>5.5.1.8</t>
  </si>
  <si>
    <t>Pemasangan 1 Titik Kabel Power AC NYM 3x2,5 mm2</t>
  </si>
  <si>
    <t>5.5.1.9</t>
  </si>
  <si>
    <t>Pemasangan 1 Titik Kabel Kontrol AC NYM 3x2,5 mm2</t>
  </si>
  <si>
    <t>5.5.2</t>
  </si>
  <si>
    <t>Pemasangan Fan</t>
  </si>
  <si>
    <t>5.5.2.1</t>
  </si>
  <si>
    <t>Pemasangan 1 Unit Ceiling Fan : 50 CFM</t>
  </si>
  <si>
    <t>5.5.2.2</t>
  </si>
  <si>
    <t>Pemasangan 1 Unit Ceiling Fan : 75 CFM</t>
  </si>
  <si>
    <t>5.5.2.3</t>
  </si>
  <si>
    <t>Pemasangan 1 Unit Ceiling Fan : 100 CFM</t>
  </si>
  <si>
    <t>5.5.2.4</t>
  </si>
  <si>
    <t>Pemasangan 1 Unit Ceiling Fan : 200 CFM</t>
  </si>
  <si>
    <t>5.5.2.5</t>
  </si>
  <si>
    <t>Pemasangan 1 Unit Inline Fan : 500 CFM</t>
  </si>
  <si>
    <t>5.5.2.6</t>
  </si>
  <si>
    <t>Pemasangan 1 Unit Inline Fan : 700 CFM</t>
  </si>
  <si>
    <t>5.5.2.7</t>
  </si>
  <si>
    <t>Pemasangan 1 Unit Axial Fan : 2.600 CFM</t>
  </si>
  <si>
    <t>5.5.2.8</t>
  </si>
  <si>
    <t>Pemasangan 1 Unit Axial Fan : 2.800 CFM</t>
  </si>
  <si>
    <t>5.5.2.9</t>
  </si>
  <si>
    <t>Pemasangan 1 Unit Axial Fan : 3.200 CFM</t>
  </si>
  <si>
    <t>5.5.2.10</t>
  </si>
  <si>
    <t>Pemasangan 1 Unit Axial Fan : 3.500 CFM</t>
  </si>
  <si>
    <t>5.5.2.11</t>
  </si>
  <si>
    <t>Pemasangan 1 Unit Axial Fan : 4.000 CFM</t>
  </si>
  <si>
    <t>5.5.2.12</t>
  </si>
  <si>
    <t>Pemasangan 1 Unit Axial Fan : 5.500 CFM</t>
  </si>
  <si>
    <t>5.5.2.13</t>
  </si>
  <si>
    <t>Pemasangan 1 Unit Rotary Fan</t>
  </si>
  <si>
    <t>5.5.2.14</t>
  </si>
  <si>
    <t>Pemasangan 1 Unit Ceiling Fan Rotary</t>
  </si>
  <si>
    <t>5.5.2.15</t>
  </si>
  <si>
    <t>Pemasangan 1 Unit Bifurcated Fan : 1.500 CFM</t>
  </si>
  <si>
    <t>5.5.2.16</t>
  </si>
  <si>
    <t>Pemasangan 1 Unit Propeller Fan ; 75 CFM</t>
  </si>
  <si>
    <t>5.5.2.17</t>
  </si>
  <si>
    <t>Pemasangan 1 Unit Propeller Fan ; 100 CFM</t>
  </si>
  <si>
    <t>5.5.2.18</t>
  </si>
  <si>
    <t>Pemasangan 1 Unit Propeller Fan ; 150 CFM</t>
  </si>
  <si>
    <t>5.5.2.19</t>
  </si>
  <si>
    <t>Pemasangan 1 Unit Propeller Fan ; 375 CFM</t>
  </si>
  <si>
    <t>5.5.2.20</t>
  </si>
  <si>
    <t>Pemasangan 1 Unit Propeller Fan ; 500 CFM</t>
  </si>
  <si>
    <t>5.5.2.21</t>
  </si>
  <si>
    <t>Pemasangan 1 Unit Propeller Fan ; 600 CFM</t>
  </si>
  <si>
    <t>5.5.2.22</t>
  </si>
  <si>
    <t>Pemasangan 1 Unit Intake Grille 600x300 mm</t>
  </si>
  <si>
    <t>5.5.2.23</t>
  </si>
  <si>
    <t>Pemasangan 1 Unit Intake Grille 650x350 mm</t>
  </si>
  <si>
    <t>5.5.2.24</t>
  </si>
  <si>
    <t>Pemasangan 1 Unit Intake Grille 800x350 mm</t>
  </si>
  <si>
    <t>5.5.2.25</t>
  </si>
  <si>
    <t>Pemasangan 1 Unit Intake Grille 800x400 mm</t>
  </si>
  <si>
    <t>5.5.2.26</t>
  </si>
  <si>
    <t>Pemasangan 1 Unit Intake Louvre 700x400 mm</t>
  </si>
  <si>
    <t>5.5.2.27</t>
  </si>
  <si>
    <t>Pemasangan 1 Unit Intake Louvre 750x400 mm</t>
  </si>
  <si>
    <t>5.5.2.28</t>
  </si>
  <si>
    <t>Pemasangan 1 Unit Fan Louvre900 x 500</t>
  </si>
  <si>
    <t>5.5.2.29</t>
  </si>
  <si>
    <t>Pemasangan 1 Unit Fan Louvre 1.000 x 400 mm</t>
  </si>
  <si>
    <t>5.5.2.30</t>
  </si>
  <si>
    <t>Pemasangan 1 Unit Fan Louvre 1.000 x 450 mm</t>
  </si>
  <si>
    <t>5.5.2.31</t>
  </si>
  <si>
    <t>Pemasangan 1 Unit Exhaust Grille 150 x 150 mm</t>
  </si>
  <si>
    <t>5.5.2.32</t>
  </si>
  <si>
    <t>Pemasangan 1 Unit Exhaust Grille 200 x 200 mm</t>
  </si>
  <si>
    <t>5.5.2.33</t>
  </si>
  <si>
    <t>Pemasangan 1 Unit Exhaust Grille 600 x 300 mm</t>
  </si>
  <si>
    <t>5.5.2.34</t>
  </si>
  <si>
    <t>Pemasangan 1 Unit Exhaust Grille 650 x 350 mm</t>
  </si>
  <si>
    <t>5.5.2.35</t>
  </si>
  <si>
    <t>Pemasangan 1 Unit Exhaust Grille 900 x 400 mm</t>
  </si>
  <si>
    <t>5.5.2.36</t>
  </si>
  <si>
    <t>Pemasangan 1 Unit Exhaust Louvre 200 x 200 mm s/d 750 x 350 mm</t>
  </si>
  <si>
    <t>5.5.2.40</t>
  </si>
  <si>
    <t>Pemasangan 1 Unit Exhaust Louvre 800 x 400 mm</t>
  </si>
  <si>
    <t>5.5.2.41</t>
  </si>
  <si>
    <t>Pemasangan 1 Unit Exhaust Louvre 850 x 400 mm &amp; 900 X 500 mm</t>
  </si>
  <si>
    <t>5.5.2.43</t>
  </si>
  <si>
    <t>Pemasangan 1 Unit Exhaust Louvre 1.000 x 400 mm</t>
  </si>
  <si>
    <t>5.5.2.44</t>
  </si>
  <si>
    <t>Pemasangan 1 Unit Exhaust Louvre 1.000 x 400 mm &amp; 1.000 x 450 mm</t>
  </si>
  <si>
    <t>5.5.2.45</t>
  </si>
  <si>
    <t>Pemasangan 1 Tititk Kabel Powwer Fan NYM 3 x 2,5 mm2</t>
  </si>
  <si>
    <t>5.5.2.46</t>
  </si>
  <si>
    <t>Pemasangan 1 Tititk Kabel Kontrol  Fan NYM 3 x 2,5 mm2</t>
  </si>
  <si>
    <t>5.5.2.47</t>
  </si>
  <si>
    <t>Pemasangan 1 Unit Proppeller Fan ; 370 CMF</t>
  </si>
  <si>
    <t>5.5.2.48</t>
  </si>
  <si>
    <t>Pemasangan 1 Unit Proppeller Fan ; 1200 CMF</t>
  </si>
  <si>
    <t>5.5.3</t>
  </si>
  <si>
    <t>Pemasagan Ducting</t>
  </si>
  <si>
    <t>5.5.3.1</t>
  </si>
  <si>
    <t>Pemasangan 1 m2 BJLS 50, 60, 70, 80, 100 ( Tanpa Isolasi )</t>
  </si>
  <si>
    <t>5.5.3.6</t>
  </si>
  <si>
    <t>Pemasangan 1 m2 BJLS 50, 60, 70, 80, 100 ( Isolasi Luar )</t>
  </si>
  <si>
    <t>5.5.3.11</t>
  </si>
  <si>
    <t>Pemasangan 1 m2 BJLS (50, 60, 70, 80, 100 ( Isolasi Luar  Dalam ))</t>
  </si>
  <si>
    <t>5.5.4</t>
  </si>
  <si>
    <t>Pemasangan Perpipaan</t>
  </si>
  <si>
    <t>5.5.4.1</t>
  </si>
  <si>
    <t>Pemasangan 1 m Pipa Tembaga B280 Dia. 6,4 mm (1/4")</t>
  </si>
  <si>
    <t>5.5.4.2</t>
  </si>
  <si>
    <t>Pemasangan 1 m Pipa Tembaga B280 Dia. 9,5 mm (3/8")</t>
  </si>
  <si>
    <t>5.5.4.3</t>
  </si>
  <si>
    <t>Pemasangan 1 m Pipa Tembaga B280 Dia. 12,7 mm (1/2")</t>
  </si>
  <si>
    <t>5.5.4.4</t>
  </si>
  <si>
    <t>Pemasangan 1 m Pipa Tembaga B280 Dia. 15,9 mm (5/8")</t>
  </si>
  <si>
    <t>5.5.4.5</t>
  </si>
  <si>
    <t>Pemasangan 1 m Pipa Tembaga B280 Dia. 19,1 mm (3/4")</t>
  </si>
  <si>
    <t>5.5.4.6</t>
  </si>
  <si>
    <t>Pemasangan 1 m Pipa Tembaga B280 Dia. 22,2 mm (7/8")</t>
  </si>
  <si>
    <t>5.5.4.7</t>
  </si>
  <si>
    <t>Pemasangan 1 m Pipa Tembaga B280 Dia. 25,4 mm (1")</t>
  </si>
  <si>
    <t>5.5.4.8</t>
  </si>
  <si>
    <t>Pemasangan 1 m Pipa Tembaga B280 Dia. 28,6 mm (1-1/8")</t>
  </si>
  <si>
    <t>5.5.4.9</t>
  </si>
  <si>
    <t>Pemasangan 1 m Pipa Tembaga B280 Dia. 34,9 mm (1-3/8")</t>
  </si>
  <si>
    <t>5.5.4.10</t>
  </si>
  <si>
    <t>Pemasangan 1 m Pipa Tembaga B280 Dia. 41,3 mm (1-5/8")</t>
  </si>
  <si>
    <t>5.5.4.11</t>
  </si>
  <si>
    <t>Pemasangan 1 m' pipa PVC AW, DN. 1/2" (15 mm) + Isolasi</t>
  </si>
  <si>
    <t>5.5.4.12</t>
  </si>
  <si>
    <t>Pemasangan 1 m' pipa PVC AW, DN. 3/4" (20 mm) + Isolasi</t>
  </si>
  <si>
    <t>5.5.4.13</t>
  </si>
  <si>
    <t>Pemasangan 1 m' pipa PVC AW, DN. 1" (25 mm) + Isolasi</t>
  </si>
  <si>
    <t>5.5.4.14</t>
  </si>
  <si>
    <t>Pemasangan 1 m' pipa PVC AW, DN. 1-1/4" (32 mm) + Isolasi</t>
  </si>
  <si>
    <t>5.5.4.15</t>
  </si>
  <si>
    <t>Pemasangan 1 m' pipa PVC AW, DN. 1-1/2" (40 mm) + Isolasi</t>
  </si>
  <si>
    <t>5.5.4.16</t>
  </si>
  <si>
    <t>Pemasangan 1 m' pipa PVC AW, DN. 2" (50 mm) + Isolasi</t>
  </si>
  <si>
    <t>5.3.4.17</t>
  </si>
  <si>
    <t>Pemasangan 1 m' pipa PVC AW, DN. 2-1/2" (65 mm) + Isolasi</t>
  </si>
  <si>
    <t>5.5.4.18</t>
  </si>
  <si>
    <t>Pemasangan 1 m' pipa PVC AW, DN. 3" (80 mm) + Isolasi</t>
  </si>
  <si>
    <t>5.5.4.19</t>
  </si>
  <si>
    <t>Pemasangan 1 m' pipa PVC AW, DN. 4" (100 mm) + Isolasi</t>
  </si>
  <si>
    <t>5.6</t>
  </si>
  <si>
    <t>Pekerjaan Sistem Proteksi Kebakaan</t>
  </si>
  <si>
    <t>5.6.1</t>
  </si>
  <si>
    <t>Sistem Perpipaan &amp; aksesoris</t>
  </si>
  <si>
    <t>5.6.1.1</t>
  </si>
  <si>
    <t>Pemasanga 1 Unit PRV Set Dia. 50 mm</t>
  </si>
  <si>
    <t>5.6.1.2</t>
  </si>
  <si>
    <t>Pemasanga 1 Unit PRV Set Dia. 65 mm</t>
  </si>
  <si>
    <t>5.6.1.3</t>
  </si>
  <si>
    <t>Pemasanga 1 Unit PRV Set Dia. 80 mm</t>
  </si>
  <si>
    <t>5.6.1.4</t>
  </si>
  <si>
    <t>Pemasanga 1 Unit PRV Set Dia. 100 mm</t>
  </si>
  <si>
    <t>5.6.1.5</t>
  </si>
  <si>
    <t>Pemasangan 1 Unit PRV SET dia. 150 mm</t>
  </si>
  <si>
    <t>5.6.1.6</t>
  </si>
  <si>
    <t>Pemasangan 1 Unit PRV SET dia. 200 mm</t>
  </si>
  <si>
    <t>5.6.1.7</t>
  </si>
  <si>
    <t>Pemasangan 1 Unit MCV Set dia. 80 mm</t>
  </si>
  <si>
    <t>5.6.1.8</t>
  </si>
  <si>
    <t>Pemasangan 1 Unit MCV Set dia. 100 mm</t>
  </si>
  <si>
    <t>5.6.1.9</t>
  </si>
  <si>
    <t>Pemasangan 1 Unit MCV Set dia. 150 mm</t>
  </si>
  <si>
    <t>5.6.1.10</t>
  </si>
  <si>
    <t>Pemasangan 1 Unit BCV Set dia. 50 mm</t>
  </si>
  <si>
    <t>5.6.1.11</t>
  </si>
  <si>
    <t>Pemasangan 1 Unit BCV Set dia. 65 mm</t>
  </si>
  <si>
    <t>5.6.1.12</t>
  </si>
  <si>
    <t>Pemasangan 1 Unit BCV Set dia. 80 mm</t>
  </si>
  <si>
    <t>5.6.1.13</t>
  </si>
  <si>
    <t>Pemasangan 1 Unit BCV Set dia. 100 mm</t>
  </si>
  <si>
    <t>5.6.1.14</t>
  </si>
  <si>
    <t>Pemasangan 1 Unit BCV Set dia. 150 mm</t>
  </si>
  <si>
    <t>5.6.1.15</t>
  </si>
  <si>
    <t>Pemasangan 1 Unit Automatic Air Vent dia. 50mm</t>
  </si>
  <si>
    <t>5.6.1.16</t>
  </si>
  <si>
    <t>Pemasangan 1 Unit Automatic Air Vent dia. 80mm</t>
  </si>
  <si>
    <t>5.6.1.17</t>
  </si>
  <si>
    <t>Pemasangan 1 Unit Automatic Air Vent dia. 100mm</t>
  </si>
  <si>
    <t>5.6.1.18</t>
  </si>
  <si>
    <t>Pemasangan 1 Unit Automatic Air Vent dia. 150mm</t>
  </si>
  <si>
    <t>5.6.1.19</t>
  </si>
  <si>
    <t>Pemasangan 1 Unit Flow Meter Analog dia.100 mm</t>
  </si>
  <si>
    <t>5.6.1.20</t>
  </si>
  <si>
    <t>Pemasangan 1 Unit Flow Meter Analog dia.200 mm</t>
  </si>
  <si>
    <t>5.6.1.21</t>
  </si>
  <si>
    <t>Pemasangan 1 Unit Landing Velve 2,5"</t>
  </si>
  <si>
    <t>5.6.1.22</t>
  </si>
  <si>
    <t>Pemasangan 1 Unit Orifice Plate dia. 25 mm</t>
  </si>
  <si>
    <t>5.6.2</t>
  </si>
  <si>
    <t>Hidran &amp; Springkler</t>
  </si>
  <si>
    <t>5.6.2.1</t>
  </si>
  <si>
    <t>Pemasangan 1 unit Sprinkler Head Pendant</t>
  </si>
  <si>
    <t>5.6.2.2</t>
  </si>
  <si>
    <t>Pemasangan 1 unit Sprinkler Head Upright</t>
  </si>
  <si>
    <t>5.6.2.3</t>
  </si>
  <si>
    <t>Pemasangan 1 unit Hydrant Pillar</t>
  </si>
  <si>
    <t>5.6.2.4</t>
  </si>
  <si>
    <t>Pemasangan 1 unit Indoor Hydrant Box (IHB)</t>
  </si>
  <si>
    <t>5.6.2.5</t>
  </si>
  <si>
    <t>Pemasangan 1 unit outdoor Hydrant Box (OHB)</t>
  </si>
  <si>
    <t>5.6.2.6</t>
  </si>
  <si>
    <t>Pemasangan 1 unit Siamesse Connection</t>
  </si>
  <si>
    <t>5.6.3</t>
  </si>
  <si>
    <t>APAR</t>
  </si>
  <si>
    <t>5.6.3.1</t>
  </si>
  <si>
    <t>Pemasangan 1 unit Fire Extinguisher 3 kg</t>
  </si>
  <si>
    <t>5.6.3.2</t>
  </si>
  <si>
    <t>Pemasangan 1 unit Fire Extinguisher 5 kg</t>
  </si>
  <si>
    <t>5.6.3.3</t>
  </si>
  <si>
    <t>Pemasangan 1 unit Fire Extinguisher 25 kg</t>
  </si>
  <si>
    <t>5.6.4</t>
  </si>
  <si>
    <t>Pompa Kebakaran</t>
  </si>
  <si>
    <t>5.6.4.1</t>
  </si>
  <si>
    <t>Pemasangan 1 Unit Jockey Fire Pump Vertical Multi Stage, 25 USGPM</t>
  </si>
  <si>
    <t>5.6.4.2</t>
  </si>
  <si>
    <t>Pemasangan 1 Unit Main Fire Pump Centrifugal End Suction, 1.000 USGPM</t>
  </si>
  <si>
    <t>5.6.4.3</t>
  </si>
  <si>
    <t>Pemasangan 1 Unit Diesel Fire Pump Centrifugal End Suction, 1.000 USGPM</t>
  </si>
  <si>
    <t>5.6.4.4</t>
  </si>
  <si>
    <t>Pemasangan 1 Unit Main Fire Pump Centrifugal End Suction, 1.250 USGPM</t>
  </si>
  <si>
    <t>5.6.4.5</t>
  </si>
  <si>
    <t>Pemasangan 1 Unit Diesel Fire Centrifugal Ed Suction, 1.250 USGPM</t>
  </si>
  <si>
    <t>6</t>
  </si>
  <si>
    <t>PEKERJAAN PLAMBING</t>
  </si>
  <si>
    <t>6.1</t>
  </si>
  <si>
    <t>PEKERJAAN SISTEM AIR MINUM</t>
  </si>
  <si>
    <t>6.1.1</t>
  </si>
  <si>
    <t>Roof Water Tank</t>
  </si>
  <si>
    <t>6.1.1.1</t>
  </si>
  <si>
    <t>Pemasangan 1 Unit Rof Tank Fiberglass Kap. 2 m3</t>
  </si>
  <si>
    <t>6.1.1.2</t>
  </si>
  <si>
    <t>Pemasangan 1 unit roof tank fiberglass kap. 4 m3</t>
  </si>
  <si>
    <t>6.1.1.3</t>
  </si>
  <si>
    <t>Pemasangan 1 unit roof tank fiberglass kap. 12 m3</t>
  </si>
  <si>
    <t>6.1.1.4</t>
  </si>
  <si>
    <t>Pemasangan 1 unit roof tank stainless kap. 2 m3</t>
  </si>
  <si>
    <t>6.1.1.5</t>
  </si>
  <si>
    <t>Pemasangan 1 unit roof tank stainless kap. 4 m3</t>
  </si>
  <si>
    <t>6.1.1.6</t>
  </si>
  <si>
    <t>Pemasangan 1 unit roof tank stainless kap. 12 m3</t>
  </si>
  <si>
    <t>6.1.1.7</t>
  </si>
  <si>
    <t>Pemasangan 1 unit tangki toren kap. 0,7 m3</t>
  </si>
  <si>
    <t>6.1.1.8</t>
  </si>
  <si>
    <t>Pemasangan 1 unit tangki toren kap. 1,5 m3</t>
  </si>
  <si>
    <t>6.1.1.9</t>
  </si>
  <si>
    <t>Pemasangan 1 unit tangki toren kap. 2,5 m3</t>
  </si>
  <si>
    <t>6.1.1.10</t>
  </si>
  <si>
    <t>Pemasangan 1 unit tangki toren kap. 3 m3</t>
  </si>
  <si>
    <t>6.1.1.11</t>
  </si>
  <si>
    <t>Pemasangan 1 unit tangki toren kap. 4 m3</t>
  </si>
  <si>
    <t>6.1.1.12</t>
  </si>
  <si>
    <t>Pemasangan 1 unit tangki toren kap. 5 m3</t>
  </si>
  <si>
    <t>6.1.1.13</t>
  </si>
  <si>
    <t>Pemasangan 1 unit tangki toren kap. 5,5 m3</t>
  </si>
  <si>
    <t>6.1.1.14</t>
  </si>
  <si>
    <t>Pemasangan 1 unit tangki toren kap. 6 m3</t>
  </si>
  <si>
    <t>6.1.1.15</t>
  </si>
  <si>
    <t>Pemasangan 1 buah Tangki Panel FRP Kap.12 m3</t>
  </si>
  <si>
    <t>6.1.1.16</t>
  </si>
  <si>
    <t>Pemasangan 1 buah Tangki Panel Stainless Steel Kap. 12 m3</t>
  </si>
  <si>
    <t>6.1.1.17</t>
  </si>
  <si>
    <t>Pemasangan 1 buah Tangki Panel GRP Kap. 12 m3</t>
  </si>
  <si>
    <t>6.1.1.18</t>
  </si>
  <si>
    <t>Pemasangan 1 buah Tangki Toren Kap. 0,5 m3</t>
  </si>
  <si>
    <t>6.1.2</t>
  </si>
  <si>
    <t>Pompa Transfer dan Booster</t>
  </si>
  <si>
    <t>6.1.2.1</t>
  </si>
  <si>
    <t>Pemasangan 1 unit pompa transfer 150 lpm; centrifugal end suction</t>
  </si>
  <si>
    <t>6.1.2.2</t>
  </si>
  <si>
    <t>Pemasangan 1 unit pompa booster 450 lpm; centrifugal end suction</t>
  </si>
  <si>
    <t>6.1.2.3</t>
  </si>
  <si>
    <t>Pemasangan 1 unit pompa booster 150 lpm; vertical in line-packaged</t>
  </si>
  <si>
    <t>6.1.2.4</t>
  </si>
  <si>
    <t>Pemasangan 1 unit pompa jet 27 lpm</t>
  </si>
  <si>
    <t>6.1.2.5</t>
  </si>
  <si>
    <t>Pemasangan 1 unit pompa jet 34 lpm</t>
  </si>
  <si>
    <t>6.1.2.6</t>
  </si>
  <si>
    <t>Pemasangan 1 unit pompa jet 100 lpm</t>
  </si>
  <si>
    <t>6.1.2.7</t>
  </si>
  <si>
    <t>Pemasangan 1 unit pompa lift 80 lpm</t>
  </si>
  <si>
    <t>6.1.2.8</t>
  </si>
  <si>
    <t>Pemasangan 1 unit pompa lift 250 lpm</t>
  </si>
  <si>
    <t>6.1.2.9</t>
  </si>
  <si>
    <t>Pemasangan 1 unit Pompa Jet 30 lpm</t>
  </si>
  <si>
    <t>6.3.1</t>
  </si>
  <si>
    <t>Filter</t>
  </si>
  <si>
    <t>6.1.3.1</t>
  </si>
  <si>
    <t>Pemasangan 1 unit sand filter kap. 0,1 m3 / hari</t>
  </si>
  <si>
    <t>6.1.3.2</t>
  </si>
  <si>
    <t>Pemasangan 1 unit sand filter kap. 14 m3 / hari</t>
  </si>
  <si>
    <t>6.1.3.3</t>
  </si>
  <si>
    <t>Pemasangan 1 unit carbon filter kap. 0,1 m3 / hari</t>
  </si>
  <si>
    <t>6.1.3.4</t>
  </si>
  <si>
    <t>Pemasangan 1 unit carbon filter kap. 0,6 m3 / hari</t>
  </si>
  <si>
    <t>6.1.3.5</t>
  </si>
  <si>
    <t>Pemasangan 1 unit silika filter kap. 0,1 m3 / hari</t>
  </si>
  <si>
    <t>6.1.4</t>
  </si>
  <si>
    <t>Ground Water Tank (Fiber)</t>
  </si>
  <si>
    <t>6.1.4.1</t>
  </si>
  <si>
    <t>Pemasangan 1 set priming tank 500 liter</t>
  </si>
  <si>
    <t>6.1.4.2</t>
  </si>
  <si>
    <t>Pemasangan 1 set priming tank 800 liter</t>
  </si>
  <si>
    <t>6.1.4.3</t>
  </si>
  <si>
    <t>Pemasangan 1 set priming tank 1.000 liter</t>
  </si>
  <si>
    <t>6.1.4.4</t>
  </si>
  <si>
    <t>Pemasangan 1 set priming tank 2.000 liter</t>
  </si>
  <si>
    <t>6.1.4.5</t>
  </si>
  <si>
    <t>Pemasangan 1 set pressure tank 1.000 liter</t>
  </si>
  <si>
    <t>6.2</t>
  </si>
  <si>
    <t>SISTEM AIR LIMBAH</t>
  </si>
  <si>
    <t>6.2.1</t>
  </si>
  <si>
    <t>Sewage Treatment Plan (STP) /Biofilter</t>
  </si>
  <si>
    <t>6.2.1.1</t>
  </si>
  <si>
    <t>Pemasangan 1 set Sewage Treatment Plant (STP) fiberglass kap. 2 m3</t>
  </si>
  <si>
    <t>6.2.1.2</t>
  </si>
  <si>
    <t>Pemasangan 1 set Sewage Treatment Plant (STP) fiberglass kap. 5 m3</t>
  </si>
  <si>
    <t>6.2.1.3</t>
  </si>
  <si>
    <t>Pemasangan 1 set Sewage Treatment Plant (STP) fiberglass kap. 10 m3</t>
  </si>
  <si>
    <t>6.2.1.4</t>
  </si>
  <si>
    <t>Pemasangan 1 set Sewage Treatment Plant (STP) fiberglass kap. 30 m3</t>
  </si>
  <si>
    <t>6.2.1.5</t>
  </si>
  <si>
    <t>Pemasangan 1 set Sewage Treatment Plant (STP) precast kap. 30 m3</t>
  </si>
  <si>
    <t>6.2.1.6</t>
  </si>
  <si>
    <t>Pemasangan 1 set Sewage Treatment Plant (STP) Fiberglass kap. 1 m3</t>
  </si>
  <si>
    <t>6.2.2</t>
  </si>
  <si>
    <t>Bak Pengumpulan  (sump Pit )</t>
  </si>
  <si>
    <t>6.2.2.1</t>
  </si>
  <si>
    <t>Pemasangan 1 unit pompa sump pit air kotor 100 m3/jam, submersible cutter pump</t>
  </si>
  <si>
    <t>6.2.3</t>
  </si>
  <si>
    <t>Grase Trap</t>
  </si>
  <si>
    <t>6.2.3.1</t>
  </si>
  <si>
    <t>Pemasangan 1 unit grease trap portable fiberglass, kap. 30 Liter</t>
  </si>
  <si>
    <t>6.2.3.2</t>
  </si>
  <si>
    <t>Pemasangan 1 unit grease trap portable stainless, kap. 30 Liter</t>
  </si>
  <si>
    <t>6.2.3.3</t>
  </si>
  <si>
    <t>Pemasangan 1 unit grease trap central fiberglass, kap. 5 m3</t>
  </si>
  <si>
    <t>6.2.4</t>
  </si>
  <si>
    <t>Sumur Resapan</t>
  </si>
  <si>
    <t>6.2.4.1</t>
  </si>
  <si>
    <t>Pemasangan 1 buah Sumur Resapan Air Limbah diameter 80 cm, t=100 cm ( dengan tutup Beton)</t>
  </si>
  <si>
    <t>6.2.1.8</t>
  </si>
  <si>
    <t>Pemasangan 1 buah Sumur Resapan Air Limbah diameter 80 cm, t=100 cm ( tanpa tutup Beton)</t>
  </si>
  <si>
    <t>6.3</t>
  </si>
  <si>
    <t>PEKERJAAN BAK KONTROL</t>
  </si>
  <si>
    <t>Pemasangan 1 buah bak kontrol pas. bata 30x30 cm tinggi 35 cm dengan tutup beton</t>
  </si>
  <si>
    <t>6.3.2</t>
  </si>
  <si>
    <t>Pemasangan 1 buah bak kontrol pas. bata 45x45 cm tinggi 50 cm dengan tutup beton</t>
  </si>
  <si>
    <t>6.3.3</t>
  </si>
  <si>
    <t>Pemasangan 1 buah bak kontrol pas. bata 60x60 cm tinggi 65 cm dengan tutup beton</t>
  </si>
  <si>
    <t>6.4</t>
  </si>
  <si>
    <t>SISTEM PERPIPAAN DALAM GEDUNG</t>
  </si>
  <si>
    <t>6.4.1</t>
  </si>
  <si>
    <t>Pipa PVC</t>
  </si>
  <si>
    <t>6.4.1.1</t>
  </si>
  <si>
    <t>Pemasangan 1 m pipa PVC AW, DN. 1/2" (15 mm)</t>
  </si>
  <si>
    <t>6.4.1.2</t>
  </si>
  <si>
    <t>Pemasangan 1 m pipa PVC AW, DN. 3/4" (20 mm)</t>
  </si>
  <si>
    <t>6.4.1.3</t>
  </si>
  <si>
    <t>Pemasangan 1 m pipa PVC AW, DN. 1" (25 mm)</t>
  </si>
  <si>
    <t>6.4.1.4</t>
  </si>
  <si>
    <t>Pemasangan 1 m pipa PVC AW, DN. 1-1/4" (32 mm)</t>
  </si>
  <si>
    <t>6.4.1.5</t>
  </si>
  <si>
    <t>Pemasangan 1 m pipa PVC AW, DN. 1-1/2" (40 mm)</t>
  </si>
  <si>
    <t>6.4.1.6</t>
  </si>
  <si>
    <t>Pemasangan 1 m pipa PVC AW, DN. 2" (50 mm)</t>
  </si>
  <si>
    <t>6.4.1.7</t>
  </si>
  <si>
    <t>Pemasangan 1 m pipa PVC AW, DN. 2-1/2" (65 mm)</t>
  </si>
  <si>
    <t>6.4.1.8</t>
  </si>
  <si>
    <t>Pemasangan 1 m pipa PVC AW, DN. 3" (80 mm)</t>
  </si>
  <si>
    <t>6.4.1.9</t>
  </si>
  <si>
    <t>Pemasangan 1 m pipa PVC AW, DN. 4" (100 mm)</t>
  </si>
  <si>
    <t>6.4.1.10</t>
  </si>
  <si>
    <t>Pemasangan 1 m pipa PVC AW, DN. 5" (125 mm)</t>
  </si>
  <si>
    <t>6.4.1.11</t>
  </si>
  <si>
    <t>Pemasangan 1 m pipa PVC AW, DN. 6" (150 mm)</t>
  </si>
  <si>
    <t>6.4.1.12</t>
  </si>
  <si>
    <t>Pemasangan 1 m pipa PVC AW, DN. 8" (200 mm)</t>
  </si>
  <si>
    <t>6.4.1.13</t>
  </si>
  <si>
    <t>Pemasangan 1 m pipa PVC AW, DN. 10" (250 mm)</t>
  </si>
  <si>
    <t>6.4.1.14</t>
  </si>
  <si>
    <t>Pemasangan 1 m pipa PVC AW, DN. 12" (300 mm)</t>
  </si>
  <si>
    <t>6.4.1.15</t>
  </si>
  <si>
    <t>Pemasangan 1 m pipa PVC AW, DN. 14" (350 mm)</t>
  </si>
  <si>
    <t>6.4.1.16</t>
  </si>
  <si>
    <t>Pemasangan 1 m pipa PVC AW, DN. 16" (400 mm)</t>
  </si>
  <si>
    <t>6.4.1.17</t>
  </si>
  <si>
    <t>Pemasangan 1 m pipa PVC D, DN. 1-1/4" (32 mm)</t>
  </si>
  <si>
    <t>6.4.1.18</t>
  </si>
  <si>
    <t>Pemasangan 1 m pipa PVC D, DN. 1-1/2" (40 mm)</t>
  </si>
  <si>
    <t>6.4.1.19</t>
  </si>
  <si>
    <t>Pemasangan 1 m pipa PVC D, DN. 2" (50 mm)</t>
  </si>
  <si>
    <t>6.4.1.20</t>
  </si>
  <si>
    <t>Pemasangan 1 m pipa PVC D, DN. 2-1/2" (65 mm)</t>
  </si>
  <si>
    <t>6.4.1.21</t>
  </si>
  <si>
    <t>Pemasangan 1 m pipa PVC D, DN. 3" (80 mm)</t>
  </si>
  <si>
    <t>6.4.1.22</t>
  </si>
  <si>
    <t>Pemasangan 1 m pipa PVC D, DN. 4" (100 mm)</t>
  </si>
  <si>
    <t>6.4.1.23</t>
  </si>
  <si>
    <t>Pemasangan 1 m pipa PVC D, DN. 5" (125 mm)</t>
  </si>
  <si>
    <t>6.4.1.24</t>
  </si>
  <si>
    <t>Pemasangan 1 m pipa PVC D, DN. 6" (150 mm)</t>
  </si>
  <si>
    <t>6.4.1.25</t>
  </si>
  <si>
    <t>Pemasangan 1 m pipa PVC D, DN. 8" (200 mm)</t>
  </si>
  <si>
    <t>6.4.1.26</t>
  </si>
  <si>
    <t>Pemasangan 1 m pipa PVC D, DN. 10" (250 mm)</t>
  </si>
  <si>
    <t>6.4.1.27</t>
  </si>
  <si>
    <t>Pemasangan 1 m pipa PVC D, DN. 12" (300 mm)</t>
  </si>
  <si>
    <t>6.4.1.28</t>
  </si>
  <si>
    <t>Pemasangan 1 m pipa PVC D, DN. 14" (350 mm)</t>
  </si>
  <si>
    <t>6.4.1.29</t>
  </si>
  <si>
    <t>Pemasangan 1 m pipa PVC D, DN. 16" (400 mm)</t>
  </si>
  <si>
    <t>6.4.2</t>
  </si>
  <si>
    <t>Pipa Galvanis</t>
  </si>
  <si>
    <t>6.4.2.1</t>
  </si>
  <si>
    <t>Pemasangan 1 m Pipa Galvanis MED CLASS, DN. 1/2" (15 mm)</t>
  </si>
  <si>
    <t>6.4.2.2</t>
  </si>
  <si>
    <t>Pemasangan 1 m Pipa Galvanis MED CLASS, DN. 3/4" (20 mm)</t>
  </si>
  <si>
    <t>6.4.2.3</t>
  </si>
  <si>
    <t>Pemasangan 1 m Pipa Galvanis MED CLASS, DN. 1" (25 mm)</t>
  </si>
  <si>
    <t>6.4.2.4</t>
  </si>
  <si>
    <t>Pemasangan 1 m Pipa Galvanis MED CLASS, DN. 1-1/4" (32 mm)</t>
  </si>
  <si>
    <t>6.4.2.5</t>
  </si>
  <si>
    <t>Pemasangan 1 m Pipa Galvanis MED CLASS, DN. 1-1/2" (40 mm)</t>
  </si>
  <si>
    <t>6.4.2.6</t>
  </si>
  <si>
    <t>Pemasangan 1 m Pipa Galvanis MED CLASS, DN. 2" (50 mm)</t>
  </si>
  <si>
    <t>6.4.2.7</t>
  </si>
  <si>
    <t>Pemasangan 1 m Pipa Galvanis MED CLASS, DN. 2-1/2" (65 mm)</t>
  </si>
  <si>
    <t>6.4.2.8</t>
  </si>
  <si>
    <t>Pemasangan 1 m Pipa Galvanis MED CLASS, DN. 3" (80 mm)</t>
  </si>
  <si>
    <t>6.4.2.9</t>
  </si>
  <si>
    <t>Pemasangan 1 m Pipa Galvanis MED CLASS, DN. 4" (100 mm)</t>
  </si>
  <si>
    <t>6.4.2.10</t>
  </si>
  <si>
    <t>Pemasangan 1 m Pipa Galvanis MED CLASS, DN. 5" (125 mm)</t>
  </si>
  <si>
    <t>6.4.2.11</t>
  </si>
  <si>
    <t>Pemasangan 1 m Pipa Galvanis MED CLASS, DN. 6" (150 mm)</t>
  </si>
  <si>
    <t>6.4.2.12</t>
  </si>
  <si>
    <t>Pemasangan 1 m Pipa Galvanis MED CLASS, DN. 8" (200 mm)</t>
  </si>
  <si>
    <t>6.4.2.13</t>
  </si>
  <si>
    <t>Pemasangan 1 m Pipa Galvanis MED CLASS, DN. 10" (250 mm)</t>
  </si>
  <si>
    <t>6.4.2.14</t>
  </si>
  <si>
    <t>Pemasangan 1 m Pipa Galvanis MED CLASS, DN. 12" (300 mm)</t>
  </si>
  <si>
    <t>6.4.2.15</t>
  </si>
  <si>
    <t>Pemasangan 1 m Pipa Galvanis MED CLASS, DN. 14" (350 mm)</t>
  </si>
  <si>
    <t>6.4.2.16</t>
  </si>
  <si>
    <t>Pemasangan 1 m Pipa Galvanis MED CLASS, DN. 16" (400 mm)</t>
  </si>
  <si>
    <t>6.4.2.17</t>
  </si>
  <si>
    <t>Pemasangan 1 m Pipa Galvanis SCH 40, DN. 1/2" (15 mm)</t>
  </si>
  <si>
    <t>6.4.2.18</t>
  </si>
  <si>
    <t>Pemasangan 1 m Pipa Galvanis SCH 40, DN. 3/4" (20 mm)</t>
  </si>
  <si>
    <t>6.4.2.19</t>
  </si>
  <si>
    <t>Pemasangan 1 m Pipa Galvanis SCH 40, DN. 1" (25 mm)</t>
  </si>
  <si>
    <t>6.4.2.20</t>
  </si>
  <si>
    <t>Pemasangan 1 m Pipa Galvanis SCH 40, DN. 1-1/4" (32 mm)</t>
  </si>
  <si>
    <t>6.4.2.21</t>
  </si>
  <si>
    <t>Pemasangan 1 m Pipa Galvanis SCH 40, DN. 1-1/2" (40 mm)</t>
  </si>
  <si>
    <t>6.4.2.22</t>
  </si>
  <si>
    <t>Pemasangan 1 m Pipa Galvanis SCH 40, DN. 2" (50 mm)</t>
  </si>
  <si>
    <t>6.4.2.23</t>
  </si>
  <si>
    <t>Pemasangan 1 m Pipa Galvanis SCH 40, DN. 2-1/2" (65 mm)</t>
  </si>
  <si>
    <t>6.4.2.24</t>
  </si>
  <si>
    <t>Pemasangan 1 m Pipa Galvanis SCH 40, DN. 3" (80 mm)</t>
  </si>
  <si>
    <t>6.4.2.25</t>
  </si>
  <si>
    <t>Pemasangan 1 m Pipa Galvanis SCH 40, DN. 4" (100 mm)</t>
  </si>
  <si>
    <t>6.4.2.26</t>
  </si>
  <si>
    <t>Pemasangan 1 m Pipa Galvanis SCH 40, DN. 5" (125 mm)</t>
  </si>
  <si>
    <t>6.4.2.27</t>
  </si>
  <si>
    <t>Pemasangan 1 m Pipa Galvanis SCH 40, DN. 6" (150 mm)</t>
  </si>
  <si>
    <t>6.4.2.28</t>
  </si>
  <si>
    <t>Pemasangan 1 m Pipa Galvanis SCH 40, DN. 8" (200 mm)</t>
  </si>
  <si>
    <t>6.4.2.29</t>
  </si>
  <si>
    <t>Pemasangan 1 m Pipa Galvanis SCH 40, DN. 10" (250 mm</t>
  </si>
  <si>
    <t>6.4.2.30</t>
  </si>
  <si>
    <t>Pemasangan 1 m Pipa Galvanis SCH 40, DN. 12" (300 mm)</t>
  </si>
  <si>
    <t>6.4.2.31</t>
  </si>
  <si>
    <t>Pemasangan 1 m Pipa Galvanis SCH 40, DN. 14" (350 mm)</t>
  </si>
  <si>
    <t>6.4.2.32</t>
  </si>
  <si>
    <t>Pemasangan 1 m Pipa Galvanis SCH 40, DN. 16" (400 mm)</t>
  </si>
  <si>
    <t>6.4.3</t>
  </si>
  <si>
    <t>Pipa PPR (PolyPropylene Random)</t>
  </si>
  <si>
    <t>6.4.3.1</t>
  </si>
  <si>
    <t>Pemasangan 1 m pipa PPR PN 10, DN. 1/2" (15 mm)</t>
  </si>
  <si>
    <t>6.4.3.2</t>
  </si>
  <si>
    <t>Pemasangan 1 m pipa PPR PN 10, DN. 3/4" (20 mm)</t>
  </si>
  <si>
    <t>6.4.3.3</t>
  </si>
  <si>
    <t>Pemasangan 1 m pipa PPR PN 10, DN. 1" (25 mm)</t>
  </si>
  <si>
    <t>6.4.3.4</t>
  </si>
  <si>
    <t>Pemasangan 1 m pipa PPR PN 10, DN. 1-1/4" (32 mm)</t>
  </si>
  <si>
    <t>6.4.3.5</t>
  </si>
  <si>
    <t>Pemasangan 1 m pipa PPR PN 10, DN. 1-1/2" (40 mm)</t>
  </si>
  <si>
    <t>6.4.3.6</t>
  </si>
  <si>
    <t>Pemasangan 1 m pipa PPR PN 10, DN. 2" (50 mm)</t>
  </si>
  <si>
    <t>6.4.3.7</t>
  </si>
  <si>
    <t>Pemasangan 1 m pipa PPR PN 10, DN. 2-1/2" (65 mm)</t>
  </si>
  <si>
    <t>6.4.3.8</t>
  </si>
  <si>
    <t>Pemasangan 1 m pipa PPR PN 10, DN. 3" (80 mm)</t>
  </si>
  <si>
    <t>6.4.3.9</t>
  </si>
  <si>
    <t>Pemasangan 1 m pipa PPR PN 10, DN. 4" (100 mm)</t>
  </si>
  <si>
    <t>6.4.3.10</t>
  </si>
  <si>
    <t>Pemasangan 1 m pipa PPR PN 10, DN. 6" (150 mm)</t>
  </si>
  <si>
    <t>6.4.3.11</t>
  </si>
  <si>
    <t>Pemasangan 1 m pipa PPR PN 20, DN. 1/2" (15 mm)</t>
  </si>
  <si>
    <t>6.4.3.12</t>
  </si>
  <si>
    <t>Pemasangan 1 m pipa PPR PN 20, DN. 3/4" (20 mm)</t>
  </si>
  <si>
    <t>6.4.3.13</t>
  </si>
  <si>
    <t>Pemasangan 1 m pipa PPR PN 20, DN. 1" (25 mm)</t>
  </si>
  <si>
    <t>6.4.3.14</t>
  </si>
  <si>
    <t>Pemasangan 1 m pipa PPR PN 20, DN. 1-1/4" (32 mm)</t>
  </si>
  <si>
    <t>6.4.3.15</t>
  </si>
  <si>
    <t>Pemasangan 1 m pipa PPR PN 20, DN. 1-1/2" (40 mm)</t>
  </si>
  <si>
    <t>6.4.3.16</t>
  </si>
  <si>
    <t>Pemasangan 1 m pipa PPR PN 20, DN. 2" (50 mm)</t>
  </si>
  <si>
    <t>6.4.3.17</t>
  </si>
  <si>
    <t>Pemasangan 1 m pipa PPR PN 20, DN. 2-1/2" (65 mm)</t>
  </si>
  <si>
    <t>6.4.3.18</t>
  </si>
  <si>
    <t>Pemasangan 1 m pipa PPR PN 20, DN. 3" (80 mm)</t>
  </si>
  <si>
    <t>6.4.3.19</t>
  </si>
  <si>
    <t>Pemasangan 1 m pipa PPR PN 20, DN. 4" (100 mm)</t>
  </si>
  <si>
    <t>6.4.3.20</t>
  </si>
  <si>
    <t>Pemasangan 1 m pipa PPR PN 20, DN. 6" (150 mm)</t>
  </si>
  <si>
    <t>6.4.4</t>
  </si>
  <si>
    <t>Pipa BS (Black Steel)</t>
  </si>
  <si>
    <t>6.4.4.1</t>
  </si>
  <si>
    <t>Pemasangan 1 m pipa BS MED CLASS, DN. 1/2" (15 mm)</t>
  </si>
  <si>
    <t>6.4.4.2</t>
  </si>
  <si>
    <t>Pemasangan 1 m pipa BS MED CLASS, DN. 3/4" (20 mm)</t>
  </si>
  <si>
    <t>6.4.4.3</t>
  </si>
  <si>
    <t>Pemasangan 1 m pipa BS MED CLASS, DN. 1" (25 mm)</t>
  </si>
  <si>
    <t>6.4.4.4</t>
  </si>
  <si>
    <t>Pemasangan 1 m pipa BS MED CLASS, DN. 1-1/4" (32 mm)</t>
  </si>
  <si>
    <t>6.4.4.5</t>
  </si>
  <si>
    <t>Pemasangan 1 m pipa BS MED CLASS, DN. 1-1/2" (40 mm)</t>
  </si>
  <si>
    <t>6.4.4.6</t>
  </si>
  <si>
    <t>Pemasangan 1 m pipa BS MED CLASS, DN. 2" (50 mm)</t>
  </si>
  <si>
    <t>6.4.4.7</t>
  </si>
  <si>
    <t>Pemasangan 1 m pipa BS MED CLASS, DN. 2-1/2" (65 mm)</t>
  </si>
  <si>
    <t>6.4.4.8</t>
  </si>
  <si>
    <t>Pemasangan 1 m pipa BS MED CLASS, DN. 3" (80 mm)</t>
  </si>
  <si>
    <t>6.4.4.9</t>
  </si>
  <si>
    <t>Pemasangan 1 m pipa BS MED CLASS, DN. 4" (100 mm)</t>
  </si>
  <si>
    <t>6.4.4.10</t>
  </si>
  <si>
    <t>Pemasangan 1 m pipa BS MED CLASS, DN. 5" (125 mm)</t>
  </si>
  <si>
    <t>6.4.4.11</t>
  </si>
  <si>
    <t>Pemasangan 1 m pipa BS MED CLASS, DN. 6" (150 mm)</t>
  </si>
  <si>
    <t>6.4.4.12</t>
  </si>
  <si>
    <t>Pemasangan 1 m pipa BS MED CLASS, DN. 8" (200 mm)</t>
  </si>
  <si>
    <t>6.4.4.13</t>
  </si>
  <si>
    <t>Pemasangan 1 m pipa BS MED CLASS, DN. 10" (250 mm)</t>
  </si>
  <si>
    <t>6.4.4.14</t>
  </si>
  <si>
    <t>Pemasangan 1 m pipa BS MED CLASS, DN. 12" (300 mm)</t>
  </si>
  <si>
    <t>6.4.4.15</t>
  </si>
  <si>
    <t>Pemasangan 1 m pipa BS MED CLASS, DN. 14" (350 mm)</t>
  </si>
  <si>
    <t>6.4.4.16</t>
  </si>
  <si>
    <t>Pemasangan 1 m pipa BS MED CLASS, DN. 16" (400 mm)</t>
  </si>
  <si>
    <t>6.4.4.17</t>
  </si>
  <si>
    <t>Pemasangan 1 m pipa BS SCH 40, DN. 1/2" (15 mm)</t>
  </si>
  <si>
    <t>6.4.4.18</t>
  </si>
  <si>
    <t>Pemasangan 1 m pipa BS SCH 40, DN. 3/4" (20 mm)</t>
  </si>
  <si>
    <t>6.4.4.19</t>
  </si>
  <si>
    <t>Pemasangan 1 m pipa BS SCH 40, DN. 1" (25 mm)</t>
  </si>
  <si>
    <t>6.4.4.20</t>
  </si>
  <si>
    <t>Pemasangan 1 m pipa BS SCH 40, DN. 1-1/4" (32 mm)</t>
  </si>
  <si>
    <t>6.4.4.21</t>
  </si>
  <si>
    <t>Pemasangan 1 m pipa BS SCH 40, DN. 1-1/2" (40 mm)</t>
  </si>
  <si>
    <t>6.4.4.22</t>
  </si>
  <si>
    <t>Pemasangan 1 m pipa BS SCH 40, DN. 2" (50 mm)</t>
  </si>
  <si>
    <t>6.4.4.23</t>
  </si>
  <si>
    <t>Pemasangan 1 m pipa BS SCH 40, DN. 2-1/2" (65 mm)</t>
  </si>
  <si>
    <t>6.4.4.24</t>
  </si>
  <si>
    <t>Pemasangan 1 m pipa BS SCH 40, DN. 3" (80 mm)</t>
  </si>
  <si>
    <t>6.4.4.25</t>
  </si>
  <si>
    <t>Pemasangan 1 m pipa BS SCH 40, DN. 4" (100 mm)</t>
  </si>
  <si>
    <t>6.4.4.26</t>
  </si>
  <si>
    <t>Pemasangan 1 m pipa BS SCH 40, DN. 5" (125 mm)</t>
  </si>
  <si>
    <t>6.4.4.27</t>
  </si>
  <si>
    <t>Pemasangan 1 m pipa BS SCH 40, DN. 6" (150 mm)</t>
  </si>
  <si>
    <t>6.4.4.28</t>
  </si>
  <si>
    <t>Pemasangan 1 m pipa BS SCH 40, DN. 8" (200 mm)</t>
  </si>
  <si>
    <t>6.4.4.29</t>
  </si>
  <si>
    <t>Pemasangan 1 m pipa BS SCH 40, DN. 10" (250 mm)</t>
  </si>
  <si>
    <t>6.4.4.30</t>
  </si>
  <si>
    <t>Pemasangan 1 m pipa BS SCH 40, DN. 12" (300 mm)</t>
  </si>
  <si>
    <t>6.4.4.31</t>
  </si>
  <si>
    <t>Pemasangan 1 m pipa BS SCH 40, DN. 14" (350 mm)</t>
  </si>
  <si>
    <t>6.4.4.32</t>
  </si>
  <si>
    <t>Pemasangan 1 m pipa BS SCH 40, DN. 16" (400 mm)</t>
  </si>
  <si>
    <t>6.4.5</t>
  </si>
  <si>
    <t>Pipa Tanah</t>
  </si>
  <si>
    <t>6.4.5.1</t>
  </si>
  <si>
    <t>Pemasangan 1 m’ Pipa Air Limbah Jenis Pipa Tanah, DN. 6" (150 mm)</t>
  </si>
  <si>
    <t>6.4.5.2</t>
  </si>
  <si>
    <t>Pemasangan 1 m’ Pipa Air Limbah Jenis Pipa Tanah, DN. 8" (200 mm)</t>
  </si>
  <si>
    <t>6.4.6</t>
  </si>
  <si>
    <t>Pipa HDPE/PE</t>
  </si>
  <si>
    <t>6.4.7</t>
  </si>
  <si>
    <t>Pipa DCI (Ductile Cast Iron)</t>
  </si>
  <si>
    <t>6.4.8</t>
  </si>
  <si>
    <t>Pipa Karbon</t>
  </si>
  <si>
    <t>6.5</t>
  </si>
  <si>
    <t>AKSESORIES PIPA</t>
  </si>
  <si>
    <t>6.5.1</t>
  </si>
  <si>
    <t>Gate Valve (10, 12, 16, 20, 25) K</t>
  </si>
  <si>
    <t>6.5.1.1</t>
  </si>
  <si>
    <t>Pemasangan 1 buah gate velve (10,16,20) K, dia. 1/2" (15 mm)</t>
  </si>
  <si>
    <t>6.5.1.2</t>
  </si>
  <si>
    <t>Pemasangan 1 buah gate velve (10, 16) K, dia. 3/4" (20 mm)</t>
  </si>
  <si>
    <t>6.5.1.3</t>
  </si>
  <si>
    <t>Pemasangan 1 buah gate velve (10, 16, 20) K, dia. 1" (25 mm)</t>
  </si>
  <si>
    <t>6.5.1.4</t>
  </si>
  <si>
    <t>Pemasangan 1 buah gate velve (10, 16) K, dia. 1-1/4" (32 mm)</t>
  </si>
  <si>
    <t>6.5.1.5</t>
  </si>
  <si>
    <t>Pemasangan 1 buah gate velve (10, 16) K, dia. 1-1/2" (40 mm)</t>
  </si>
  <si>
    <t>6.5.1.6</t>
  </si>
  <si>
    <t>Pemasangan 1 buah gate velve (10, 16, 20) K, dia. 2" (50 mm)</t>
  </si>
  <si>
    <t>6.5.1.7</t>
  </si>
  <si>
    <t>Pemasangan 1 buah gate velve (10, 16, 20)K, dia. 2-1/2" (65 mm)</t>
  </si>
  <si>
    <t>6.5.1.8</t>
  </si>
  <si>
    <t>Pemasangan 1 buah gate velve (10, 16, 25) K, dia. 3" (80 mm)</t>
  </si>
  <si>
    <t>6.5.1.9</t>
  </si>
  <si>
    <t>Pemasangan 1 buah gate velve (10, 16, 25) K, dia. 4" (100 mm)</t>
  </si>
  <si>
    <t>6.5.1.10</t>
  </si>
  <si>
    <t>Pemasangan 1 buah gate velve (10, 16) K, dia. 5" (125 mm)</t>
  </si>
  <si>
    <t>6.5.1.11</t>
  </si>
  <si>
    <t>Pemasangan 1 buah gate velve (10, 12, 16, 25)K, dia. 6" (150 mm)</t>
  </si>
  <si>
    <t>6.5.1.12</t>
  </si>
  <si>
    <t>Pemasangan 1 buah gate velve (10, 16) K, dia. 8" (200 mm)</t>
  </si>
  <si>
    <t>6.5.1.13</t>
  </si>
  <si>
    <t>Pemasangan 1 buah gate velve (10, 16) K, dia. 10" (250 mm)</t>
  </si>
  <si>
    <t>6.5.1.14</t>
  </si>
  <si>
    <t>Pemasangan 1 buah gate velve (10, 16) K, dia. 12" (300 mm)</t>
  </si>
  <si>
    <t>6.5.2</t>
  </si>
  <si>
    <t>Ball Velve</t>
  </si>
  <si>
    <t>6.5.2.1</t>
  </si>
  <si>
    <t>Pemasangan 1 buah ball velve, Dia. 1/2" (15 mm)</t>
  </si>
  <si>
    <t>6.5.2.2</t>
  </si>
  <si>
    <t>Pemasangan 1 buah ball velve, Dia. 3/4" (20 mm)</t>
  </si>
  <si>
    <t>6.5.2.3</t>
  </si>
  <si>
    <t>Pemasangan 1 buah ball velve, Dia. 1" (25 mm)</t>
  </si>
  <si>
    <t>6.5.2.4</t>
  </si>
  <si>
    <t>Pemasangan 1 buah ball velve, Dia. 1-1/4" (32 mm)</t>
  </si>
  <si>
    <t>6.5.2.5</t>
  </si>
  <si>
    <t>Pemasangan 1 buah ball velve, Dia. 1-1/2" (40 mm)</t>
  </si>
  <si>
    <t>6.5.2.6</t>
  </si>
  <si>
    <t>Pemasangan 1 buah ball velve, Dia.2" (50 mm)</t>
  </si>
  <si>
    <t>6.5.2.7</t>
  </si>
  <si>
    <t>Pemasangan 1 buah ball velve, Dia.2-1/2" (65 mm)</t>
  </si>
  <si>
    <t>6.5.2.8</t>
  </si>
  <si>
    <t>Pemasangan 1 buah ball velve, Dia.3" (80 mm)</t>
  </si>
  <si>
    <t>6.5.2.9</t>
  </si>
  <si>
    <t>Pemasangan 1 buah ball velve, Dia.4" (100 mm)</t>
  </si>
  <si>
    <t>6.5.3</t>
  </si>
  <si>
    <t>Check Velve</t>
  </si>
  <si>
    <t>6.5.3.1</t>
  </si>
  <si>
    <t>Pemasangan 1 buah Check Velve 10 K, Dia. 1/2" (15 mm)</t>
  </si>
  <si>
    <t>6.5.3.2</t>
  </si>
  <si>
    <t>Pemasangan 1 buah Check Velve 10 K, Dia. 3/4" (20 mm)</t>
  </si>
  <si>
    <t>6.5.3.3</t>
  </si>
  <si>
    <t>Pemasangan 1 buah Check Velve 10 K, Dia. 1" (25 mm)</t>
  </si>
  <si>
    <t>6.5.3.4</t>
  </si>
  <si>
    <t>Pemasangan 1 buah Check Velve 10 K, Dia. 1-1/4" (32 mm)</t>
  </si>
  <si>
    <t>6.5.3.5</t>
  </si>
  <si>
    <t>Pemasangan 1 buah Check Velve 10 K, Dia. 1-1/2" (40 mm)</t>
  </si>
  <si>
    <t>6.5.3.6</t>
  </si>
  <si>
    <t>Pemasangan 1 buah Check Velve (10, 16) K, Dia. 2" (50 mm)</t>
  </si>
  <si>
    <t>6.5.3.7</t>
  </si>
  <si>
    <t>Pemasangan 1 buah Check Velve (10,16) K, Dia. 2-1/2" (65 mm)</t>
  </si>
  <si>
    <t>6.5.3.8</t>
  </si>
  <si>
    <t>Pemasangan 1 buah Check Velve (10,16) K, Dia. 3" (80 mm)</t>
  </si>
  <si>
    <t>6.5.3.9</t>
  </si>
  <si>
    <t>Pemasangan 1 buah Check Velve (10,16) K, Dia. 4" (100 mm)</t>
  </si>
  <si>
    <t>6.5.3.10</t>
  </si>
  <si>
    <t>Pemasangan 1 buah Check Velve (10, 16) K, Dia. 5" (125 mm)</t>
  </si>
  <si>
    <t>6.5.3.11</t>
  </si>
  <si>
    <t>Pemasangan 1 buah Check Velve (10, 16) K, Dia. 6" (150 mm)</t>
  </si>
  <si>
    <t>6.5.3.12</t>
  </si>
  <si>
    <t>Pemasangan 1 buah Check Velve (10, 16) K, Dia. 8" (200 mm)</t>
  </si>
  <si>
    <t>6.5.3.13</t>
  </si>
  <si>
    <t>Pemasangan 1 buah Check Velve (10,16)  K, Dia. 10" (250 mm)</t>
  </si>
  <si>
    <t>6.5.3.14</t>
  </si>
  <si>
    <t>Pemasangan 1 buah Check Velve (10, 16) K, Dia. 12" (300 mm)</t>
  </si>
  <si>
    <t>6.5.4</t>
  </si>
  <si>
    <t>Strainer</t>
  </si>
  <si>
    <t>6.5.4.1</t>
  </si>
  <si>
    <t>Pemasangan 1 buah strainer 10 K, Dia. 1/2 " (15 mm)</t>
  </si>
  <si>
    <t>6.5.4.2</t>
  </si>
  <si>
    <t>Pemasangan 1 buah strainer 10 K, Dia. 3/4 " (20 mm)</t>
  </si>
  <si>
    <t>6.5.4.3</t>
  </si>
  <si>
    <t>Pemasangan 1 buah strainer 10 K, Dia. 1 " (25 mm)</t>
  </si>
  <si>
    <t>6.5.4.4</t>
  </si>
  <si>
    <t>Pemasangan 1 buah strainer 10 K, Dia. 1-1/4 " (32 mm)</t>
  </si>
  <si>
    <t>6.5.4.5</t>
  </si>
  <si>
    <t>Pemasangan 1 buah strainer 10 K, Dia. 1-1/2 " (40 mm)</t>
  </si>
  <si>
    <t>6.5.4.6</t>
  </si>
  <si>
    <t>Pemasangan 1 buah strainer (10, 16) K, Dia. 2 " (50 mm)</t>
  </si>
  <si>
    <t>6.5.4.7</t>
  </si>
  <si>
    <t>Pemasangan 1 buah strainer (10, 16) K, Dia. 2-1/2 " (65 mm)</t>
  </si>
  <si>
    <t>6.5.4.8</t>
  </si>
  <si>
    <t>Pemasangan 1 buah strainer (10, 16) K, Dia. 3 " (80 mm)</t>
  </si>
  <si>
    <t>6.5.4.9</t>
  </si>
  <si>
    <t>Pemasangan 1 buah strainer (10, 16) K, Dia. 4" (100 mm)</t>
  </si>
  <si>
    <t>6.5.4.10</t>
  </si>
  <si>
    <t>Pemasangan 1 buah strainer (10, 16) K, Dia. 5" (125 mm)</t>
  </si>
  <si>
    <t>6.5.4.11</t>
  </si>
  <si>
    <t>Pemasangan 1 buah strainer (10, 16) K, Dia. 6" (150 mm)</t>
  </si>
  <si>
    <t>6.5.4.12</t>
  </si>
  <si>
    <t>Pemasangan 1 buah strainer (10, 16) K, Dia. 8" (200 mm)</t>
  </si>
  <si>
    <t>6.5.4.13</t>
  </si>
  <si>
    <t>Pemasangan 1 buah strainer (10, 16) K, Dia. 10" (250 mm)</t>
  </si>
  <si>
    <t>6.5.4.14</t>
  </si>
  <si>
    <t>Pemasangan 1 buah strainer (10, 16) K, Dia. 12" (300 mm)</t>
  </si>
  <si>
    <t>6.5.4.15</t>
  </si>
  <si>
    <t>Pemasangan 1 buah strainer 10 K, Dia. 14" (350 mm)</t>
  </si>
  <si>
    <t>6.5.5</t>
  </si>
  <si>
    <t>Floater Velve</t>
  </si>
  <si>
    <t>6.5.5.1</t>
  </si>
  <si>
    <t>Pemasangan 1 buah Floater Velve, Dia 1/2" ( 15 mm)</t>
  </si>
  <si>
    <t>6.5.5.2</t>
  </si>
  <si>
    <t>Pemasangan 1 buah Floater Velve, Dia 3/4" ( 20 mm)</t>
  </si>
  <si>
    <t>6.5.5.3</t>
  </si>
  <si>
    <t>Pemasangan 1 buah Floater Velve, Dia 1" ( 25 mm)</t>
  </si>
  <si>
    <t>6.5.5.4</t>
  </si>
  <si>
    <t>Pemasangan 1 buah Floater Velve Dia. 1-1/4 " (32 mm)</t>
  </si>
  <si>
    <t>6.5.5.5</t>
  </si>
  <si>
    <t>Pemasangan 1 buah Floater Velve, Dia. 1-1/2 " (40 mm)</t>
  </si>
  <si>
    <t>6.5.5.6</t>
  </si>
  <si>
    <t>Pemasangan 1 buahFloater Velve, Dia. 2 " (50 mm)</t>
  </si>
  <si>
    <t>6.5.5.7</t>
  </si>
  <si>
    <t>Pemasangan 1 buah Floater Velve, Dia. 2-1/2 " (65 mm)</t>
  </si>
  <si>
    <t>6.5.5.8</t>
  </si>
  <si>
    <t>Pemasangan 1 buah Floater Velve, Dia. 3 " (80 mm)</t>
  </si>
  <si>
    <t>6.5.5.9</t>
  </si>
  <si>
    <t>Pemasangan 1 buah Floater Velve, Dia. 4" (100 mm)</t>
  </si>
  <si>
    <t>6.5.5.10</t>
  </si>
  <si>
    <t>Pemasangan 1 buah Floater Velve, Dia. 5" (125 mm)</t>
  </si>
  <si>
    <t>6.5.5.11</t>
  </si>
  <si>
    <t>Pemasangan 1 buah Floater Velve, Dia. 6" (150 mm)</t>
  </si>
  <si>
    <t>6.5.5.12</t>
  </si>
  <si>
    <t>Pemasangan 1 buah Floater Velve, Dia. 8" (200 mm)</t>
  </si>
  <si>
    <t>6.5.5.13</t>
  </si>
  <si>
    <t>Pemasangan 1 buah Floater Velve, Dia. 10" (250 mm)</t>
  </si>
  <si>
    <t>6.5.5.14</t>
  </si>
  <si>
    <t>Pemasangan 1 buah Floater Velve, Dia. 12" (300 mm)</t>
  </si>
  <si>
    <t>6.5.6</t>
  </si>
  <si>
    <t>Foot Velve</t>
  </si>
  <si>
    <t>6.5.6.1</t>
  </si>
  <si>
    <t>Pemasangan 1 buah Foot Velve, Dia 1/2" ( 15 mm)</t>
  </si>
  <si>
    <t>6.5.6.2</t>
  </si>
  <si>
    <t>Pemasangan 1 buah Foot Velve, Dia 3/4" ( 20 mm)</t>
  </si>
  <si>
    <t>6.5.6.3</t>
  </si>
  <si>
    <t>6.5.6.6</t>
  </si>
  <si>
    <t>Pemasangan 1 buah Foot Velve, Dia. 2 " (50 mm)</t>
  </si>
  <si>
    <t>6.5.6.7</t>
  </si>
  <si>
    <t>Pemasangan 1 buah Foot Velve, Dia. 2-1/2 " (65 mm)</t>
  </si>
  <si>
    <t>6.5.6.8</t>
  </si>
  <si>
    <t>Pemasangan 1 buah Foot Velve, Dia. 3 " (80 mm)</t>
  </si>
  <si>
    <t>6.5.6.9</t>
  </si>
  <si>
    <t>Pemasangan 1 buah Foot Velve, Dia. 4" (100 mm)</t>
  </si>
  <si>
    <t>6.5.6.10</t>
  </si>
  <si>
    <t>Pemasangan 1 buah Foot Velve, Dia. 5" (125 mm)</t>
  </si>
  <si>
    <t>6.5.6.11</t>
  </si>
  <si>
    <t>Pemasangan 1 buah Foot Velve, Dia. 6" (150 mm)</t>
  </si>
  <si>
    <t>6.5.6.12</t>
  </si>
  <si>
    <t>6.5.6.13</t>
  </si>
  <si>
    <t>Pemasangan 1 buah Foot Velve, Dia. 10" (250 mm)</t>
  </si>
  <si>
    <t>6.5.6.14</t>
  </si>
  <si>
    <t>Pemasangan 1 buah Foot Velve, Dia. 12" (300 mm)</t>
  </si>
  <si>
    <t>6.5.6.15</t>
  </si>
  <si>
    <t>Pemasangan 1 buah Foot Velve, Dia. 14" (350 mm)</t>
  </si>
  <si>
    <t>6.5.7</t>
  </si>
  <si>
    <t>Flexible Joint</t>
  </si>
  <si>
    <t>6.5.7.1</t>
  </si>
  <si>
    <t>Pemasangan 1 buah Flexible Joint 10 K, Dia 1/2" ( 15 mm)</t>
  </si>
  <si>
    <t>6.5.7.2</t>
  </si>
  <si>
    <t>Pemasangan 1 buah Flexible Joint 10 K, Dia 3/4" ( 20 mm)</t>
  </si>
  <si>
    <t>6.5.7.3</t>
  </si>
  <si>
    <t>Pemasangan 1 buah Flexible Joint 10 K, Dia 1" ( 25 mm)</t>
  </si>
  <si>
    <t>6.5.7.4</t>
  </si>
  <si>
    <t>Pemasangan 1 buah Flexible Joint 10 K, Dia. 1-1/4 " (32 mm)</t>
  </si>
  <si>
    <t>6.5.7.5</t>
  </si>
  <si>
    <t>Pemasangan 1 buah Flexible Joint 10 K, Dia. 1-1/2 " (40 mm)</t>
  </si>
  <si>
    <t>6.5.7.6</t>
  </si>
  <si>
    <t>Pemasangan 1 buah Flexible Joint (10, 20) K, Dia. 2 " (50 mm)</t>
  </si>
  <si>
    <t>6.5.7.7</t>
  </si>
  <si>
    <t>Pemasangan 1 buah Flexible Joint (10, 20) K, Dia. 2-1/2 " (65 mm)</t>
  </si>
  <si>
    <t>6.5.7.8</t>
  </si>
  <si>
    <t>Pemasangan 1 buah Flexible Joint (10, 20) K, Dia. 3 " (80 mm)</t>
  </si>
  <si>
    <t>6.5.7.9</t>
  </si>
  <si>
    <t>Pemasangan 1 buah Flexible Joint (10, 20) K, Dia. 4" (100 mm)</t>
  </si>
  <si>
    <t>6.5.7.10</t>
  </si>
  <si>
    <t>Pemasangan 1 buah Flexible Joint (10, 20) K, Dia. 5" (125 mm)</t>
  </si>
  <si>
    <t>6.5.7.11</t>
  </si>
  <si>
    <t>Pemasangan 1 buah Flexible Joint (10, 20) K, Dia. 6" (150 mm)</t>
  </si>
  <si>
    <t>6.5.7.12</t>
  </si>
  <si>
    <t>Pemasangan 1 buah Flexible Joint (10, 20) K, Dia. 8" (200 mm)</t>
  </si>
  <si>
    <t>6.5.7.13</t>
  </si>
  <si>
    <t>Pemasangan 1 buah Flexible Joint (10, 20) K, Dia. 10" (250 mm)</t>
  </si>
  <si>
    <t>6.5.7.14</t>
  </si>
  <si>
    <t>Pemasangan 1 buah Flexible Joint 10 K, Dia. 12" (300 mm)</t>
  </si>
  <si>
    <t>6.5.7.23</t>
  </si>
  <si>
    <t>Pemasangan 1 buah Flexible Joint 20 K, Dia. 12" (300 mm)</t>
  </si>
  <si>
    <t>6.5.7.24</t>
  </si>
  <si>
    <t>Pemasangan 1 buah Flexible Joint 20 K, Dia. 14" (350 mm)</t>
  </si>
  <si>
    <t>6.5.8</t>
  </si>
  <si>
    <t>Butterfly Velve</t>
  </si>
  <si>
    <t>6.5.8.1</t>
  </si>
  <si>
    <t>Pemasangan 1 buah Butterfly Velve, Dia. 2" (50 mm)</t>
  </si>
  <si>
    <t>6.5.8.2</t>
  </si>
  <si>
    <t>Pemasangan 1 buah Butterfly Velve, Dia. 2-1/2 " (65 mm)</t>
  </si>
  <si>
    <t>6.5.8.3</t>
  </si>
  <si>
    <t>Pemasangan 1 buah Butterfly Velve, Dia. 3 " (80 mm)</t>
  </si>
  <si>
    <t>6.5.8.4</t>
  </si>
  <si>
    <t>Pemasangan 1 buah Butterfly Velve, Dia. 4" (100 mm)</t>
  </si>
  <si>
    <t>6.5.8.5</t>
  </si>
  <si>
    <t>Pemasangan 1 buah Buttefly Velve, Dia. 5" (125 mm)</t>
  </si>
  <si>
    <t>6.5.8.6</t>
  </si>
  <si>
    <t>Pemasangan 1 buah Butterfly Velve, Dia. 6" (150 mm)</t>
  </si>
  <si>
    <t>6.5.8.7</t>
  </si>
  <si>
    <t>Pemasangan 1 buah Butterfly Velve, Dia. 8" (200 mm)</t>
  </si>
  <si>
    <t>6.5.8.8</t>
  </si>
  <si>
    <t>Pemasangan 1 buah Butterfly Velve, Dia. 10" (250 mm)</t>
  </si>
  <si>
    <t>6.5.8.9</t>
  </si>
  <si>
    <t>Pemasangan 1 buah Butterfly Velve, Dia. 12" (300 mm)</t>
  </si>
  <si>
    <t>6.5.8.10</t>
  </si>
  <si>
    <t>6.5.9</t>
  </si>
  <si>
    <t>Globe Velve</t>
  </si>
  <si>
    <t>6.5.9.1</t>
  </si>
  <si>
    <t>Pemasangan 1 buah Globe Velve, Dia. 1/2" (15 mm)</t>
  </si>
  <si>
    <t>6.5.9.2</t>
  </si>
  <si>
    <t>Pemasangan 1 buah Globe Velve, Dia 3/4" ( 20 mm)</t>
  </si>
  <si>
    <t>6.5.9.3</t>
  </si>
  <si>
    <t>Pemasangan 1 buah Globe Velve, Dia 1" ( 25 mm)</t>
  </si>
  <si>
    <t>6.5.9.4</t>
  </si>
  <si>
    <t>Pemasangan 1 buah Globe Velve, Dia. 1-1/4 " (32 mm)</t>
  </si>
  <si>
    <t>6.5.9.5</t>
  </si>
  <si>
    <t>Pemasangan 1 buah Globe Velve, Dia. 1-1/2 " (40 mm)</t>
  </si>
  <si>
    <t>6.5.9.6</t>
  </si>
  <si>
    <t>Pemasangan 1 buah Globe Velve, Dia. 2 " (50 mm)</t>
  </si>
  <si>
    <t>6.5.9.7</t>
  </si>
  <si>
    <t>Pemasangan 1 buah Globe Velve, Dia. 2-1/2 " (65 mm)</t>
  </si>
  <si>
    <t>6.5.9.8</t>
  </si>
  <si>
    <t>Pemasangan 1 buah Globe Velve, Dia. 3 " (80 mm)</t>
  </si>
  <si>
    <t>6.5.9.9</t>
  </si>
  <si>
    <t>6.5.9.10</t>
  </si>
  <si>
    <t>6.5.9.11</t>
  </si>
  <si>
    <t>Pemasangan 1 buah Globe Velve, Dia. 6" (150 mm)</t>
  </si>
  <si>
    <t>6.5.9.12</t>
  </si>
  <si>
    <t>Pemasangan 1 buah Globe Velve, Dia. 8" (200 mm)</t>
  </si>
  <si>
    <t>6.5.10</t>
  </si>
  <si>
    <t>Pressure Gauge</t>
  </si>
  <si>
    <t>6.5.10.1</t>
  </si>
  <si>
    <t>Pemasangan 1 buah Pressure Gauge (16,25, 40) K + Gate Velve, Dia. 1/2" (15 mm)</t>
  </si>
  <si>
    <t>6.5.10.2</t>
  </si>
  <si>
    <t>Pemasangan 1 buah Pressure Gauge (16, 25, 40) K + Gate Valve, Dia 1" ( 25 mm)</t>
  </si>
  <si>
    <t>6.5.10.3</t>
  </si>
  <si>
    <t>Pemasangan 1 buah Pressure Gauge (16, 25) K + Gate Valve, Dia. 2 " (50 mm)</t>
  </si>
  <si>
    <t>6.5.10.4</t>
  </si>
  <si>
    <t>Pemasangan 1 buah Pressure Gauge + Gate Valve, Dia. 3 " (80 mm)</t>
  </si>
  <si>
    <t>6.5.10.5</t>
  </si>
  <si>
    <t>Pemasangan 1 buah Pressure Gauge 16 K + Gate Vave, Dia. 4" (100 mm)</t>
  </si>
  <si>
    <t>6.5.10.9</t>
  </si>
  <si>
    <t>Pemasangan 1 buah Pressure Gauge 25 K +Gate Valve, Dia. 4" (100 mm)</t>
  </si>
  <si>
    <t>6.5.10.10</t>
  </si>
  <si>
    <t>Pemasangan 1 buah Pressure Gauge 25 K + Gate Valve, Dia. 3" (80 mm)</t>
  </si>
  <si>
    <t>6.5.11</t>
  </si>
  <si>
    <t>Water Meter</t>
  </si>
  <si>
    <t>6.5.11.1</t>
  </si>
  <si>
    <t>Pemasangan 1 buah Water Meter, Dia. 1/2" (15 mm)</t>
  </si>
  <si>
    <t>6.5.11.2</t>
  </si>
  <si>
    <t>Pemasangan 1 buah Water Meter, Dia. 3/4" (20 mm)</t>
  </si>
  <si>
    <t>6.5.11.3</t>
  </si>
  <si>
    <t>Pemasangan 1 buah Water Meter, Dia 1" ( 25 mm)</t>
  </si>
  <si>
    <t>6.5.11.4</t>
  </si>
  <si>
    <t>Pemasangan 1 buah Water Meter, Dia 1-1/2" ( 40 mm)</t>
  </si>
  <si>
    <t>6.5.11.5</t>
  </si>
  <si>
    <t>Pemasangan 1 buah Water Meter, Dia. 2 " (50 mm)</t>
  </si>
  <si>
    <t>6.5.11.6</t>
  </si>
  <si>
    <t>Pemasangan 1 buah Water Meter, Dia. 3 " (80 mm)</t>
  </si>
  <si>
    <t>6.5.11.7</t>
  </si>
  <si>
    <t>Pemasangan 1 buah Water Meter, Dia. 4" (100 mm)</t>
  </si>
  <si>
    <t>6.5.11.8</t>
  </si>
  <si>
    <t>Pemasangan 1 buah Water Meter, Dia. 6" (150 mm)</t>
  </si>
  <si>
    <t>6.5.11.9</t>
  </si>
  <si>
    <t>Pemasangan 1 buah Water Meter, Dia. 8" (200 mm)</t>
  </si>
  <si>
    <t>6.5.11.10</t>
  </si>
  <si>
    <t>Pemasangan 1 buah Water Meter, Dia. 10" (250 mm)</t>
  </si>
  <si>
    <t>6.5.11.11</t>
  </si>
  <si>
    <t>Pemasangan 1 buah Water Meter, Dia. 12" (300 mm)</t>
  </si>
  <si>
    <t>6.5.11.12</t>
  </si>
  <si>
    <t>Pemasangan 1 buah Water Meter, Dia. 16" (400 mm)</t>
  </si>
  <si>
    <t>6.5.11.13</t>
  </si>
  <si>
    <t>Pemasangan 1 buah Flow Meter Analog 10 K, Dia. 4" (100 mm)</t>
  </si>
  <si>
    <t>6.5.12.</t>
  </si>
  <si>
    <t>Clean Out</t>
  </si>
  <si>
    <t>6.5.12.1</t>
  </si>
  <si>
    <t>Pemasangan 1 buah Clean Out, Dia. 2" (50 mm)</t>
  </si>
  <si>
    <t>6.5.12.2</t>
  </si>
  <si>
    <t>Pemasangan 1 buah Clean Out, Dia. 2-1/2" (65 mm)</t>
  </si>
  <si>
    <t>6.5.12.3</t>
  </si>
  <si>
    <t>Pemasangan 1 buah Clean Out, Dia. 3" (80 mm)</t>
  </si>
  <si>
    <t>6.5.12.4</t>
  </si>
  <si>
    <t>Pemasangan 1 buah Clean Out, Dia. 4" (100 mm)</t>
  </si>
  <si>
    <t>6.5.12.5</t>
  </si>
  <si>
    <t>Pemasangan 1 buah Clean Out, Dia. 5" (125 mm)</t>
  </si>
  <si>
    <t>6.5.12.6</t>
  </si>
  <si>
    <t>Pemasangan 1 buah Clean Out, Dia. 6" (150 mm)</t>
  </si>
  <si>
    <t>6.5.12.7</t>
  </si>
  <si>
    <t>Pemasangan 1 buah Clean Out, Dia. 8" (200 mm)</t>
  </si>
  <si>
    <t>6.5.13</t>
  </si>
  <si>
    <t>Roof Drain</t>
  </si>
  <si>
    <t>6.5.13.1</t>
  </si>
  <si>
    <t>Pemasangan 1 buahRoof Drain, Dia. 2" (50 mm)</t>
  </si>
  <si>
    <t>6.5.13.2</t>
  </si>
  <si>
    <t>Pemasangan 1 buahRoof Drain, Dia. 2-1/2" (65 mm)</t>
  </si>
  <si>
    <t>6.5.13.3</t>
  </si>
  <si>
    <t>Pemasangan 1 buahRoof Drain, Dia. 3" (80 mm)</t>
  </si>
  <si>
    <t>6.5.13.4</t>
  </si>
  <si>
    <t>Pemasangan 1 buahRoof Drain, Dia. 4" (100 mm)</t>
  </si>
  <si>
    <t>6.5.13.5</t>
  </si>
  <si>
    <t>Pemasangan 1 buahRoof Drain, Dia. 5" (125 mm)</t>
  </si>
  <si>
    <t>6.5.13.6</t>
  </si>
  <si>
    <t>Pemasangan 1 buahRoof Drain, Dia. 6" (150 mm)</t>
  </si>
  <si>
    <t>6.5.13.7</t>
  </si>
  <si>
    <t>Pemasangan 1 buahRoof Drain, Dia. 8" (200 mm)</t>
  </si>
  <si>
    <t>6.5.13.8</t>
  </si>
  <si>
    <t>Pemasangan 1 buahRoof Drain, Dia. 10" (200 mm)</t>
  </si>
  <si>
    <t>6.5.13.9</t>
  </si>
  <si>
    <t>Pemasangan 1 buahRoof Drain, Dia. 12" (300 mm)</t>
  </si>
  <si>
    <t>6.5.14</t>
  </si>
  <si>
    <t>Floor Clean Out (fCO)</t>
  </si>
  <si>
    <t>6.5.14.1</t>
  </si>
  <si>
    <t>Pemasangan 1 buah Floor Clean Out, Dia. 2" (50 mm)</t>
  </si>
  <si>
    <t>6.5.14.2</t>
  </si>
  <si>
    <t>Pemasangan 1 buah Floor Clean Out, Dia. 2-1/2" (65 mm)</t>
  </si>
  <si>
    <t>6.5.14.3</t>
  </si>
  <si>
    <t>Pemasangan 1 buah Floor Clean Out, Dia. 3" (80 mm)</t>
  </si>
  <si>
    <t>6.5.14.4</t>
  </si>
  <si>
    <t>Pemasangan 1 buah Floor Clean Out, Dia. 4" (100 mm)</t>
  </si>
  <si>
    <t>6.5.14.5</t>
  </si>
  <si>
    <t>Pemasangan 1 buah Floor Clean Out, Dia. 6" (150 mm)</t>
  </si>
  <si>
    <t>6.5.14.6</t>
  </si>
  <si>
    <t>Pemasangan 1 buah Floor Clean Out, Dia. 8" (200 mm)</t>
  </si>
  <si>
    <t>6.5.15</t>
  </si>
  <si>
    <t>Vent Cap</t>
  </si>
  <si>
    <t>6.5.15.1</t>
  </si>
  <si>
    <t>Pemasangan 1 buah Vent Cap, Dia 2" (50 mm)</t>
  </si>
  <si>
    <t>6.5.15.2</t>
  </si>
  <si>
    <t>Pemasangan 1 buah Vent Cap, Dia 3" (80 mm)</t>
  </si>
  <si>
    <t>6.5.15.3</t>
  </si>
  <si>
    <t>Pemasangan 1 buah Vent Cap, Dia 4" (100 mm)</t>
  </si>
  <si>
    <t>6.5.16</t>
  </si>
  <si>
    <t>Pressure Recude Velve (PRV)</t>
  </si>
  <si>
    <t>6.5.16.1</t>
  </si>
  <si>
    <t>Pemasangan 1 buah PRV, Dia 2" (50 mm)</t>
  </si>
  <si>
    <t>6.5.16.2</t>
  </si>
  <si>
    <t>Pemasangan 1 buah PRV, Dia 2-1/2" (65 mm)</t>
  </si>
  <si>
    <t>6.5.16.3</t>
  </si>
  <si>
    <t>Pemasangan 1 buah PRV Dia 3" (80 mm)</t>
  </si>
  <si>
    <t>6.5.16.4</t>
  </si>
  <si>
    <t>Pemasangan 1 buah PRV Dia 4" (100 mm)</t>
  </si>
  <si>
    <t>6.5.16.5</t>
  </si>
  <si>
    <t>Pemasangan 1 buah PRV Dia 6" (150 mm)</t>
  </si>
  <si>
    <t>6.5.16.6</t>
  </si>
  <si>
    <t>Pemasangan 1 buah PRV Dia 8" (200 mm)</t>
  </si>
  <si>
    <t>6.5.17</t>
  </si>
  <si>
    <t>Automatic Air Vent (AAV)</t>
  </si>
  <si>
    <t>6.5.17.1</t>
  </si>
  <si>
    <t>Pemasangan 1 buah Automatic Air Vent, Dia. 1/2" (15 mm)</t>
  </si>
  <si>
    <t>6.5.17.2</t>
  </si>
  <si>
    <t>Pemasangan 1 buah Automatic Air Vent, Dia. 1" (25 mm)</t>
  </si>
  <si>
    <t>6.5.17.3</t>
  </si>
  <si>
    <t>Pemasangan 1 buah Automatic Air Vent, Dia. 2" (50 mm)</t>
  </si>
  <si>
    <t>6.5.17.4</t>
  </si>
  <si>
    <t>Pemasangan 1 buah Automatic Air Vent, Dia. 3" (80 mm)</t>
  </si>
  <si>
    <t>6.5.17.5</t>
  </si>
  <si>
    <t>Pemasangan 1 buah Automatic Air Vent, Dia. 4" (100 mm)</t>
  </si>
  <si>
    <t>6.5.17.6</t>
  </si>
  <si>
    <t>Pemasangan 1 buah Automatic Air Vent, Dia. 6" (150 mm)</t>
  </si>
  <si>
    <t>6.5.18</t>
  </si>
  <si>
    <t>Vent Out</t>
  </si>
  <si>
    <t>6.5.18.1</t>
  </si>
  <si>
    <t>Pemasangan 1 buah Vent Out, Dia. 2" (50 mm)</t>
  </si>
  <si>
    <t>6.5.19</t>
  </si>
  <si>
    <t>Water Level Control (WLC) &amp; Pengkabelan</t>
  </si>
  <si>
    <t>6.5.19.1</t>
  </si>
  <si>
    <t>Pemasangan 1 buah Vent OutWLC &amp; Pengkabelan</t>
  </si>
  <si>
    <t>buha</t>
  </si>
  <si>
    <t>6.5.20</t>
  </si>
  <si>
    <t>Pressure Switch</t>
  </si>
  <si>
    <t>6.5.20.1</t>
  </si>
  <si>
    <t>Pemasangan 1 buah Pressure Switch</t>
  </si>
  <si>
    <t>6.5.21</t>
  </si>
  <si>
    <t>Header Pipa PVC</t>
  </si>
  <si>
    <t>6.5.21.1</t>
  </si>
  <si>
    <t>Pemasangan 1 m Header Pipa PVC AW, Dia. 4" ( 100 mm)</t>
  </si>
  <si>
    <t>6.5.22</t>
  </si>
  <si>
    <t>Header Pipa Galvanis MED Class</t>
  </si>
  <si>
    <t>6.5.22.1</t>
  </si>
  <si>
    <t>Pemasangan 1 m Header Pipa Galvanis Medd Class, Dia. 4" ( 100 mm)</t>
  </si>
  <si>
    <t>6.5.23</t>
  </si>
  <si>
    <t>Header Pipa Black Steel (BS)</t>
  </si>
  <si>
    <t>6.5.23.1</t>
  </si>
  <si>
    <t>Pemasangan 1 m Header Pipa BS SCH 40, Dia. 8" ( 200 mm)</t>
  </si>
  <si>
    <t>6.5.23.2</t>
  </si>
  <si>
    <t>Pemasangan 1 m Header Pipa BS SCH 40, Dia. 10" ( 250 mm)</t>
  </si>
  <si>
    <t>6.5.24</t>
  </si>
  <si>
    <t>Dop PVC</t>
  </si>
  <si>
    <t>6.5.24.1</t>
  </si>
  <si>
    <t>Pemasangan 1 buah DOP PVC dia. 3" (80 mm)</t>
  </si>
  <si>
    <t>6.5.24.2</t>
  </si>
  <si>
    <t>Pemasangan 1 buah DOP PVC dia. 4" (100 mm)</t>
  </si>
  <si>
    <t>6.5.24.3</t>
  </si>
  <si>
    <t>Pemasangan 1 buah DOP PVC dia. 6" (150 mm)</t>
  </si>
  <si>
    <t>6.6</t>
  </si>
  <si>
    <t>SISTEM AIR HUJAN</t>
  </si>
  <si>
    <t>6.6.1</t>
  </si>
  <si>
    <t>6.6.1.1</t>
  </si>
  <si>
    <t>Pembuatan 1 buah sumur Resapan Air Hujan diameter 80 cm, t=100 cm</t>
  </si>
  <si>
    <t>7</t>
  </si>
  <si>
    <t>JALAN PADA PEMUKIMAN</t>
  </si>
  <si>
    <t>7.1</t>
  </si>
  <si>
    <t>JALAN PAVING BLOCK</t>
  </si>
  <si>
    <t>7.1.1</t>
  </si>
  <si>
    <t>Pemasangan Paving Block</t>
  </si>
  <si>
    <t>7.1.1.1</t>
  </si>
  <si>
    <t>Pemasangan 1 m2 Paving Block (Blok Beton) Natural Tebal 6 cm fc'20 Mpa dan Pengunci Uskup untuk Jalan Lingkungan (Jalan Lokal) Secara Manual</t>
  </si>
  <si>
    <t>7.1.1.2</t>
  </si>
  <si>
    <t>Pemasangan 1 m2 Paving Block (Blok Beton) Natural Tebal 6 cm fc'25 Mpa dan Pengunci Uskup untuk Jalan Lakses/Penghubug (Jalan Kolektor) Secara Manual</t>
  </si>
  <si>
    <t>7.1.1.3</t>
  </si>
  <si>
    <t>Pemasangan 1 m2 Paving Block (Blok Beton) Natural Tebal 6 cm fc'20 Mpa dan Pengunci Uskup untuk Jalan Lingkungan (Jalan Lokal) Secara semi mekanis</t>
  </si>
  <si>
    <t>7.1.1.4</t>
  </si>
  <si>
    <t>Pemasangan 1 m2 Paving Block (Blok Beton) Natural Tebal 6 cm fc'25 Mpa dan Pengunci Uskup untuk Jalan Lingkungan (Jalan Lokal) Secara semi mekanis</t>
  </si>
  <si>
    <t>7.1.1.5</t>
  </si>
  <si>
    <t>Pemasangan 1 m2 Paving Block (Blok Beton) Natural Tebal 8 cm fc'20 Mpa dan Pengunci Topi Uskup untuk Jalan Lingkungan (Jalan Lokal) Secara manual</t>
  </si>
  <si>
    <t>7.1.1.6</t>
  </si>
  <si>
    <t>Pemasangan 1 m2 Paving Block (Blok Beton) Natural Tebal 8 cm fc'25 Mpa dan Pengunci Topi Uskup untuk Jalan akses/penghubung (Jalan kolektor) Secara manual</t>
  </si>
  <si>
    <t>7.1.1.7</t>
  </si>
  <si>
    <t>Pemasangan 1 m2 Paving Block (Blok Beton) Natural Tebal 8 cm fc'20 Mpa dan Pengunci Topi Uskup untuk Jalan Lingkungan (Jalan Lokal) Secara semi mekanis</t>
  </si>
  <si>
    <t>7.1.1.8</t>
  </si>
  <si>
    <t>Pemasangan 1 m2 Paving Block (Blok Beton) Natural Tebal 8 cm fc'25 Mpa dan Pengunci Topi Uskup untuk Jalan Akses/Penghubung  (Jalan Kolektor) Secara semi mekanis</t>
  </si>
  <si>
    <t>7.1.2</t>
  </si>
  <si>
    <t>Pemasangan Kanstin</t>
  </si>
  <si>
    <t>7.1.2.1</t>
  </si>
  <si>
    <t>Pemasangan 1 m' Kanstin, Tebal 10x20x40 cm dengan kupingan untuk jalan Lingkungan (Jalan Lokal)</t>
  </si>
  <si>
    <t>7.1.2.2</t>
  </si>
  <si>
    <t>Pemasangan 1 m' Kanstin, Tebal 15x40x460 cm dengan kupingan untuk jalan Akses/penghubung (Jalan Kolektor)</t>
  </si>
  <si>
    <t>7.1.2.3</t>
  </si>
  <si>
    <t>Pemasangan 1 m' Kanstin, Tebal 10x20x40 cm tanpa kupingan untuk jalan Lingkungan (Jalan Lokal)</t>
  </si>
  <si>
    <t>7.1.2.4</t>
  </si>
  <si>
    <t>Pemasangan 1 m' Kanstin, Tebal 15x40x460 cm Tanpa kupingan untuk jalan Akses/penghubung (Jalan Kolektor)</t>
  </si>
  <si>
    <t>7.2</t>
  </si>
  <si>
    <t>JALAN BETON</t>
  </si>
  <si>
    <t>7.2.1</t>
  </si>
  <si>
    <t>Pembuatan Beton Kurus</t>
  </si>
  <si>
    <t>7.2.1.1</t>
  </si>
  <si>
    <t>1 m3 Beton Kurus fc 10 Mpa untuk Jalan Lingkungan (Jalan Lokal) Semi Mekanis</t>
  </si>
  <si>
    <t>7.2.1.2</t>
  </si>
  <si>
    <t>1 m3 Beton Kurus fc 10 Mpa untuk Jalan Akses/Penghubung (Jalan Kolektor) Semi Mekanis</t>
  </si>
  <si>
    <t>7.2.1.3</t>
  </si>
  <si>
    <t>1 m3 Beton Kurus fc 10 Mpa untuk JalanLingkungan (Jalan Lokal) Ready Mixed</t>
  </si>
  <si>
    <t>7.2.1.4</t>
  </si>
  <si>
    <t>1 m3 Beton Kurus fc 10 Mpa untuk Jalan Akses / penghubung  (Jalan Kolektor) Ready Mixed</t>
  </si>
  <si>
    <t>7.2.2</t>
  </si>
  <si>
    <t>Pembuatan Perkerasan Beton</t>
  </si>
  <si>
    <t>7.2.2.1</t>
  </si>
  <si>
    <t>1 m3Perkerasan Beton Sc 3,5 Mpa (Setara Fc 25 Mpa) untuk Jalan Lingkungan (Jalan Lokal) Semi Mekanis</t>
  </si>
  <si>
    <t>7.2.2.2</t>
  </si>
  <si>
    <t>1 m3 Perkerasan Beton Sc 3,8 Mpa (Setara Fc 30 Mpa) untuk Jalan Akses/Penghubung (Jalan Kolektor) Semi Mekanis</t>
  </si>
  <si>
    <t>7.2.2.3</t>
  </si>
  <si>
    <t>1 m3 Perkerasan Beton Sc 3,5 Mpa (Setara Fc 25 Mpa) untuk Jalan Lingkungan (Jalan Lokal) Ready Mixed</t>
  </si>
  <si>
    <t>7.2.2.4</t>
  </si>
  <si>
    <t>1 m3 Perkerasan Beton Sc 3,8 Mpa (Setara Fc 30 Mpa) untuk Jalan Akses/Penghubung (Jalan Jalan Kolektor) Ready Mixed</t>
  </si>
  <si>
    <t>7.3</t>
  </si>
  <si>
    <t>Jalan Aspal</t>
  </si>
  <si>
    <t>7.3.1</t>
  </si>
  <si>
    <t>1 Ton Pekerjaan Lapisan Antara (AC-BC)</t>
  </si>
  <si>
    <t>ton</t>
  </si>
  <si>
    <t>7.3.2</t>
  </si>
  <si>
    <t>1 Ton Pekerjaan Lapisan Aus (AC-WC)</t>
  </si>
  <si>
    <t>8</t>
  </si>
  <si>
    <t>DRAINASE</t>
  </si>
  <si>
    <t>8.1</t>
  </si>
  <si>
    <t>Drainase U-Ditch</t>
  </si>
  <si>
    <t>8.1.1</t>
  </si>
  <si>
    <t>Saluran U-Ditch dengan Lantai Kerja 10 Mpa</t>
  </si>
  <si>
    <t>8.1.1.1</t>
  </si>
  <si>
    <t>1 m' Saluran U-Ditch 30x30x120 cm dengan lantai kerja fc 10 Mpa</t>
  </si>
  <si>
    <t>8.1.1.2</t>
  </si>
  <si>
    <t>1 m Saluran U-Ditch 30x40x120 cm dengan lantai kerja fc 10 Mpa</t>
  </si>
  <si>
    <t>8.1.1.3</t>
  </si>
  <si>
    <t>1 m Saluran U-Ditch 40x40x120 cm dengan lantai kerja fc 10 Mpa</t>
  </si>
  <si>
    <t>8.1.1.4</t>
  </si>
  <si>
    <t>1 m Saluran U-Ditch 50x50x120 cm dengan lantai kerja fc 10 Mpa</t>
  </si>
  <si>
    <t>8.1.1.5</t>
  </si>
  <si>
    <t>1 m Saluran U-Ditch 40x60x120 cm dengan lantai kerja fc 10 Mpa</t>
  </si>
  <si>
    <t>8.1.1.6</t>
  </si>
  <si>
    <t>8.1.1.7</t>
  </si>
  <si>
    <t>1 m Saluran U-Ditch 50x60x120 cm dengan lantai kerja fc 10 Mpa</t>
  </si>
  <si>
    <t>8.1.1.8</t>
  </si>
  <si>
    <t>1 m Saluran U-Ditch 50x70x120 cm dengan lantai kerja fc 10 Mpa</t>
  </si>
  <si>
    <t>8.1.1.9</t>
  </si>
  <si>
    <t>1 m Saluran U-Ditch 60x60x120 cm dengan lantai kerja fc 10 Mpa</t>
  </si>
  <si>
    <t>8.1.1.10</t>
  </si>
  <si>
    <t>1 m Saluran U-Ditch 60x70x120 cm dengan lantai kerja fc 10 Mpa</t>
  </si>
  <si>
    <t>8.1.1.11</t>
  </si>
  <si>
    <t>1 m Saluran U-Ditch 60x80x120 cm dengan lantai kerja fc 10 Mpa</t>
  </si>
  <si>
    <t>8.1.1.12</t>
  </si>
  <si>
    <t>1 m Saluran U-Ditch 80x60x120 cm dengan lantai kerja fc 10 Mpa</t>
  </si>
  <si>
    <t>8.1.1.13</t>
  </si>
  <si>
    <t>1 m Saluran U-Ditch 80x80x120 cm dengan lantai kerja fc 10 Mpa</t>
  </si>
  <si>
    <t>8.1.1.14</t>
  </si>
  <si>
    <t>1 m Saluran U-Ditch 80x100x120 cm dengan lantai kerja fc 10 Mpa</t>
  </si>
  <si>
    <t>8.1.1.15</t>
  </si>
  <si>
    <t>1 m Saluran U-Ditch 100x100x120 cm dengan lantai kerja fc 10 Mpa</t>
  </si>
  <si>
    <t>8.1.1.16</t>
  </si>
  <si>
    <t>1 m Saluran U-Ditch 100x120x120 cm dengan lantai kerja fc 10 Mpa</t>
  </si>
  <si>
    <t>8.1.1.17</t>
  </si>
  <si>
    <t>1 m Saluran U-Ditch 120x120x120 cm dengan lantai kerja fc 10 Mpa</t>
  </si>
  <si>
    <t>8.1.1.18</t>
  </si>
  <si>
    <t>1 m Saluran U-Ditch 120x140x120 cm dengan lantai kerja fc 10 Mpa</t>
  </si>
  <si>
    <t>8.1.1.19</t>
  </si>
  <si>
    <t>1 m Saluran U-Ditch 140x140x120 cm dengan lantai kerja fc 10 Mpa</t>
  </si>
  <si>
    <t>8.1.1.20</t>
  </si>
  <si>
    <t>1 m Saluran U-Ditch 150x100x120 cm dengan lantai kerja fc 10 Mpa</t>
  </si>
  <si>
    <t>8.1.1.21</t>
  </si>
  <si>
    <t>1 m Saluran U-Ditch 150x150x120 cm dengan lantai kerja fc 10 Mpa</t>
  </si>
  <si>
    <t>8.1.1.22</t>
  </si>
  <si>
    <t>1 m Saluran U-Ditch 150x170x120 cm dengan lantai kerja fc 10 Mpa</t>
  </si>
  <si>
    <t>8.1.1.23</t>
  </si>
  <si>
    <t>1 m Saluran U-Ditch 160x160x120 cm dengan lantai kerja fc 10 Mpa</t>
  </si>
  <si>
    <t>8.1.1.24</t>
  </si>
  <si>
    <t>1 m Saluran U-Ditch 160x180x120 cm dengan lantai kerja fc 10 Mpa</t>
  </si>
  <si>
    <t>8.1.1.25</t>
  </si>
  <si>
    <t>1 m Saluran U-Ditch 180x180x120 cm dengan lantai kerja fc 10 Mpa</t>
  </si>
  <si>
    <t>8.1.1.26</t>
  </si>
  <si>
    <t>1 m Saluran U-Ditch 180x200x120 cm dengan lantai kerja fc 10 Mpa</t>
  </si>
  <si>
    <t>8.1.1.27</t>
  </si>
  <si>
    <t>1 m Saluran U-Ditch 200x200x120 cm dengan lantai kerja fc 10 Mpa</t>
  </si>
  <si>
    <t>8.1.2</t>
  </si>
  <si>
    <t>Saluran U-Ditch dengan Lantai Kerja 7,5 Mpa</t>
  </si>
  <si>
    <t>8.1.2.1</t>
  </si>
  <si>
    <t>1 m Saluran U-Ditch 30x30x120 cm dengan lantai kerja fc 7,5 Mpa</t>
  </si>
  <si>
    <t>8.1.2.2</t>
  </si>
  <si>
    <t>1 m Saluran U-Ditch 30x40x120 cm dengan lantai kerja fc 7,5 Mpa</t>
  </si>
  <si>
    <t>8.1.2.3</t>
  </si>
  <si>
    <t>1 m Saluran U-Ditch 40x40x120 cm dengan lantai kerja fc 7,5 Mpa</t>
  </si>
  <si>
    <t>8.1.2.4</t>
  </si>
  <si>
    <t>1 m Saluran U-Ditch 40x50x120 cm dengan lantai kerja fc 7,5 Mpa</t>
  </si>
  <si>
    <t>8.1.2.5</t>
  </si>
  <si>
    <t>1 m Saluran U-Ditch 40x60x120 cm dengan lantai kerja fc 7,5 Mpa</t>
  </si>
  <si>
    <t>8.1.2.6</t>
  </si>
  <si>
    <t>1 m Saluran U-Ditch 50x50x120 cm dengan lantai kerja fc 7,5 Mpa</t>
  </si>
  <si>
    <t>8.1.2.7</t>
  </si>
  <si>
    <t>1 m Saluran U-Ditch 50x60x120 cm dengan lantai kerja fc 7,5 Mpa</t>
  </si>
  <si>
    <t>8.1.2.8</t>
  </si>
  <si>
    <t>1 m Saluran U-Ditch 50x70x120 cm dengan lantai kerja fc 7,5 Mpa</t>
  </si>
  <si>
    <t>8.1.2.9</t>
  </si>
  <si>
    <t>1 m Saluran U-Ditch 60x60x120 cm dengan lantai kerja fc 7,5 Mpa</t>
  </si>
  <si>
    <t>8.1.2.10</t>
  </si>
  <si>
    <t>1 m Saluran U-Ditch 60x70x120 cm dengan lantai kerja fc 7,5 Mpa</t>
  </si>
  <si>
    <t>8.1.2.11</t>
  </si>
  <si>
    <t>1 m Saluran U-Ditch 60x80x120 cm dengan lantai kerja fc 7,5 Mpa</t>
  </si>
  <si>
    <t>8.1.2.12</t>
  </si>
  <si>
    <t>1 m Saluran U-Ditch 80x60x120 cm dengan lantai kerja fc 7,5 Mpa</t>
  </si>
  <si>
    <t>8.1.2.13</t>
  </si>
  <si>
    <t>1 m Saluran U-Ditch 80x80x120 cm dengan lantai kerja fc 7,5 Mpa</t>
  </si>
  <si>
    <t>8.1.2.14</t>
  </si>
  <si>
    <t>1 m Saluran U-Ditch 80x100x120 cm dengan lantai kerja fc 7,5 Mpa</t>
  </si>
  <si>
    <t>8.1.2.15</t>
  </si>
  <si>
    <t>1 m Saluran U-Ditch 100x100x120 cm dengan lantai kerja fc 7,5 Mpa</t>
  </si>
  <si>
    <t>8.1.2.16</t>
  </si>
  <si>
    <t>1 m Saluran U-Ditch 100x120x120 cm dengan lantai kerja fc 7,5 Mpa</t>
  </si>
  <si>
    <t>8.1.2.17</t>
  </si>
  <si>
    <t>1 m Saluran U-Ditch 120x120x120 cm dengan lantai kerja fc 7,5 Mpa</t>
  </si>
  <si>
    <t>8.1.2.18</t>
  </si>
  <si>
    <t>1 m Saluran U-Ditch 120x140x120 cm dengan lantai kerja fc 7,5 Mpa</t>
  </si>
  <si>
    <t>8.1.2.19</t>
  </si>
  <si>
    <t>1 m Saluran U-Ditch 140x140x120 cm dengan lantai kerja fc 7,5 Mpa</t>
  </si>
  <si>
    <t>8.1.2.20</t>
  </si>
  <si>
    <t>1 m Saluran U-Ditch 150x100x120 cm dengan lantai kerja fc 7,5 Mpa</t>
  </si>
  <si>
    <t>8.1.2.21</t>
  </si>
  <si>
    <t>1 m Saluran U-Ditch 150x150x120 cm dengan lantai kerja fc 7,5 Mpa</t>
  </si>
  <si>
    <t>8.1.2.22</t>
  </si>
  <si>
    <t>1 m Saluran U-Ditch 150x170x120 cm dengan lantai kerja fc 7,5 Mpa</t>
  </si>
  <si>
    <t>8.1.2.23</t>
  </si>
  <si>
    <t>1 m Saluran U-Ditch 160x160x120 cm dengan lantai kerja fc 7,5 Mpa</t>
  </si>
  <si>
    <t>8.1.2.24</t>
  </si>
  <si>
    <t>1 m Saluran U-Ditch 160x180x120 cm dengan lantai kerja fc 7,5 Mpa</t>
  </si>
  <si>
    <t>8.1.2.25</t>
  </si>
  <si>
    <t>1 m Saluran U-Ditch 180x180x120 cm dengan lantai kerja fc 7,5 Mpa</t>
  </si>
  <si>
    <t>8.1.2.26</t>
  </si>
  <si>
    <t>1 m Saluran U-Ditch 180x200x120 cm dengan lantai kerja fc 7,5 Mpa</t>
  </si>
  <si>
    <t>8.1.2.27</t>
  </si>
  <si>
    <t>1 m Saluran U-Ditch 200x200x120 cm dengan lantai kerja fc 7,5 Mpa</t>
  </si>
  <si>
    <t>8.1.3</t>
  </si>
  <si>
    <t>Tutup U-Ditch</t>
  </si>
  <si>
    <t>8.1.3.1</t>
  </si>
  <si>
    <t>1 m' Tutup U-Ditch 39x60x6 (Tipe LD) untuk 30x30x120 cm</t>
  </si>
  <si>
    <t>8.1.3.2</t>
  </si>
  <si>
    <t>1 m' Tutup U-Ditch 51x60x7 (Tipe LD) untuk 40x40x120 cm</t>
  </si>
  <si>
    <t>8.1.3.3</t>
  </si>
  <si>
    <t>1 m' Tutup U-Ditch 62x60x7,5 (Tipe LD) untuk 50x50x120 cm</t>
  </si>
  <si>
    <t>8.1.3.4</t>
  </si>
  <si>
    <t>1 m' Tutup U-Ditch 73x60x8 (Tipe LD) untuk 60x60x120 cm</t>
  </si>
  <si>
    <t>8.1.3.5</t>
  </si>
  <si>
    <t>1 m' Tutup U-Ditch 94x60x8 (Tipe LD) untuk 80x80x120 cm</t>
  </si>
  <si>
    <t>8.1.3.6</t>
  </si>
  <si>
    <t>1 m' Tutup U-Ditch 39x60x9 (Tipe HD) untuk 30x30x120 cm</t>
  </si>
  <si>
    <t>8.1.3.7</t>
  </si>
  <si>
    <t>1 m' Tutup U-Ditch 51x60x10 (Tipe HD) untuk 40x40x120 cm</t>
  </si>
  <si>
    <t>8.1.3.8</t>
  </si>
  <si>
    <t>1 m' Tutup U-Ditch 62x60x13 (Tipe HD) untuk 50x50x120 cm</t>
  </si>
  <si>
    <t>8.1.3.9</t>
  </si>
  <si>
    <t>1 m' Tutup U-Ditch 73x60x14 (Tipe HD) untuk 60x60x120 cm</t>
  </si>
  <si>
    <t>8.1.3.10</t>
  </si>
  <si>
    <t>1 m' Tutup U-Ditch 94x60x15 (Tipe HD) untuk 80x80x120 cm</t>
  </si>
  <si>
    <t>8.1.3.11</t>
  </si>
  <si>
    <t>1 m' Grill Penutup Saluran, Besi Siku+Plat Strip</t>
  </si>
  <si>
    <t>8.2</t>
  </si>
  <si>
    <t>Saluran Buis Beton</t>
  </si>
  <si>
    <t>8.2.1</t>
  </si>
  <si>
    <t>1 m' Buis Beton 1/2 D 30-100 cm</t>
  </si>
  <si>
    <t>8.2.2</t>
  </si>
  <si>
    <t>1 m' Buis Beton 1/2 D 40-100 cm</t>
  </si>
  <si>
    <t>8.2.3</t>
  </si>
  <si>
    <t>1 m' Buis Beton 1/2 D 50-100 cm</t>
  </si>
  <si>
    <t>8.2.4</t>
  </si>
  <si>
    <t>1 m' Buis Beton 1/2 D 60-100 cm</t>
  </si>
  <si>
    <t>8.2.5</t>
  </si>
  <si>
    <t>1 m' Buis Beton 1/2 D 80-100 cm</t>
  </si>
  <si>
    <t>8.2.6</t>
  </si>
  <si>
    <t>1 m' Buis Beton 1/2 D 100-100 cm</t>
  </si>
  <si>
    <t>8.2.7</t>
  </si>
  <si>
    <t>1 m' Buis Beton  D 30-100 cm</t>
  </si>
  <si>
    <t>8.2.8</t>
  </si>
  <si>
    <t>1 m' Buis Beton D 40-100 cm</t>
  </si>
  <si>
    <t>8.2.9</t>
  </si>
  <si>
    <t>1 m' Buis Beton D 50-100 cm</t>
  </si>
  <si>
    <t>8.2.10</t>
  </si>
  <si>
    <t>1 m' Buis Beton D 60-100 cm</t>
  </si>
  <si>
    <t>8.2.11</t>
  </si>
  <si>
    <t>1 m' Buis Beton D 80-100 cm</t>
  </si>
  <si>
    <t>8.2.12</t>
  </si>
  <si>
    <t>1 m' Buis Beton D 100-100 cm</t>
  </si>
  <si>
    <t>8.3</t>
  </si>
  <si>
    <t>Saluran Box Culvert</t>
  </si>
  <si>
    <t>8.3.1</t>
  </si>
  <si>
    <t>Saluran Box Culvert  dengan lantai kerja 10 Mpa</t>
  </si>
  <si>
    <t>8.3.1.1</t>
  </si>
  <si>
    <t>1 m' Box Culvert 40x40x100 dengan lantai kerja fc 10 Mpa</t>
  </si>
  <si>
    <t>8.3.1.2</t>
  </si>
  <si>
    <t>1 m' Box Culvert 50x50x100 dengan lantai kerja fc 10 Mpa</t>
  </si>
  <si>
    <t>8.3.1.3</t>
  </si>
  <si>
    <t>1 m' Box Culvert 60x60x100 dengan lantai kerja fc 10 Mpa</t>
  </si>
  <si>
    <t>8.3.1.4</t>
  </si>
  <si>
    <t>1 m' Box Culvert 80x80x100 dengan lantai kerja fc 10 Mpa</t>
  </si>
  <si>
    <t>8.3.1.5</t>
  </si>
  <si>
    <t>1 m' Box Culvert 100x100x100 dengan lantai kerja fc 10 Mpa</t>
  </si>
  <si>
    <t>8.3.1. 6</t>
  </si>
  <si>
    <t>1 m' Box Culvert 150x150x100 dengan lantai kerja fc 10 Mpa</t>
  </si>
  <si>
    <t>8.3.1.7</t>
  </si>
  <si>
    <t>1 m' Box Culvert 200x200x100 dengan lantai kerja fc 10 Mpa</t>
  </si>
  <si>
    <t>8.3.1. 8</t>
  </si>
  <si>
    <t>1 m' Box Culvert 300x300x100 dengan lantai kerja fc 10 Mpa</t>
  </si>
  <si>
    <t>8.3.2</t>
  </si>
  <si>
    <t>Saluran Box Culvert dengan lantai kerja 7,5 Mpa</t>
  </si>
  <si>
    <t>8.3.2.1</t>
  </si>
  <si>
    <t>1 m' Box Culvert 40x40x100 dengan lantai kerja fc 7,5 Mpa</t>
  </si>
  <si>
    <t>8.3.2.2</t>
  </si>
  <si>
    <t>1 m' Box Culvert 50x50x100 dengan lantai kerja fc 7,5 Mpa</t>
  </si>
  <si>
    <t>8.3.2.3</t>
  </si>
  <si>
    <t>1 m' Box Culvert 60x60x100 dengan lantai kerja fc 7,5 Mpa</t>
  </si>
  <si>
    <t>8.3.2.4</t>
  </si>
  <si>
    <t>1 m' Box Culvert 80x80x100 dengan lantai kerja fc 7,5 Mpa</t>
  </si>
  <si>
    <t>8.3.2.5</t>
  </si>
  <si>
    <t>1 m' Box Culvert 100x100x100 dengan lantai kerja fc 7,5 Mpa</t>
  </si>
  <si>
    <t>8.3.2.6</t>
  </si>
  <si>
    <t>1 m' Box Culvert 150x150x100 dengan lantai kerja fc 7,5 Mpa</t>
  </si>
  <si>
    <t>8.3.2.7</t>
  </si>
  <si>
    <t>1 m' Box Culvert 200x200x100 dengan lantai kerja fc 7,5 Mpa</t>
  </si>
  <si>
    <t>8.3.2.8</t>
  </si>
  <si>
    <t>1 m' Box Culvert 300x300x100 dengan lantai kerja fc 7,5 Mpa</t>
  </si>
  <si>
    <t>9</t>
  </si>
  <si>
    <t>PEKERJAAN JARINGAN PIPA LUAR GEDUNG</t>
  </si>
  <si>
    <t>9.1</t>
  </si>
  <si>
    <t>9.1.1</t>
  </si>
  <si>
    <t>Pemasangan Pipa PVC</t>
  </si>
  <si>
    <t>9.1.1.1</t>
  </si>
  <si>
    <t>Pemasangan 1 m Pipa PVC, DN. 2-1/2" (65 mm)</t>
  </si>
  <si>
    <t>9.1.1.2</t>
  </si>
  <si>
    <t>Pemasangan 1 m Pipa PVC, DN. 3" (80 mm)</t>
  </si>
  <si>
    <t>9.1.1.3</t>
  </si>
  <si>
    <t>Pemasangan 1 m Pipa PVC, DN. 4" (100 mm)</t>
  </si>
  <si>
    <t>9.1.1.4</t>
  </si>
  <si>
    <t>Pemasangan 1 m Pipa PVC, DN. 6" (150 mm)</t>
  </si>
  <si>
    <t>9.1.1.5</t>
  </si>
  <si>
    <t>Pemasangan 1 m Pipa PVC, DN. 8" (200 mm)</t>
  </si>
  <si>
    <t>9.1.1.6</t>
  </si>
  <si>
    <t>Pemasangan 1 m Pipa PVC, DN. 10" (250 mm)</t>
  </si>
  <si>
    <t>9.1.1.7</t>
  </si>
  <si>
    <t>Pemasangan 1 m Pipa PVC, DN. 12" (300 mm)</t>
  </si>
  <si>
    <t>9.1.1.8</t>
  </si>
  <si>
    <t>Pemasangan 1 m Pipa PVC, DN. 16" (400 mm)</t>
  </si>
  <si>
    <t>9.1.1.9</t>
  </si>
  <si>
    <t>Pemasangan 1 m Pipa PVC, DN. 18" (450 mm)</t>
  </si>
  <si>
    <t>9.1.1.10</t>
  </si>
  <si>
    <t>Pemasangan 1 m Pipa PVC, DN. 20" (500 mm)</t>
  </si>
  <si>
    <t>9.1.1.11</t>
  </si>
  <si>
    <t>Pemasangan 1 m Pipa PVC, DN. 24" (600 mm)</t>
  </si>
  <si>
    <t>9.1.1.12</t>
  </si>
  <si>
    <t>Pemasangan 1 m Pipa PVC, DN. 32" (800 mm)</t>
  </si>
  <si>
    <t>9.1.1.13</t>
  </si>
  <si>
    <t>Pemasangan 1 m Pipa PVC, DN. 36" (900 mm)</t>
  </si>
  <si>
    <t>9.1.1.14</t>
  </si>
  <si>
    <t>Pemasangan 1 m Pipa PVC, DN. 40" (1000 mm)</t>
  </si>
  <si>
    <t>9.1.1.15</t>
  </si>
  <si>
    <t>Pemasangan 1 m Pipa PVC, DN. 44" (1100 mm)</t>
  </si>
  <si>
    <t>9.1.1.16</t>
  </si>
  <si>
    <t>Pemasangan 1 m Pipa PVC, DN. 48" (1200 mm)</t>
  </si>
  <si>
    <t>9.1.1.17</t>
  </si>
  <si>
    <t>Pemasangan 1 m Pipa PVC, DN. 1/2" (15 mm)</t>
  </si>
  <si>
    <t>9.1.1.18</t>
  </si>
  <si>
    <t>Pemasangan 1 m Pipa PVC, DN. 3/4" (20 mm)</t>
  </si>
  <si>
    <t>9.1.1.19</t>
  </si>
  <si>
    <t>Pemasangan 1 m Pipa PVC, DN. 1" (25 mm)</t>
  </si>
  <si>
    <t>9.1.1.20</t>
  </si>
  <si>
    <t>Pemasangan 1 m Pipa PVC, DN. 1-1/4" (32 mm)</t>
  </si>
  <si>
    <t>9.1.1.21</t>
  </si>
  <si>
    <t>Pemasangan 1 m Pipa PVC, DN. 1-1/2" (40 mm)</t>
  </si>
  <si>
    <t>9.1.1.22</t>
  </si>
  <si>
    <t>Pemasangan 1 m Pipa PVC, DN. 2" (50 mm)</t>
  </si>
  <si>
    <t>9.1.2</t>
  </si>
  <si>
    <t>Pemotongan Pipa PVC</t>
  </si>
  <si>
    <t>9.1.2.1</t>
  </si>
  <si>
    <t>Pemotongan 1 Buah Pipa PVC, DN. 2-1/2" (65 mm)</t>
  </si>
  <si>
    <t>9.1.2.2</t>
  </si>
  <si>
    <t>Pemotongan 1 Buah Pipa PVC, DN. 3" (80 mm)</t>
  </si>
  <si>
    <t>9.1.2.3</t>
  </si>
  <si>
    <t>Pemotongan 1 Buah Pipa PVC, DN. 4" (100 mm)</t>
  </si>
  <si>
    <t>9.1.2.4</t>
  </si>
  <si>
    <t>Pemotongan 1 Buah Pipa PVC, DN. 6" (150 mm)</t>
  </si>
  <si>
    <t>9.1.2.5</t>
  </si>
  <si>
    <t>Pemotongan 1 Buah Pipa PVC, DN. 8" (200 mm)</t>
  </si>
  <si>
    <t>9.1.2.6</t>
  </si>
  <si>
    <t>Pemotongan 1 Buah Pipa PVC, DN. 10" (250 mm)</t>
  </si>
  <si>
    <t>9.1.2.7</t>
  </si>
  <si>
    <t>Pemotongan 1 Buah Pipa PVC, DN. 12" (300 mm)</t>
  </si>
  <si>
    <t>9.1.2.8</t>
  </si>
  <si>
    <t>Pemotongan 1 Buah Pipa PVC, DN. 16" (400 mm)</t>
  </si>
  <si>
    <t>9.1.2.9</t>
  </si>
  <si>
    <t>Pemotongan 1 Buah Pipa PVC, DN. 18" (450 mm)</t>
  </si>
  <si>
    <t>9.1.2.10</t>
  </si>
  <si>
    <t>Pemotongan 1 Buah Pipa PVC, DN. 20" (500 mm)</t>
  </si>
  <si>
    <t>9.1.2.11</t>
  </si>
  <si>
    <t>Pemotongan 1 Buah Pipa PVC, DN. 24" (600 mm)</t>
  </si>
  <si>
    <t>9.1.2.12</t>
  </si>
  <si>
    <t>Pemotongan 1 Buah Pipa PVC, DN. 32" (800 mm)</t>
  </si>
  <si>
    <t>9.1.2.13</t>
  </si>
  <si>
    <t>Pemotongan 1 Buah Pipa PVC, DN. 36" (900 mm)</t>
  </si>
  <si>
    <t>9.1.2.14</t>
  </si>
  <si>
    <t>Pemotongan 1 Buah Pipa PVC, DN. 40" (1000 mm)</t>
  </si>
  <si>
    <t>9.1.2.15</t>
  </si>
  <si>
    <t>Pemotongan 1 Buah Pipa PVC, DN. 44" (1100 mm)</t>
  </si>
  <si>
    <t>9.1.2.16</t>
  </si>
  <si>
    <t>Pemotongan 1 Buah Pipa PVC, DN. 48" (1200 mm)</t>
  </si>
  <si>
    <t>9.2</t>
  </si>
  <si>
    <t>9.2.1</t>
  </si>
  <si>
    <t>Pemasangan Pipa Galvanis</t>
  </si>
  <si>
    <t>9.2.1.1</t>
  </si>
  <si>
    <t>Pemasangan 1 m Pipa Galvanis, DN. 2-1/2" (65 mm)</t>
  </si>
  <si>
    <t>9.2.1.2</t>
  </si>
  <si>
    <t>Pemasangan 1 m Pipa Galvanis, DN. 4" (100 mm)</t>
  </si>
  <si>
    <t>9.2.1.3</t>
  </si>
  <si>
    <t>Pemasangan 1 m Pipa Galvanis, DN. 5" (125 mm)</t>
  </si>
  <si>
    <t>9.2.1.4</t>
  </si>
  <si>
    <t>Pemasangan 1 m Pipa Galvanis, DN. 6" (150 mm)</t>
  </si>
  <si>
    <t>9.2.1.5</t>
  </si>
  <si>
    <t>Pemasangan 1 m Pipa Galvanis, DN. 8" (200 mm)</t>
  </si>
  <si>
    <t>9.2.1.6</t>
  </si>
  <si>
    <t>Pemasangan 1 m Pipa Galvanis, DN.10" (250 mm)</t>
  </si>
  <si>
    <t>9.2.1.7</t>
  </si>
  <si>
    <t>Pemasangan 1 m Pipa Galvanis, DN. 12" (300 mm)</t>
  </si>
  <si>
    <t>9.2.1.8</t>
  </si>
  <si>
    <t>Pemasangan 1 m Pipa Galvanis, DN. 16" (400 mm)</t>
  </si>
  <si>
    <t>9.2.1.9</t>
  </si>
  <si>
    <t>Pemasangan 1 m Pipa Galvanis, DN. 18" (450 mm)</t>
  </si>
  <si>
    <t>9.2.1.10</t>
  </si>
  <si>
    <t>Pemasangan 1 m Pipa Galvanis, DN. 20" (500 mm)</t>
  </si>
  <si>
    <t>9.2.1.11</t>
  </si>
  <si>
    <t>Pemasangan 1 m Pipa Galvanis, DN. 24" (600 mm)</t>
  </si>
  <si>
    <t>9.2.1.12</t>
  </si>
  <si>
    <t>Pemasangan 1 m Pipa Galvanis, DN. 32" (800 mm)</t>
  </si>
  <si>
    <t>9.2.1.13</t>
  </si>
  <si>
    <t>Pemasangan 1 m Pipa Galvanis, DN. 36" (900 mm)</t>
  </si>
  <si>
    <t>9.2.1.14</t>
  </si>
  <si>
    <t>Pemasangan 1 m Pipa Galvanis, DN. 40" (1000 mm)</t>
  </si>
  <si>
    <t>9.2.1.15</t>
  </si>
  <si>
    <t>Pemasangan 1 m Pipa Galvanis, DN. 44" (1100 mm)</t>
  </si>
  <si>
    <t>9.2.1.16</t>
  </si>
  <si>
    <t>Pemasangan 1 m Pipa Galvanis, DN. 48" (1200 mm)</t>
  </si>
  <si>
    <t>9.2.1.17</t>
  </si>
  <si>
    <t>Pemasangan 1 m Pipa Galvanis, DN. 1/2" (15 mm)</t>
  </si>
  <si>
    <t>9.2.1.18</t>
  </si>
  <si>
    <t>Pemasangan 1 m Pipa Galvanis, DN. 3/4" (20 mm)</t>
  </si>
  <si>
    <t>9.2.1.19</t>
  </si>
  <si>
    <t>Pemasangan 1 m Pipa Galvanis, DN. 1" (25 mm)</t>
  </si>
  <si>
    <t>9.2.1.20</t>
  </si>
  <si>
    <t>Pemasangan 1 m Pipa Galvanis, DN. 1-1/4" (32 mm)</t>
  </si>
  <si>
    <t>9.2.1.21</t>
  </si>
  <si>
    <t>Pemasangan 1 m Pipa Galvanis, DN. 1-1/2" (40 mm)</t>
  </si>
  <si>
    <t>9.2.1.22</t>
  </si>
  <si>
    <t>Pemasangan 1 m Pipa Galvanis, DN. 2" (50 mm)</t>
  </si>
  <si>
    <t>9.2.2</t>
  </si>
  <si>
    <t>Pemotongan Pipa Galvanis</t>
  </si>
  <si>
    <t>9.2.2.1</t>
  </si>
  <si>
    <t>Pemotongan 1 Buah Pipa Galvanis, DN. 2-1/2" (65 mm)</t>
  </si>
  <si>
    <t>9.2.2.2</t>
  </si>
  <si>
    <t>Pemotongan 1 Buah Pipa Galvanis, DN. 4" (100 mm)</t>
  </si>
  <si>
    <t>9.2.2.3</t>
  </si>
  <si>
    <t>Pemotongan 1 Buah Pipa Galvanis, DN. 5" (125 mm)</t>
  </si>
  <si>
    <t>9.2.2.4</t>
  </si>
  <si>
    <t>Pemotongan 1 Buah Pipa Galvanis, DN. 6" (150 mm)</t>
  </si>
  <si>
    <t>9.2.2.5</t>
  </si>
  <si>
    <t>Pemotongan 1 Buah Pipa Galvanis, DN. 8" (200 mm)</t>
  </si>
  <si>
    <t>9.2.2.6</t>
  </si>
  <si>
    <t>Pemotongan 1 Buah Pipa Galvanis, DN.10" (250 mm)</t>
  </si>
  <si>
    <t>9.2.2.7</t>
  </si>
  <si>
    <t>Pemotongan 1 Buah Pipa Galvanis, DN. 12" (300 mm)</t>
  </si>
  <si>
    <t>9.2.2.8</t>
  </si>
  <si>
    <t>Pemotongan 1 Buah Pipa Galvanis, DN. 16" (400 mm)</t>
  </si>
  <si>
    <t>9.2.2.9</t>
  </si>
  <si>
    <t>Pemotongan 1 Buah Pipa Galvanis, DN. 18" (450 mm)</t>
  </si>
  <si>
    <t>9.2.2.10</t>
  </si>
  <si>
    <t>Pemotongan 1 Buah Pipa Galvanis, DN. 20" (500 mm)</t>
  </si>
  <si>
    <t>9.2.2.11</t>
  </si>
  <si>
    <t>Pemotongan 1 Buah Pipa Galvanis, DN. 24" (600 mm)</t>
  </si>
  <si>
    <t>9.2.2.12</t>
  </si>
  <si>
    <t>Pemotongan 1 Buah Pipa Galvanis, DN. 32" (800 mm)</t>
  </si>
  <si>
    <t>9.2.2.13</t>
  </si>
  <si>
    <t>Pemotongan 1 Buah Pipa Galvanis, DN. 36" (900 mm)</t>
  </si>
  <si>
    <t>9.2.2.14</t>
  </si>
  <si>
    <t>Pemotongan 1 Buah Pipa Galvanis, DN. 40" (1000 mm)</t>
  </si>
  <si>
    <t>9.2.2.15</t>
  </si>
  <si>
    <t>Pemotongan 1 Buah Pipa Galvanis, DN. 44" (1100 mm)</t>
  </si>
  <si>
    <t>9.2.2.16</t>
  </si>
  <si>
    <t>Pemotongan 1 Buah Pipa Galvanis, DN. 48" (1200 mm)</t>
  </si>
  <si>
    <t>9.3</t>
  </si>
  <si>
    <t>9.3.1</t>
  </si>
  <si>
    <t>Pemasangan Pipa HDPE</t>
  </si>
  <si>
    <t>9.3.1.1</t>
  </si>
  <si>
    <t>Pemasangan 1 m Pipa HDPE, DN. 2-1/2" (65 mm)</t>
  </si>
  <si>
    <t>9.3.1.2</t>
  </si>
  <si>
    <t>Pemasangan 1 m Pipa HDPE, DN. 4" (100 mm)</t>
  </si>
  <si>
    <t>9.3.1.3</t>
  </si>
  <si>
    <t>Pemasangan 1 m Pipa HDPE, DN. 5" (125 mm)</t>
  </si>
  <si>
    <t>9.3.1.4</t>
  </si>
  <si>
    <t>Pemasangan 1 m Pipa HDPE, DN. 6" (150 mm)</t>
  </si>
  <si>
    <t>9.3.1.5</t>
  </si>
  <si>
    <t>Pemasangan 1 m Pipa HDPE, DN. 8" (200 mm)</t>
  </si>
  <si>
    <t>9.3.1.6</t>
  </si>
  <si>
    <t>Pemasangan 1 m Pipa HDPE, DN.10" (250 mm)</t>
  </si>
  <si>
    <t>9.3.1.7</t>
  </si>
  <si>
    <t>Pemasangan 1 m Pipa HDPE, DN. 12" (300 mm)</t>
  </si>
  <si>
    <t>9.3.1.8</t>
  </si>
  <si>
    <t>Pemasangan 1 m Pipa HDPE, DN. 16" (400 mm)</t>
  </si>
  <si>
    <t>9.3.1.9</t>
  </si>
  <si>
    <t>Pemasangan 1 m Pipa HDPE, DN. 18" (450 mm)</t>
  </si>
  <si>
    <t>9.3.1.10</t>
  </si>
  <si>
    <t>Pemasangan 1 m Pipa HDPE, DN. 20" (500 mm)</t>
  </si>
  <si>
    <t>9.3.1.11</t>
  </si>
  <si>
    <t>Pemasangan 1 m Pipa HDPE, DN. 24" (600 mm)</t>
  </si>
  <si>
    <t>9.3.1.12</t>
  </si>
  <si>
    <t>Pemasangan 1 m Pipa HDPE, DN. 32" (800 mm)</t>
  </si>
  <si>
    <t>9.3.1.13</t>
  </si>
  <si>
    <t>Pemasangan 1 m Pipa HDPE, DN. 36" (900 mm)</t>
  </si>
  <si>
    <t>9.3.1.14</t>
  </si>
  <si>
    <t>Pemasangan 1 m Pipa HDPE, DN. 40" (1000 mm)</t>
  </si>
  <si>
    <t>9.3.1.15</t>
  </si>
  <si>
    <t>Pemasangan 1 m Pipa HDPE, DN. 44" (1100 mm)</t>
  </si>
  <si>
    <t>9.3.1.16</t>
  </si>
  <si>
    <t>Pemasangan 1 m Pipa HDPE, DN. 48" (1200 mm)</t>
  </si>
  <si>
    <t>9.3.1.17</t>
  </si>
  <si>
    <t>Pemasangan 1 m Pipa HDPE, DN. 1/2" (15 mm)</t>
  </si>
  <si>
    <t>9.3.1.18</t>
  </si>
  <si>
    <t>Pemasangan 1 m Pipa HDPE, DN. 3/4" (20 mm)</t>
  </si>
  <si>
    <t>9.3.1.19</t>
  </si>
  <si>
    <t>Pemasangan 1 m Pipa HDPE, DN. 1" (25 mm)</t>
  </si>
  <si>
    <t>9.3.1.20</t>
  </si>
  <si>
    <t>Pemasangan 1 m Pipa HDPE, DN. 1-1/4" (32 mm)</t>
  </si>
  <si>
    <t>9.3.1.21</t>
  </si>
  <si>
    <t>Pemasangan 1 m Pipa HDPE, DN. 1-1/2" (40 mm)</t>
  </si>
  <si>
    <t>9.3.1.22</t>
  </si>
  <si>
    <t>Pemasangan 1 m Pipa HDPE, DN. 2" (50 mm)</t>
  </si>
  <si>
    <t>9.3.2</t>
  </si>
  <si>
    <t>Pemotogan Pipa HDPE</t>
  </si>
  <si>
    <t>9.3.2.1</t>
  </si>
  <si>
    <t>Pemotongan 1 Buah Pipa HDPE, DN. 2-1/2" (65 mm)</t>
  </si>
  <si>
    <t>9.3.2.2</t>
  </si>
  <si>
    <t>Pemotongan 1 Buah Pipa HDPE, DN. 4" (100 mm)</t>
  </si>
  <si>
    <t>9.3.2.3</t>
  </si>
  <si>
    <t>Pemotongan 1 Buah Pipa HDPE, DN. 5" (125 mm)</t>
  </si>
  <si>
    <t>9.3.2.4</t>
  </si>
  <si>
    <t>Pemotongan 1 Buah Pipa HDPE, DN. 6" (150 mm)</t>
  </si>
  <si>
    <t>9.3.2.5</t>
  </si>
  <si>
    <t>Pemotongan 1 Buah Pipa HDPE, DN. 8" (200 mm)</t>
  </si>
  <si>
    <t>9.3.2.6</t>
  </si>
  <si>
    <t>Pemotongan 1 Buah Pipa HDPE, DN. 10" (250 mm)</t>
  </si>
  <si>
    <t>9.3.2.7</t>
  </si>
  <si>
    <t>Pemotongan 1 Buah Pipa HDPE, DN. 12" (300 mm)</t>
  </si>
  <si>
    <t>9.3.2.8</t>
  </si>
  <si>
    <t>Pemotongan 1 Buah Pipa HDPE, DN. 16" (400 mm)</t>
  </si>
  <si>
    <t>9.3.2.9</t>
  </si>
  <si>
    <t>Pemotongan 1 Buah Pipa HDPE, DN. 18" (450 mm)</t>
  </si>
  <si>
    <t>9.3.2.10</t>
  </si>
  <si>
    <t>Pemotongan 1 Buah Pipa HDPE, DN. 20" (500 mm)</t>
  </si>
  <si>
    <t>9.3.2.11</t>
  </si>
  <si>
    <t>Pemotongan 1 Buah Pipa HDPE, DN. 24" (600 mm)</t>
  </si>
  <si>
    <t>9.3.2.12</t>
  </si>
  <si>
    <t>Pemotongan 1 Buah Pipa HDPE, DN. 32" (800 mm)</t>
  </si>
  <si>
    <t>9.3.2.13</t>
  </si>
  <si>
    <t>Pemotongan 1 Buah Pipa HDPE, DN. 36" (900 mm)</t>
  </si>
  <si>
    <t>9.3.2.14</t>
  </si>
  <si>
    <t>Pemotongan 1 Buah Pipa HDPE, DN. 40" (1000 mm)</t>
  </si>
  <si>
    <t>9.3.2.15</t>
  </si>
  <si>
    <t>Pemotongan 1 Buah Pipa HDPE, DN. 44" (1100 mm)</t>
  </si>
  <si>
    <t>9.3.2.16</t>
  </si>
  <si>
    <t>Pemotongan 1 Buah Pipa HDPE, DN. 48" (1200 mm)</t>
  </si>
  <si>
    <t>9.4</t>
  </si>
  <si>
    <t>PIPA DCI (DUCTILE CAST IRON)</t>
  </si>
  <si>
    <t>9.4.1</t>
  </si>
  <si>
    <t>Pemasangan Pipa DCI</t>
  </si>
  <si>
    <t>9.4.1.1</t>
  </si>
  <si>
    <t>Pemasangan 1 m Pipa DCI, DN. 4" (100 mm)</t>
  </si>
  <si>
    <t>9.4.1.2</t>
  </si>
  <si>
    <t>Pemasangan 1 m Pipa DCI, DN. 5" (125 mm)</t>
  </si>
  <si>
    <t>9.4.1.3</t>
  </si>
  <si>
    <t>Pemasangan 1 m Pipa DCI, DN. 6" (150 mm)</t>
  </si>
  <si>
    <t>9.4.1.4</t>
  </si>
  <si>
    <t>Pemasangan 1 m Pipa DCI, DN. 8" (200 mm)</t>
  </si>
  <si>
    <t>9.4.1.5</t>
  </si>
  <si>
    <t>Pemasangan 1 m Pipa DCI, DN. 10" (250 mm)</t>
  </si>
  <si>
    <t>9.4.1.6</t>
  </si>
  <si>
    <t>Pemasangan 1 m Pipa DCI, DN. 12" (300 mm)</t>
  </si>
  <si>
    <t>9.4.1.7</t>
  </si>
  <si>
    <t>Pemasangan 1 m Pipa DCI, DN. 16" (400 mm)</t>
  </si>
  <si>
    <t>9.4.1.8</t>
  </si>
  <si>
    <t>Pemasangan 1 m Pipa DCI, DN. 18" (450 mm)</t>
  </si>
  <si>
    <t>9.4.1.9</t>
  </si>
  <si>
    <t>Pemasangan 1 m Pipa DCI, DN. 20" (500 mm)</t>
  </si>
  <si>
    <t>9.4.1.10</t>
  </si>
  <si>
    <t>Pemasangan 1 m Pipa DCI, DN. 24" (600 mm)</t>
  </si>
  <si>
    <t>9.4.1.11</t>
  </si>
  <si>
    <t>Pemasangan 1 m Pipa DCI, DN. 32" (800 mm)</t>
  </si>
  <si>
    <t>9.4.1.12</t>
  </si>
  <si>
    <t>Pemasangan 1 m Pipa DCI, DN. 36" (900 mm)</t>
  </si>
  <si>
    <t>9.4.1.13</t>
  </si>
  <si>
    <t>Pemasangan 1 m Pipa DCI, DN. 40" (1000 mm)</t>
  </si>
  <si>
    <t>9.4.1.14</t>
  </si>
  <si>
    <t>Pemasangan 1 m Pipa DCI, DN. 44" (1100 mm)</t>
  </si>
  <si>
    <t>9.4.1.15</t>
  </si>
  <si>
    <t>Pemasangan 1 m Pipa DCI, DN. 48" (1200 mm)</t>
  </si>
  <si>
    <t>9.4.2</t>
  </si>
  <si>
    <t>Pemotongan Pipa PCI</t>
  </si>
  <si>
    <t>9.4.2.1</t>
  </si>
  <si>
    <t>Pemotongan 1 Buah Pipa DCI, DN. 4" (100 mm)</t>
  </si>
  <si>
    <t>9.4.2.2</t>
  </si>
  <si>
    <t>Pemotongan 1 Buah Pipa DCI, DN. 5" (125 mm)</t>
  </si>
  <si>
    <t>9.4.2.3</t>
  </si>
  <si>
    <t>Pemotongan 1 Buah Pipa DCI, DN. 6" (150 mm)</t>
  </si>
  <si>
    <t>9.4.2.4</t>
  </si>
  <si>
    <t>Pemotongan 1 Buah Pipa DCI, DN. 8" (200 mm)</t>
  </si>
  <si>
    <t>9.4.2.5</t>
  </si>
  <si>
    <t>Pemotongan 1 Buah Pipa DCI, DN. 10" (250 mm)</t>
  </si>
  <si>
    <t>9.4.2.6</t>
  </si>
  <si>
    <t>Pemotongan 1 Buah Pipa DCI, DN. 12" (300 mm)</t>
  </si>
  <si>
    <t>9.4.2.7</t>
  </si>
  <si>
    <t>Pemotongan 1 Buah Pipa DCI, DN. 16" (400 mm)</t>
  </si>
  <si>
    <t>9.4.2.8</t>
  </si>
  <si>
    <t>Pemotongan 1 Buah Pipa DCI, DN. 18" (450 mm)</t>
  </si>
  <si>
    <t>9.4.2.9</t>
  </si>
  <si>
    <t>Pemotongan 1 Buah Pipa DCI, DN. 20" (500 mm)</t>
  </si>
  <si>
    <t>9.4.2.10</t>
  </si>
  <si>
    <t>Pemotongan 1 Buah Pipa DCI, DN. 24" (600 mm)</t>
  </si>
  <si>
    <t>9.4.2.11</t>
  </si>
  <si>
    <t>Pemotongan 1 Buah Pipa DCI, DN. 32" (800 mm)</t>
  </si>
  <si>
    <t>9.4.2.12</t>
  </si>
  <si>
    <t>Pemotongan 1 Buah Pipa DCI, DN. 36" (900 mm)</t>
  </si>
  <si>
    <t>9.4.2.13</t>
  </si>
  <si>
    <t>Pemotongan 1 Buah Pipa DCI, DN. 40" (1000 mm)</t>
  </si>
  <si>
    <t>9.4.2.14</t>
  </si>
  <si>
    <t>Pemotongan 1 Buah Pipa DCI, DN. 44" (1100 mm)</t>
  </si>
  <si>
    <t>9.4.2.15</t>
  </si>
  <si>
    <t>Pemotongan 1 Buah Pipa DCI, DN. 48" (1200 mm)</t>
  </si>
  <si>
    <t>9.5</t>
  </si>
  <si>
    <t>PIPA BAJA KARBON</t>
  </si>
  <si>
    <t>9.5.1</t>
  </si>
  <si>
    <t>Pemasangan Pipa Baja Karbon</t>
  </si>
  <si>
    <t>9.5.1.1</t>
  </si>
  <si>
    <t>Pemasangan 1 m Pipa Baja Karbon, DN. 2-1/2" (65 mm)</t>
  </si>
  <si>
    <t>9.5.1.2</t>
  </si>
  <si>
    <t>Pemasangan 1 m Pipa Baja Karbon, DN. 4" (100 mm)</t>
  </si>
  <si>
    <t>9.5.1.3</t>
  </si>
  <si>
    <t>Pemasangan 1 m Pipa Baja Karbon, DN. 5" (125 mm)</t>
  </si>
  <si>
    <t>9.5.1.4</t>
  </si>
  <si>
    <t>Pemasangan 1 m Pipa Baja Karbon, DN. 6" (150 mm)</t>
  </si>
  <si>
    <t>9.5.1.5</t>
  </si>
  <si>
    <t>Pemasangan 1 m Pipa Baja Karbon, DN. 8" (200 mm)</t>
  </si>
  <si>
    <t>9.5.1.6</t>
  </si>
  <si>
    <t>Pemasangan 1 m Pipa Baja Karbon, DN. 10" (250 mm)</t>
  </si>
  <si>
    <t>9.5.1.7</t>
  </si>
  <si>
    <t>Pemasangan 1 m Pipa Baja Karbon, DN. 12" (300 mm)</t>
  </si>
  <si>
    <t>9.5.1.8</t>
  </si>
  <si>
    <t>Pemasangan 1 m Pipa Baja Karbon, DN. 16" (400 mm)</t>
  </si>
  <si>
    <t>9.5.1.9</t>
  </si>
  <si>
    <t>Pemasangan 1 m Pipa Baja Karbon, DN. 18" (450 mm)</t>
  </si>
  <si>
    <t>9.5.1.10</t>
  </si>
  <si>
    <t>Pemasangan 1 m Pipa Baja Karbon, DN. 20" (500 mm)</t>
  </si>
  <si>
    <t>9.5.1.11</t>
  </si>
  <si>
    <t>Pemasangan 1 m Pipa Baja Karbon, DN. 24" (600 mm)</t>
  </si>
  <si>
    <t>9.5.1.12</t>
  </si>
  <si>
    <t>Pemasangan 1 m Pipa Baja Karbon, DN. 32" (800 mm)</t>
  </si>
  <si>
    <t>9.5.1.13</t>
  </si>
  <si>
    <t>Pemasangan 1 m Pipa Baja Karbon, DN. 36" (900 mm)</t>
  </si>
  <si>
    <t>9.5.1.14</t>
  </si>
  <si>
    <t>Pemasangan 1 m Pipa Baja Karbon, DN. 40" (1000 mm)</t>
  </si>
  <si>
    <t>9.5.1.15</t>
  </si>
  <si>
    <t>Pemasangan 1 m Pipa Baja Karbon, DN. 44" (1100 mm)</t>
  </si>
  <si>
    <t>9.5.1.16</t>
  </si>
  <si>
    <t>Pemasangan 1 m Pipa Baja Karbon, DN. 48" (1200 mm)</t>
  </si>
  <si>
    <t>9.5.2</t>
  </si>
  <si>
    <t>Pemotongan Pipa Baja Karbon</t>
  </si>
  <si>
    <t>9.5.2.1</t>
  </si>
  <si>
    <t>Pemotongan 1 Buah Pipa Baja Karbon, DN. 2-1/2" (65 mm)</t>
  </si>
  <si>
    <t>9.5.2.2</t>
  </si>
  <si>
    <t>Pemotongan 1 Buah Pipa Baja Karbon, DN. 4" (100 mm)</t>
  </si>
  <si>
    <t>9.5.2.3</t>
  </si>
  <si>
    <t>Pemotongan 1 Buah Pipa Baja Karbon, DN. 5" (125 mm)</t>
  </si>
  <si>
    <t>9.5.2.4</t>
  </si>
  <si>
    <t>Pemotongan 1 Buah Pipa Baja Karbon, DN. 6" (150 mm)</t>
  </si>
  <si>
    <t>9.5.2.5</t>
  </si>
  <si>
    <t>Pemotongan 1 Buah Pipa Baja Karbon, DN. 8" (200 mm)</t>
  </si>
  <si>
    <t>9.5.2.6</t>
  </si>
  <si>
    <t>Pemotongan 1 Buah Pipa Baja Karbon, DN. 10" (250 mm)</t>
  </si>
  <si>
    <t>9.5.2.7</t>
  </si>
  <si>
    <t>Pemotongan 1 Buah Pipa Baja Karbon, DN. 12" (300 mm)</t>
  </si>
  <si>
    <t>9.5.2.8</t>
  </si>
  <si>
    <t>Pemotongan 1 Buah Pipa Baja Karbon, DN. 16" (400 mm)</t>
  </si>
  <si>
    <t>9.5.2.9</t>
  </si>
  <si>
    <t>Pemotongan 1 Buah Pipa Baja Karbon, DN. 18" (450 mm)</t>
  </si>
  <si>
    <t>9.5.2.10</t>
  </si>
  <si>
    <t>Pemotongan 1 Buah Pipa Baja Karbon, DN. 20" (500 mm)</t>
  </si>
  <si>
    <t>9.5.2.11</t>
  </si>
  <si>
    <t>Pemotongan 1 Buah Pipa Baja Karbon, DN. 24" (600 mm)</t>
  </si>
  <si>
    <t>9.5.2.12</t>
  </si>
  <si>
    <t>Pemotongan 1 Buah Pipa Baja Karbon, DN. 32" (800 mm)</t>
  </si>
  <si>
    <t>9.5.2.13</t>
  </si>
  <si>
    <t>Pemotongan 1 Buah Pipa Baja Karbon, DN. 36" (900 mm)</t>
  </si>
  <si>
    <t>9.5.2.14</t>
  </si>
  <si>
    <t>Pemotongan 1 Buah Pipa Baja Karbon, DN. 40" (1000 mm)</t>
  </si>
  <si>
    <t>9.5.2.15</t>
  </si>
  <si>
    <t>Pemotongan 1 Buah Pipa Baja Karbon, DN. 44" (1100 mm)</t>
  </si>
  <si>
    <t>9.5.2.16</t>
  </si>
  <si>
    <t>Pemotongan 1 Buah Pipa Baja Karbon, DN. 48" (1200 mm)</t>
  </si>
  <si>
    <t>9.6</t>
  </si>
  <si>
    <t>PIPA BETON</t>
  </si>
  <si>
    <t>9.6.1</t>
  </si>
  <si>
    <t>Pemasangan Pipa Beton</t>
  </si>
  <si>
    <t>9.6.1.1</t>
  </si>
  <si>
    <t>Pemasangan 1 m Pipa Beton, DN. 8" (200 mm)</t>
  </si>
  <si>
    <t>9.6.1.2</t>
  </si>
  <si>
    <t>Pemasangan 1 m Pipa Beton, DN. 12" (300 mm)</t>
  </si>
  <si>
    <t>9.6.1.3</t>
  </si>
  <si>
    <t>Pemasangan 1 m Pipa Beton, DN. 16" (400 mm)</t>
  </si>
  <si>
    <t>9.6.1.4</t>
  </si>
  <si>
    <t>Pemasangan 1 m Pipa Beton, DN. 20" (500 mm)</t>
  </si>
  <si>
    <t>9.6.1.5</t>
  </si>
  <si>
    <t>Pemasangan 1 m Pipa Beton, DN. 24" (600 mm)</t>
  </si>
  <si>
    <t>9.6.1.6</t>
  </si>
  <si>
    <t>Pemasangan 1 m Pipa Beton, DN. 28" (700 mm)</t>
  </si>
  <si>
    <t>9.6.1.7</t>
  </si>
  <si>
    <t>Pemasangan 1 m Pipa Beton, DN. 32" (800 mm)</t>
  </si>
  <si>
    <t>9.6.1.8</t>
  </si>
  <si>
    <t>Pemasangan 1 m Pipa Beton, DN. 40" (1000 mm)</t>
  </si>
  <si>
    <t>9.6.1.9</t>
  </si>
  <si>
    <t>Pemasangan 1 m Pipa Beton, DN. 48" (1200 mm)</t>
  </si>
  <si>
    <t>9.7</t>
  </si>
  <si>
    <t>AKSESORIS PIPA</t>
  </si>
  <si>
    <t>9.7.1</t>
  </si>
  <si>
    <t>Sambungan Pipa Baru ke Pipa Lama</t>
  </si>
  <si>
    <t>9.7.1.1</t>
  </si>
  <si>
    <t>Penyambungan 1 buah Pipa Baru ke Pipa Yang Ada, DN. 3" (80 mm)</t>
  </si>
  <si>
    <t>9.7.1.2</t>
  </si>
  <si>
    <t>Penyambungan 1 buah Pipa Baru ke Pipa Yang Ada, DN. 4" (100 mm)</t>
  </si>
  <si>
    <t>9.7.1.3</t>
  </si>
  <si>
    <t>Penyambungan 1 buah Pipa Baru ke Pipa Yang Ada, DN. 6" (150 mm)</t>
  </si>
  <si>
    <t>9.7.1.4</t>
  </si>
  <si>
    <t>Penyambungan 1 buah Pipa Baru ke Pipa Yang Ada, DN. 8" (200 mm)</t>
  </si>
  <si>
    <t>9.7.1.5</t>
  </si>
  <si>
    <t>Penyambungan 1 buah Pipa Baru ke Pipa Yang Ada, DN. 10" (250 mm)</t>
  </si>
  <si>
    <t>9.7.1.6</t>
  </si>
  <si>
    <t>Penyambungan 1 buah Pipa Baru ke Pipa Yang Ada, DN. 12" (300 mm)</t>
  </si>
  <si>
    <t>9.7.1.7</t>
  </si>
  <si>
    <t>Penyambungan 1 buah Pipa Baru ke Pipa Yang Ada, DN. 16" (400 mm)</t>
  </si>
  <si>
    <t>9.7.1.8</t>
  </si>
  <si>
    <t>Penyambungan 1 buah Pipa Baru ke Pipa Yang Ada, DN. 18" (450 mm)</t>
  </si>
  <si>
    <t>9.7.1.9</t>
  </si>
  <si>
    <t>Penyambungan 1 buah Pipa Baru ke Pipa Yang Ada, DN. 20" (500 mm)</t>
  </si>
  <si>
    <t>9.7.1.10</t>
  </si>
  <si>
    <t>Penyambungan 1 buah Pipa Baru ke Pipa Yang Ada, DN. 24" (600 mm)</t>
  </si>
  <si>
    <t>9.7.1.11</t>
  </si>
  <si>
    <t>Penyambungan 1 buah Pipa Baru ke Pipa Yang Ada, DN. 28" (700 mm)</t>
  </si>
  <si>
    <t>9.7.1.12</t>
  </si>
  <si>
    <t>Penyambungan 1 buah Pipa Baru ke Pipa Yang Ada, DN. 32" (800 mm)</t>
  </si>
  <si>
    <t>9.7.1.13</t>
  </si>
  <si>
    <t>Penyambungan 1 buah Pipa Baru ke Pipa Yang Ada, DN. 1/2" (15 mm)</t>
  </si>
  <si>
    <t>9.7.1.14</t>
  </si>
  <si>
    <t>Penyambungan 1 buah Pipa Baru ke Pipa Yang Ada, DN. 3/4" (20 mm)</t>
  </si>
  <si>
    <t>9.7.1.15</t>
  </si>
  <si>
    <t>Penyambungan 1 buah Pipa Baru ke Pipa Yang Ada, DN. 1" (25 mm)</t>
  </si>
  <si>
    <t>9.7.1.16</t>
  </si>
  <si>
    <t>Penyambungan 1 buah Pipa Baru ke Pipa Yang Ada, DN. 1-1/4" (32 mm)</t>
  </si>
  <si>
    <t>9.7.1.17</t>
  </si>
  <si>
    <t>Penyambungan 1 buah Pipa Baru ke Pipa Yang Ada, DN. 1-1/2" (40 mm)</t>
  </si>
  <si>
    <t>9.7.1.18</t>
  </si>
  <si>
    <t>Penyambungan 1 buah Pipa Baru ke Pipa Yang Ada, DN. 2" (50 mm)</t>
  </si>
  <si>
    <t>9.7.1.19</t>
  </si>
  <si>
    <t>Penyambungan 1 buah Pipa Baru ke Pipa Yang Ada, DN. 2-1/2" (65 mm)</t>
  </si>
  <si>
    <t>9.7.2</t>
  </si>
  <si>
    <t>Valve</t>
  </si>
  <si>
    <t>9.7.2.1</t>
  </si>
  <si>
    <t>Pemasangan 1 Buah Valve Ø 6" (150 mm)</t>
  </si>
  <si>
    <t>9.7.2.2</t>
  </si>
  <si>
    <t>Pemasangan 1 Buah Valve Ø 8" (200 mm)</t>
  </si>
  <si>
    <t>9.7.2.3</t>
  </si>
  <si>
    <t>Pemasangan 1 Buah Valve Ø 10" (250 mm)</t>
  </si>
  <si>
    <t>9.7.2.4</t>
  </si>
  <si>
    <t>Pemasangan 1 Buah Valve Ø 12" (300 mm)</t>
  </si>
  <si>
    <t>9.7.2.5</t>
  </si>
  <si>
    <t>Pemasangan 1 Buah Valve Ø 16" (400 mm)</t>
  </si>
  <si>
    <t>9.7.2.6</t>
  </si>
  <si>
    <t>Pemasangan 1 Buah Valve Ø 18" (450 mm)</t>
  </si>
  <si>
    <t>9.7.2.7</t>
  </si>
  <si>
    <t>Pemasangan 1 Buah Valve Ø 20" (500 mm)</t>
  </si>
  <si>
    <t>9.7.2.8</t>
  </si>
  <si>
    <t>Pemasangan 1 Buah Valve Ø 24" (600 mm)</t>
  </si>
  <si>
    <t>9.7.2.9</t>
  </si>
  <si>
    <t>Pemasangan 1 Buah Valve Ø 28" (700 mm)</t>
  </si>
  <si>
    <t>9.7.2.10</t>
  </si>
  <si>
    <t>Pemasangan 1 Buah Valve Ø 32" (800 mm)</t>
  </si>
  <si>
    <t>9.7.2.11</t>
  </si>
  <si>
    <t>Pemasangan 1 Buah Valve Ø 36" (900 mm)</t>
  </si>
  <si>
    <t>9.7.2.12</t>
  </si>
  <si>
    <t>Pemasangan 1 Buah Valve Ø 40" (1000 mm)</t>
  </si>
  <si>
    <t>9.7.2.13</t>
  </si>
  <si>
    <t>Pemasangan 1 Buah Valve Ø 44" (1100 mm)</t>
  </si>
  <si>
    <t>9.7.2.14</t>
  </si>
  <si>
    <t>Pemasangan 1 Buah Valve Ø 48" (1200 mm)</t>
  </si>
  <si>
    <t>9.7.2.15</t>
  </si>
  <si>
    <t>Pemasangan 1 Buah Valve Ø 1/2" (15 mm)</t>
  </si>
  <si>
    <t>9.7.2.16</t>
  </si>
  <si>
    <t>Pemasangan 1 Buah Valve Ø 3/4" (20 mm)</t>
  </si>
  <si>
    <t>9.7.2.17</t>
  </si>
  <si>
    <t>Pemasangan 1 Buah Valve Ø 1" (25 mm)</t>
  </si>
  <si>
    <t>9.7.2.18</t>
  </si>
  <si>
    <t>Pemasangan 1 Buah Valve Ø 1-1/4" (32 mm)</t>
  </si>
  <si>
    <t>9.7.2.19</t>
  </si>
  <si>
    <t>Pemasangan 1 Buah Valve Ø 1-1/2" (40 mm)</t>
  </si>
  <si>
    <t>9.7.2.20</t>
  </si>
  <si>
    <t>Pemasangan 1 Buah Valve Ø 2" (50 mm)</t>
  </si>
  <si>
    <t>9.7.2.21</t>
  </si>
  <si>
    <t>Pemasangan 1 Buah Valve Ø 2-1/2" (65 mm)</t>
  </si>
  <si>
    <t>9.7.2.22</t>
  </si>
  <si>
    <t>Pemasangan 1 Buah Valve Ø 3" (80 mm)</t>
  </si>
  <si>
    <t>9.7.2.23</t>
  </si>
  <si>
    <t>Pemasangan 1 Buah Valve Ø 4" (100 mm)</t>
  </si>
  <si>
    <t>9.7.2.24</t>
  </si>
  <si>
    <t>Pemasangan 1 Buah Valve Ø 5" (125 mm)</t>
  </si>
  <si>
    <t>9.7.3</t>
  </si>
  <si>
    <t>Pemasangan Aksesoris Tee</t>
  </si>
  <si>
    <t>9.7.3.1</t>
  </si>
  <si>
    <t>Pemasangan 1 Buah Tee Ø 6" (150 mm)</t>
  </si>
  <si>
    <t>9.7.3.2</t>
  </si>
  <si>
    <t>Pemasangan 1 Buah Tee Ø 8" (200 mm)</t>
  </si>
  <si>
    <t>9.7.3.3</t>
  </si>
  <si>
    <t>Pemasangan 1 Buah Tee Ø 10" (250 mm)</t>
  </si>
  <si>
    <t>9.7.3.4</t>
  </si>
  <si>
    <t>Pemasangan 1 Buah Tee Ø 18" (450 mm)</t>
  </si>
  <si>
    <t>9.7.3.5</t>
  </si>
  <si>
    <t>Pemasangan 1 Buah Tee Ø 20" (500 mm)</t>
  </si>
  <si>
    <t>9.7.3.6</t>
  </si>
  <si>
    <t>Pemasangan 1 Buah Tee Ø 24" (600 mm)</t>
  </si>
  <si>
    <t>9.7.3.7</t>
  </si>
  <si>
    <t>Pemasangan 1 Buah Tee Ø 28" (700 mm)</t>
  </si>
  <si>
    <t>9.7.3.8</t>
  </si>
  <si>
    <t>Pemasangan 1 Buah Tee Ø 32" (800 mm)</t>
  </si>
  <si>
    <t>9.7.3.9</t>
  </si>
  <si>
    <t>Pemasangan 1 Buah Tee Ø 36" (900 mm)</t>
  </si>
  <si>
    <t>9.7.3.10</t>
  </si>
  <si>
    <t>Pemasangan 1 Buah Tee Ø 40" (1000 mm)</t>
  </si>
  <si>
    <t>9.7.3.11</t>
  </si>
  <si>
    <t>Pemasangan 1 Buah Tee Ø 44" (1100 mm)</t>
  </si>
  <si>
    <t>9.7.3.12</t>
  </si>
  <si>
    <t>Pemasangan 1 Buah Tee Ø 48" (1200 mm)</t>
  </si>
  <si>
    <t>9.7.3.13</t>
  </si>
  <si>
    <t>Pemasangan 1 Buah Tee Ø 1/2" (15 mm)</t>
  </si>
  <si>
    <t>9.7.3.14</t>
  </si>
  <si>
    <t>Pemasangan 1 Buah Tee Ø 3/4" (20 mm)</t>
  </si>
  <si>
    <t>9.7.3.15</t>
  </si>
  <si>
    <t>Pemasangan 1 Buah Tee Ø 1" (25 mm)</t>
  </si>
  <si>
    <t>9.7.3.16</t>
  </si>
  <si>
    <t>Pemasangan 1 Buah Tee Ø 1-1/4" (32 mm)</t>
  </si>
  <si>
    <t>9.7.3.17</t>
  </si>
  <si>
    <t>Pemasangan 1 Buah Tee Ø 1-1/2" (40 mm)</t>
  </si>
  <si>
    <t>9.7.3.18</t>
  </si>
  <si>
    <t>Pemasangan 1 Buah Tee Ø 2" (50 mm)</t>
  </si>
  <si>
    <t>9.7.3.19</t>
  </si>
  <si>
    <t>Pemasangan 1 Buah Tee Ø 2-1/2" (65 mm)</t>
  </si>
  <si>
    <t>9.7.3.20</t>
  </si>
  <si>
    <t>Pemasangan 1 Buah Tee Ø 3" (80 mm)</t>
  </si>
  <si>
    <t>9.7.3.21</t>
  </si>
  <si>
    <t>Pemasangan 1 Buah Tee Ø 4" (100 mm)</t>
  </si>
  <si>
    <t>9.7.3.22</t>
  </si>
  <si>
    <t>Pemasangan 1 Buah Tee Ø 5" (125 mm)</t>
  </si>
  <si>
    <t>9.7.3.23</t>
  </si>
  <si>
    <t>Pemasangan 1 Buah Tee Ø 12" (300 mm)</t>
  </si>
  <si>
    <t>9.7.3.24</t>
  </si>
  <si>
    <t>Pemasangan 1 Buah Tee Ø 16" (400 mm)</t>
  </si>
  <si>
    <t>10</t>
  </si>
  <si>
    <t>Sistem Struktur Risha</t>
  </si>
  <si>
    <t>10.1</t>
  </si>
  <si>
    <t>Pekerjaan Produksi Panel RISHA</t>
  </si>
  <si>
    <t>10.1.1</t>
  </si>
  <si>
    <t>Pembuatan 1 buah cetakan Panel P1 RISHA (Asumsi 400 Kali Pakai )</t>
  </si>
  <si>
    <t>10.1.2</t>
  </si>
  <si>
    <t>Pembuatan 1 buah cetakan Panel P2 RISHA (Asumsi 400 Kali Pakai )</t>
  </si>
  <si>
    <t>10.1.3</t>
  </si>
  <si>
    <t>Pembuatan 1 buah cetakan Panel P3 RISHA (Asumsi 400 Kali Pakai )</t>
  </si>
  <si>
    <t>10.1.4</t>
  </si>
  <si>
    <t>Pasangan dan Membuka Cetakan 1 buah Komponen P1 RISHA</t>
  </si>
  <si>
    <t>10.1.5</t>
  </si>
  <si>
    <t>Pasangan dan Membuka Cetakan 1 buah Komponen P2 RISHA</t>
  </si>
  <si>
    <t>10.1.6</t>
  </si>
  <si>
    <t>Pasangan dan Membuka Cetakan 1 buah Komponen P3 RISHA</t>
  </si>
  <si>
    <t>10.1.7</t>
  </si>
  <si>
    <t>Produksi 1 buah Panel P1</t>
  </si>
  <si>
    <t>10.1.8</t>
  </si>
  <si>
    <t>Produksi 1 buah Panel P2</t>
  </si>
  <si>
    <t>10.1.9</t>
  </si>
  <si>
    <t>Produksi 1 buah Panel P3</t>
  </si>
  <si>
    <t>10.2</t>
  </si>
  <si>
    <t>Pekerjaan Pengepakan dan Pengiriman Panel Lengkap dengan Aksesoris RISHA</t>
  </si>
  <si>
    <t>10.2.1</t>
  </si>
  <si>
    <t>Pengepakan 1 set Panel dan Aksesoris RISHA T-36</t>
  </si>
  <si>
    <t>10.2.2</t>
  </si>
  <si>
    <t>Pengiriman 1 set Panel dan Aksesoris RISHA T-36</t>
  </si>
  <si>
    <t>10.3</t>
  </si>
  <si>
    <t>Pekerjaan Perakitan Panel RISHA</t>
  </si>
  <si>
    <t>10.3.1</t>
  </si>
  <si>
    <t>Pekerjaan Perakitan Panel dan Alat Sambung Modul T36 RISHA</t>
  </si>
  <si>
    <t>10.3.2</t>
  </si>
  <si>
    <t>Pekerjaan Perakitan Panel Modul T36 RISHA</t>
  </si>
  <si>
    <t>DATABASE HARGA UPAH, BAHAN, DAN ALAT (CIPTA KARYA 2025)</t>
  </si>
  <si>
    <t>Kode</t>
  </si>
  <si>
    <t>Nama Komponen</t>
  </si>
  <si>
    <t>Harga Satuan (Rp)</t>
  </si>
  <si>
    <t>NO</t>
  </si>
  <si>
    <t>UPAH - MATERIAL - ALAT</t>
  </si>
  <si>
    <t>SATUAN</t>
  </si>
  <si>
    <t>1</t>
  </si>
  <si>
    <t>I.</t>
  </si>
  <si>
    <t>UPAH</t>
  </si>
  <si>
    <t>L.01</t>
  </si>
  <si>
    <t>Pekerja</t>
  </si>
  <si>
    <t>OH</t>
  </si>
  <si>
    <t>L.02</t>
  </si>
  <si>
    <t>Tukang batu</t>
  </si>
  <si>
    <t>Tukang kayu</t>
  </si>
  <si>
    <t>Tukang besi</t>
  </si>
  <si>
    <t>Tukang cat</t>
  </si>
  <si>
    <t>Tukang pelitur</t>
  </si>
  <si>
    <t>Tukang pipa</t>
  </si>
  <si>
    <t>Tukang penganyam bronjong</t>
  </si>
  <si>
    <t>Tukang tebas</t>
  </si>
  <si>
    <t>Tukang las</t>
  </si>
  <si>
    <t>Tukang las geotextile</t>
  </si>
  <si>
    <t>11</t>
  </si>
  <si>
    <t>Tukang listrik</t>
  </si>
  <si>
    <t>12</t>
  </si>
  <si>
    <t>Tukang alumunium</t>
  </si>
  <si>
    <t>13</t>
  </si>
  <si>
    <t>Tukang kaca</t>
  </si>
  <si>
    <t>14</t>
  </si>
  <si>
    <t>Tukang erection</t>
  </si>
  <si>
    <t>15</t>
  </si>
  <si>
    <t>Tukang tanam</t>
  </si>
  <si>
    <t xml:space="preserve">Tukang Tanam </t>
  </si>
  <si>
    <t xml:space="preserve">OH </t>
  </si>
  <si>
    <t xml:space="preserve">Kepala Tukang Tanam </t>
  </si>
  <si>
    <t>Tukang pemelihara taman</t>
  </si>
  <si>
    <t>Tukang pemelihara taman (115% Pekerja)</t>
  </si>
  <si>
    <t>Tukang gali</t>
  </si>
  <si>
    <t>Tukang aspal</t>
  </si>
  <si>
    <t>L.03</t>
  </si>
  <si>
    <t>Kepala tukang</t>
  </si>
  <si>
    <t>L.04</t>
  </si>
  <si>
    <t>Mandor</t>
  </si>
  <si>
    <t>21</t>
  </si>
  <si>
    <t>L.05</t>
  </si>
  <si>
    <t>Juru ukur</t>
  </si>
  <si>
    <t>28</t>
  </si>
  <si>
    <t>L.06</t>
  </si>
  <si>
    <t>Pembantu juru ukur</t>
  </si>
  <si>
    <t>24</t>
  </si>
  <si>
    <t>L.07</t>
  </si>
  <si>
    <t>Mekanik alat berat</t>
  </si>
  <si>
    <t>25</t>
  </si>
  <si>
    <t>L.08</t>
  </si>
  <si>
    <t>Operator alat berat</t>
  </si>
  <si>
    <t>30</t>
  </si>
  <si>
    <t>L.09</t>
  </si>
  <si>
    <t>Pembantu operator alat berat</t>
  </si>
  <si>
    <t>31</t>
  </si>
  <si>
    <t>L.10</t>
  </si>
  <si>
    <t>Sopir</t>
  </si>
  <si>
    <t>22</t>
  </si>
  <si>
    <t>L.11</t>
  </si>
  <si>
    <t>Kenek</t>
  </si>
  <si>
    <t>Administrasi bor</t>
  </si>
  <si>
    <t>16</t>
  </si>
  <si>
    <t>Ahli geologist</t>
  </si>
  <si>
    <t>17</t>
  </si>
  <si>
    <t>Ahli topografi</t>
  </si>
  <si>
    <t>18</t>
  </si>
  <si>
    <t>Crew driller</t>
  </si>
  <si>
    <t>19</t>
  </si>
  <si>
    <t>Driller</t>
  </si>
  <si>
    <t>20</t>
  </si>
  <si>
    <t>Juru gambar</t>
  </si>
  <si>
    <t>23</t>
  </si>
  <si>
    <t>Koordinator driller</t>
  </si>
  <si>
    <t>26</t>
  </si>
  <si>
    <t>Operator pompa</t>
  </si>
  <si>
    <t>27</t>
  </si>
  <si>
    <t>Pembantu driller</t>
  </si>
  <si>
    <t>29</t>
  </si>
  <si>
    <t>Pembantu mekanik alat berat</t>
  </si>
  <si>
    <t>32</t>
  </si>
  <si>
    <t>Supir kendaraan &lt;  2 ton (termasuk sedan)</t>
  </si>
  <si>
    <t>L.14.b</t>
  </si>
  <si>
    <t xml:space="preserve">Tenaga Terampil Operator </t>
  </si>
  <si>
    <t xml:space="preserve">Tenaga Ahli Muda </t>
  </si>
  <si>
    <t>II.</t>
  </si>
  <si>
    <t>MATERIAL</t>
  </si>
  <si>
    <t>MATERIAL  TANAH DAN  BATUAN</t>
  </si>
  <si>
    <t>Agregat kasar</t>
  </si>
  <si>
    <t xml:space="preserve">Agregar Kasar </t>
  </si>
  <si>
    <t xml:space="preserve">kg </t>
  </si>
  <si>
    <t>Agg Pokok</t>
  </si>
  <si>
    <t>Agg Pengunci</t>
  </si>
  <si>
    <t>Agg Penutup</t>
  </si>
  <si>
    <t>Bata merah</t>
  </si>
  <si>
    <t>Bata merah 5 x  11 x  22 cm (per m3)</t>
  </si>
  <si>
    <t>Bata ringan</t>
  </si>
  <si>
    <t>Bata ringan t=10 cm</t>
  </si>
  <si>
    <t>Bata ringan tebal 10 cm</t>
  </si>
  <si>
    <t>Bata ringan tebal 20 cm</t>
  </si>
  <si>
    <t>Bata ringan tebal 7,5 cm</t>
  </si>
  <si>
    <t>Bata rooster</t>
  </si>
  <si>
    <t xml:space="preserve">Bata Berongga Uk. 12x11x24 </t>
  </si>
  <si>
    <t xml:space="preserve">buah </t>
  </si>
  <si>
    <t>Batu alam andesit  bakar</t>
  </si>
  <si>
    <t>m²</t>
  </si>
  <si>
    <t>Batu alam andesit  non bakar</t>
  </si>
  <si>
    <t>Batu belah (base camp - lokasi pekerjaan)</t>
  </si>
  <si>
    <t>Batu belah (quarry - base camp)</t>
  </si>
  <si>
    <t>Batu belah (quarry - lokasi pekerjaan)</t>
  </si>
  <si>
    <t>Pasangan batu ukuran 20/50 t=40cm</t>
  </si>
  <si>
    <t>Fondasi pasangan batu</t>
  </si>
  <si>
    <t>Batu belah (quarry)</t>
  </si>
  <si>
    <t>Batu candi</t>
  </si>
  <si>
    <t>Batu kali (quarry - base camp)</t>
  </si>
  <si>
    <t>Batu kali (quarry)</t>
  </si>
  <si>
    <t>Batu Muka ukuran 12x18 cm</t>
  </si>
  <si>
    <t xml:space="preserve">Batu </t>
  </si>
  <si>
    <t>Batu paras</t>
  </si>
  <si>
    <t>Batu pecah</t>
  </si>
  <si>
    <t>Batu pecah 3/5</t>
  </si>
  <si>
    <t>Batu pecah 5/7</t>
  </si>
  <si>
    <t>Batu putih</t>
  </si>
  <si>
    <t>Batu putih breksi</t>
  </si>
  <si>
    <t>Batu sikat</t>
  </si>
  <si>
    <t>Batu split 1/2</t>
  </si>
  <si>
    <t>Batu split 2/3</t>
  </si>
  <si>
    <t>Koral Beton</t>
  </si>
  <si>
    <t>Batu tempel hitam</t>
  </si>
  <si>
    <t>Fly ash</t>
  </si>
  <si>
    <t>HB-10</t>
  </si>
  <si>
    <t>HB-15</t>
  </si>
  <si>
    <t>33</t>
  </si>
  <si>
    <t>HB-20</t>
  </si>
  <si>
    <t>Kerikil</t>
  </si>
  <si>
    <t xml:space="preserve">Kerikil </t>
  </si>
  <si>
    <t>34</t>
  </si>
  <si>
    <t>Koral bulat</t>
  </si>
  <si>
    <t>35</t>
  </si>
  <si>
    <t>Pasir Beton</t>
  </si>
  <si>
    <t>36</t>
  </si>
  <si>
    <t>Pasir beton (Base camp - lokasi pekerjaan)</t>
  </si>
  <si>
    <t>37</t>
  </si>
  <si>
    <t>Pasir beton (quarry - Base camp)</t>
  </si>
  <si>
    <t>38</t>
  </si>
  <si>
    <t>Pasir beton (quarry - lokasi pekerjaan)</t>
  </si>
  <si>
    <t>39</t>
  </si>
  <si>
    <t>Pasir beton (quarry)</t>
  </si>
  <si>
    <t>Pasir pasang</t>
  </si>
  <si>
    <t>40</t>
  </si>
  <si>
    <t>Pasir pasang (quarry - base camp)</t>
  </si>
  <si>
    <t>41</t>
  </si>
  <si>
    <t>Pasir pasang (quarry - lokasi pekerjaan)</t>
  </si>
  <si>
    <t>42</t>
  </si>
  <si>
    <t>Pasir pasang (quarry)</t>
  </si>
  <si>
    <t>43</t>
  </si>
  <si>
    <t>Pasir urug (quarry - base camp)</t>
  </si>
  <si>
    <t>44</t>
  </si>
  <si>
    <t>Pasir urug (quarry - lokasi pekerjaan)</t>
  </si>
  <si>
    <t>45</t>
  </si>
  <si>
    <t>Pasir Urug (quarry)</t>
  </si>
  <si>
    <t>Urukan Pasir Uruk</t>
  </si>
  <si>
    <t>46</t>
  </si>
  <si>
    <t>Serbuk batu granit</t>
  </si>
  <si>
    <t>47</t>
  </si>
  <si>
    <t>Serbuk batu traso</t>
  </si>
  <si>
    <t>48</t>
  </si>
  <si>
    <t>Sirtu (base camp - lokasi pekerjaan)</t>
  </si>
  <si>
    <t>49</t>
  </si>
  <si>
    <t>Sirtu (quarry - base camp)</t>
  </si>
  <si>
    <t>50</t>
  </si>
  <si>
    <t>Sirtu (quarry - lokasi pekerjaan)</t>
  </si>
  <si>
    <t>51</t>
  </si>
  <si>
    <t>Sirtu (quarry)</t>
  </si>
  <si>
    <t>52</t>
  </si>
  <si>
    <t>Tanah biasa (quarry - lokasi pekerjaan)</t>
  </si>
  <si>
    <t>53</t>
  </si>
  <si>
    <t>Tanah biasa (quarry)</t>
  </si>
  <si>
    <t>54</t>
  </si>
  <si>
    <t>Tanah liat  (quarry)</t>
  </si>
  <si>
    <t>55</t>
  </si>
  <si>
    <t>Tanah liat (quarry-lokasi pekerjaan)</t>
  </si>
  <si>
    <t>56</t>
  </si>
  <si>
    <t>Tanah padas  (quarry - lokasi pekerjaan)</t>
  </si>
  <si>
    <t>57</t>
  </si>
  <si>
    <t>Tanah padas  (quarry)</t>
  </si>
  <si>
    <t>58</t>
  </si>
  <si>
    <t>Tanah Pilihan (quarry - lokasi pekerjaan)</t>
  </si>
  <si>
    <t>59</t>
  </si>
  <si>
    <t>Tanah Pilihan (quarry)</t>
  </si>
  <si>
    <t>Tanah Subur</t>
  </si>
  <si>
    <t>MATERIAL KAYU DAN BAMBU</t>
  </si>
  <si>
    <t>Bambu cerucuk Ø 10 cm panjang 600 cm</t>
  </si>
  <si>
    <t>batang</t>
  </si>
  <si>
    <t>Bambu cerucuk Ø 15 cm panjang 600 cm</t>
  </si>
  <si>
    <t>Bambu Ø 10 cm panjang 600 cm</t>
  </si>
  <si>
    <t>Bambu Ø 6 - 8 cm, pjg 6m</t>
  </si>
  <si>
    <t>Bambu panjang 4,5 m</t>
  </si>
  <si>
    <t>bambu panjang 2 meter</t>
  </si>
  <si>
    <t xml:space="preserve">Anyaman Bambu </t>
  </si>
  <si>
    <t xml:space="preserve">lembar </t>
  </si>
  <si>
    <t>Bilik bambu</t>
  </si>
  <si>
    <t>Blockboard tebal 18 mm</t>
  </si>
  <si>
    <t>Dolken kayu φ 8-10 panjang 400 cm</t>
  </si>
  <si>
    <t>Kayu</t>
  </si>
  <si>
    <t>Kayu Balok Borneo</t>
  </si>
  <si>
    <t>M3</t>
  </si>
  <si>
    <t>Kayu balok 6/12 kelas I</t>
  </si>
  <si>
    <t>Kayu balok 6/12 kelas II</t>
  </si>
  <si>
    <t xml:space="preserve">Kayu balok kelas II </t>
  </si>
  <si>
    <t>Kayu balok 6/15 kelas I</t>
  </si>
  <si>
    <t>Kayu balok 6/15 kelas II</t>
  </si>
  <si>
    <t>Kayu balok 6/15 kelas II (batang)</t>
  </si>
  <si>
    <t>Tiang kayu 8/12 kelas II tinggi 4m</t>
  </si>
  <si>
    <t>Tiang kayu 5/7 kelas II tinggi 3m</t>
  </si>
  <si>
    <t>Kaso 5/7</t>
  </si>
  <si>
    <t>Kaso 5/7 kayu kelas II</t>
  </si>
  <si>
    <t>Kayu kaso 5/7 kelas III</t>
  </si>
  <si>
    <t>Kayu Meranti (papan)</t>
  </si>
  <si>
    <t>m³</t>
  </si>
  <si>
    <t>Papan Kayu ukuran 2/20 cm</t>
  </si>
  <si>
    <t xml:space="preserve">Papan Cor </t>
  </si>
  <si>
    <t>Kayu papan 3/20 cm</t>
  </si>
  <si>
    <t>Kayu papan kelas I</t>
  </si>
  <si>
    <t>Kayu papan kelas II</t>
  </si>
  <si>
    <t>Kayu papan kelas III</t>
  </si>
  <si>
    <t>Kayu Papan tebal 9 mm</t>
  </si>
  <si>
    <t>Kayu papan kelas III (m2)</t>
  </si>
  <si>
    <t>Kayu sengon (balok)</t>
  </si>
  <si>
    <t>Kayu Sengon (papan)</t>
  </si>
  <si>
    <t>List kayu 2x4 cm</t>
  </si>
  <si>
    <t>List kayu profil</t>
  </si>
  <si>
    <t>List kayu profil kelas II</t>
  </si>
  <si>
    <t>M</t>
  </si>
  <si>
    <t>Multiplek tebal 4 mm</t>
  </si>
  <si>
    <t>lembar</t>
  </si>
  <si>
    <t>Multiplek tebal 9 mm</t>
  </si>
  <si>
    <t>Multiplek tebal 12 mm</t>
  </si>
  <si>
    <t>Multiplek tebal 18 mm</t>
  </si>
  <si>
    <t>Perancah kayu</t>
  </si>
  <si>
    <t>Phenol film 12mm</t>
  </si>
  <si>
    <t>Pintu Double teakwood rangka kayu</t>
  </si>
  <si>
    <t>Pintu panel kayu lapis timbal uk. 1x2 m</t>
  </si>
  <si>
    <t>Plywood 12 mm</t>
  </si>
  <si>
    <t>Plywood 4 mm m3</t>
  </si>
  <si>
    <t>Plywood 3 mm</t>
  </si>
  <si>
    <t>Plywood 4 mm</t>
  </si>
  <si>
    <t>Plywood 6 mm</t>
  </si>
  <si>
    <t>Plywood 9 mm (120x240)</t>
  </si>
  <si>
    <t>Reng 2x3 cm</t>
  </si>
  <si>
    <t>Reng 3x4 cm</t>
  </si>
  <si>
    <t>Teakwood 4 mm (120x240)</t>
  </si>
  <si>
    <t>Teakwood 4 mm (90x210)</t>
  </si>
  <si>
    <t>Teakwood 9 mm (90x210)</t>
  </si>
  <si>
    <t>Tripleks  t=9mm</t>
  </si>
  <si>
    <t>Veeneer tebal 2 mm</t>
  </si>
  <si>
    <t>MATERIAL PIPA PVC DAN HDPE</t>
  </si>
  <si>
    <t>Assesoris  PVC</t>
  </si>
  <si>
    <t>Pipa HDPE 40/33 mm</t>
  </si>
  <si>
    <t>Pipa PVC  tipe D Ø 2"</t>
  </si>
  <si>
    <t>Pipa PVC AW Ø 1"</t>
  </si>
  <si>
    <t>PIPA PVC AW ; DN. 1"
(25 mm) dan
aksesoris</t>
  </si>
  <si>
    <t>Pipa PVC AW ; DN. 1"
(25 mm) + fitting &amp;
aksesoris</t>
  </si>
  <si>
    <t>Pipa PVC AW Ø 1/2"</t>
  </si>
  <si>
    <t>Pipa PVC AW Ø 1/2" (m)</t>
  </si>
  <si>
    <t>PIPA PVC AW ; DN.
1/2" (15 mm) dan
aksesoris</t>
  </si>
  <si>
    <t>Pipa PVC AW ; DN.
1/2" (15 mm) +
fitting &amp; aksesoris</t>
  </si>
  <si>
    <t>Pipa PVC AW Ø 10"</t>
  </si>
  <si>
    <t>Pipa PVC AW Ø 1-1/2"</t>
  </si>
  <si>
    <t>PIPA PVC AW ; DN. 1-
1/2" (40 mm) dan
aksesoris</t>
  </si>
  <si>
    <t>Pipa PVC AW ; DN. 1-
1/2" (40 mm) +
fitting &amp; aksesoris</t>
  </si>
  <si>
    <t>Pipa PVC AW Ø 1-1/4"</t>
  </si>
  <si>
    <t>PIPA PVC AW ; DN. 1-
1/4" (32 mm) dan
aksesoris</t>
  </si>
  <si>
    <t>Pipa PVC AW ; DN. 1-
1/4" (32 mm) +
fitting &amp; aksesoris</t>
  </si>
  <si>
    <t>Pipa PVC AW Ø 12"</t>
  </si>
  <si>
    <t>Pipa PVC AW ; DN. 12" (300 mm) + fitting &amp; aksesoris</t>
  </si>
  <si>
    <t>Pipa PVC AW Ø 14"</t>
  </si>
  <si>
    <t>Pipa PVC AW ; DN. 14" (350 mm) + fitting &amp; aksesoris</t>
  </si>
  <si>
    <t>Pipa PVC AW Ø 16"</t>
  </si>
  <si>
    <t>Pipa PVC AW ; DN. 16" (400 mm) + fitting &amp; aksesoris</t>
  </si>
  <si>
    <t>Pipa PVC AW Ø 2"</t>
  </si>
  <si>
    <t>PIPA PVC AW ; DN. 2"
(50 mm) dan
aksesoris</t>
  </si>
  <si>
    <t>Pipa PVC AW ; DN. 2" (50 mm) + fitting &amp; aksesoris</t>
  </si>
  <si>
    <t>Pipa PVC AW Ø 2-1/2"</t>
  </si>
  <si>
    <t>PIPA PVC AW ; DN. 2-
1/2" (65 mm) dan
aksesoris</t>
  </si>
  <si>
    <t>Pipa PVC AW ; DN. 2-1/2" (65 mm) + fitting &amp; aksesoris</t>
  </si>
  <si>
    <t>Pipa PVC AW Ø 3"</t>
  </si>
  <si>
    <t>PIPA PVC AW ; DN. 3"
(80 mm) dan
aksesoris</t>
  </si>
  <si>
    <t>Pipa PVC AW ; DN. 3"
(80 mm) + fitting &amp;
aksesoris</t>
  </si>
  <si>
    <t>Pipa PVC AW Ø 3/4"</t>
  </si>
  <si>
    <t>Pipa PVC AW Ø 3/4" (m)</t>
  </si>
  <si>
    <t>PIPA PVC AW ; DN.
3/4" (20 mm) dan
aksesoris</t>
  </si>
  <si>
    <t>Pipa PVC AW ; DN.
3/4" (20 mm) +
fitting &amp; aksesoris</t>
  </si>
  <si>
    <t>Pipa PVC AW Ø 4"</t>
  </si>
  <si>
    <t>PIPA PVC AW ; DN. 4"
(100 mm) dan
aksesoris</t>
  </si>
  <si>
    <t>Pipa PVC AW ; DN. 4"
(100 mm) + fitting &amp;
aksesoris</t>
  </si>
  <si>
    <t>Pipa PVC AW Ø 5"</t>
  </si>
  <si>
    <t>Pipa PVC AW ; DN. 5"
(125 mm) + fitting &amp;
aksesoris</t>
  </si>
  <si>
    <t>Pipa PVC AW Ø 6"</t>
  </si>
  <si>
    <t>Pipa PVC AW Ø 8"</t>
  </si>
  <si>
    <t>Pipa PVC AW ; DN. 8"
(200 mm) + fitting &amp;
aksesoris</t>
  </si>
  <si>
    <t>Pipa PVC D Ø 10"</t>
  </si>
  <si>
    <t>Pipa PVC D ; DN.
10" (250 mm) +
fitting &amp; aksesoris</t>
  </si>
  <si>
    <t>Pipa PVC AW ; DN.
10" (250 mm) +
fitting &amp; aksesoris</t>
  </si>
  <si>
    <t>Pipa PVC D Ø 1-1/2"</t>
  </si>
  <si>
    <t>Pipa PVC D ; DN. 1-1/2" (40 mm) + fitting &amp; aksesoris</t>
  </si>
  <si>
    <t>Pipa PVC D Ø 1-1/4"</t>
  </si>
  <si>
    <t>Pipa PVC D ; DN. 1-1/4" (32 mm) + fitting &amp; aksesoris</t>
  </si>
  <si>
    <t>Pipa PVC D Ø 12"</t>
  </si>
  <si>
    <t>Pipa PVC D ; DN.
12" (300 mm) +
fitting &amp; aksesoris</t>
  </si>
  <si>
    <t>Pipa PVC D Ø 14"</t>
  </si>
  <si>
    <t>Pipa PVC D ; DN.
14" (350 mm) +
fitting &amp; aksesoris</t>
  </si>
  <si>
    <t>Pipa PVC D Ø 16"</t>
  </si>
  <si>
    <t>Pipa PVC D ; DN.
16" (400 mm) +
fitting &amp; aksesoris</t>
  </si>
  <si>
    <t>Pipa PVC D Ø 2"</t>
  </si>
  <si>
    <t>Pipa PVC D ; DN. 2" (50 mm) + fitting &amp; aksesoris</t>
  </si>
  <si>
    <t>Pipa PVC D Ø 2-1/2"</t>
  </si>
  <si>
    <t>Pipa PVC D ; DN.
2-1/2" (65 mm) +
fitting &amp; aksesoris</t>
  </si>
  <si>
    <t>Pipa PVC D Ø 3"</t>
  </si>
  <si>
    <t>Pipa PVC D ; DN.
3" (80 mm) + fitting &amp;
aksesoris</t>
  </si>
  <si>
    <t>Pipa PVC D Ø 4"</t>
  </si>
  <si>
    <t>Pipa PVC D ; DN. 4" (100 mm) + fitting &amp; aksesoris</t>
  </si>
  <si>
    <t>Pipa PVC D Ø 5"</t>
  </si>
  <si>
    <t>Pipa PVC D ; DN. 5" (125 mm) + fitting &amp; aksesoris</t>
  </si>
  <si>
    <t>Pipa PVC D Ø 6"</t>
  </si>
  <si>
    <t>Pipa PVC D ; DN. 6" (150 mm) + fitting &amp; aksesoris</t>
  </si>
  <si>
    <t>Pipa PVC D Ø 8"</t>
  </si>
  <si>
    <t>Pipa PVC D ; DN. 8" (200 mm) + fitting &amp; aksesoris</t>
  </si>
  <si>
    <t>Pipa PVC dia. 1"</t>
  </si>
  <si>
    <t>Pipa PVC dia. 2"</t>
  </si>
  <si>
    <t>Pipa Tembaga B280 1/4"</t>
  </si>
  <si>
    <t xml:space="preserve">Duct Tape </t>
  </si>
  <si>
    <t xml:space="preserve">gulung </t>
  </si>
  <si>
    <t>Pipa Tembaga B280 3/8"</t>
  </si>
  <si>
    <t>Pipa Tembaga B280 1/2"</t>
  </si>
  <si>
    <t>Pipa Tembaga B280 5/8"</t>
  </si>
  <si>
    <t>Pipa Tembaga B280 3/4"</t>
  </si>
  <si>
    <t>Pipa Tembaga B280 7/8"</t>
  </si>
  <si>
    <t>Pipa Tembaga B280 1"</t>
  </si>
  <si>
    <t>Pipa Tembaga B280 1-1/8"</t>
  </si>
  <si>
    <t>Pipa Tembaga B280 1-3/8"</t>
  </si>
  <si>
    <t>Pipa Tembaga B280 1-5/8"</t>
  </si>
  <si>
    <t>PRV SET dia. 50 mm dan aksesoris</t>
  </si>
  <si>
    <t xml:space="preserve">unit </t>
  </si>
  <si>
    <t>PRV SET dia. 65 mm dan aksesoris</t>
  </si>
  <si>
    <t>PRV SET dia. 80 mm dan aksesoris</t>
  </si>
  <si>
    <t>PRV SET dia. 100 mm dan aksesoris</t>
  </si>
  <si>
    <t>PRV SET dia. 150 mm dan aksesoris</t>
  </si>
  <si>
    <t>PRV SET dia. 200 mm dan aksesoris</t>
  </si>
  <si>
    <t>MCV Set dia. 80 mm</t>
  </si>
  <si>
    <t>MCV Set dia. 100 mm</t>
  </si>
  <si>
    <t>MCV Set dia. 150 mm</t>
  </si>
  <si>
    <t>BCV Set dia. 50 mm</t>
  </si>
  <si>
    <t xml:space="preserve">set </t>
  </si>
  <si>
    <t>Flow Switch dia. 50 mm</t>
  </si>
  <si>
    <t xml:space="preserve">Sigh Glass </t>
  </si>
  <si>
    <t xml:space="preserve">Flow Switch </t>
  </si>
  <si>
    <t xml:space="preserve">Test Drain Valve </t>
  </si>
  <si>
    <t xml:space="preserve">Coupling 1 set </t>
  </si>
  <si>
    <t xml:space="preserve">Temper Switch </t>
  </si>
  <si>
    <t>BCV Set dia. 65 mm</t>
  </si>
  <si>
    <t>BCV Set dia. 80 mm</t>
  </si>
  <si>
    <t>BCV Set dia. 100 mm</t>
  </si>
  <si>
    <t>BCV Set dia. 150 mm</t>
  </si>
  <si>
    <t>Automatic Air Vent  dia. 50 mm</t>
  </si>
  <si>
    <t>Automatic Air Vent  dia. 80 mm</t>
  </si>
  <si>
    <t>Automatic Air Vent  dia. 100 mm</t>
  </si>
  <si>
    <t>Automatic Air Vent  dia. 150 mm</t>
  </si>
  <si>
    <t>Flow Meter Analog dia. 100 mm</t>
  </si>
  <si>
    <t>Flow Meter Analog dia. 200 mm</t>
  </si>
  <si>
    <t>Landing Velve 2,5"</t>
  </si>
  <si>
    <t>Orifice Plate dia. 25 mm</t>
  </si>
  <si>
    <t xml:space="preserve">Sprinkler Head Pendant dan Aksesoris </t>
  </si>
  <si>
    <t xml:space="preserve">Sprinkler Head Upright dan Aksesoris </t>
  </si>
  <si>
    <t xml:space="preserve">Hydrant Pillar dan Aksesoris </t>
  </si>
  <si>
    <t xml:space="preserve">Indoor Hydrant Box dan Aksesoris </t>
  </si>
  <si>
    <t xml:space="preserve">Outdoor Hydrant Box dan Aksesoris </t>
  </si>
  <si>
    <t xml:space="preserve">Siamesse Connection dan Aksesoris </t>
  </si>
  <si>
    <t xml:space="preserve">Fire Extinguisher 3 kg  dan Aksesoris </t>
  </si>
  <si>
    <t xml:space="preserve">Unit </t>
  </si>
  <si>
    <t xml:space="preserve">Fire Extinguisher 5 kg  dan Aksesoris </t>
  </si>
  <si>
    <t xml:space="preserve">Fire Extinguisher 25 kg  dan Aksesoris </t>
  </si>
  <si>
    <t xml:space="preserve">Jockey Fire Pump Vertical Multi Stage 25 USGPM </t>
  </si>
  <si>
    <t xml:space="preserve">Main Fire Pump Centrifugal  End Suction 1.000 USGPM </t>
  </si>
  <si>
    <t xml:space="preserve">Diesel Fire Pump Centrifugal End Suction dan Aksesoris </t>
  </si>
  <si>
    <t xml:space="preserve">Main Fire Pump Centrifugal End Suction dan Aksesoris </t>
  </si>
  <si>
    <t>Diesel Fire Pump Centrifugal End Suction dan Aksesoris</t>
  </si>
  <si>
    <t>Pipa PVC dia. 63 mm</t>
  </si>
  <si>
    <t>Pipa PVC, DN. 2-1/2"
(65 mm)</t>
  </si>
  <si>
    <t>Pipa PVC dia. 90 mm</t>
  </si>
  <si>
    <t>Pipa PVC, DN. 3" (80
mm)</t>
  </si>
  <si>
    <t>Pipa PVC dia. 110 mm</t>
  </si>
  <si>
    <t>Pipa PVC, DN. 4" (100
mm)</t>
  </si>
  <si>
    <t>Pipa PVC dia. 150 mm</t>
  </si>
  <si>
    <t>Pipa PVC, DN. 6" (150
mm)</t>
  </si>
  <si>
    <t>Pipa PVC dia. 200 mm</t>
  </si>
  <si>
    <t>Pipa PVC, DN. 8" (200
mm)</t>
  </si>
  <si>
    <t>Pipa PVC dia. 250 mm</t>
  </si>
  <si>
    <t>Pipa PVC, DN. 10"
(250 mm)</t>
  </si>
  <si>
    <t>Sewa Tripot</t>
  </si>
  <si>
    <t xml:space="preserve">hari </t>
  </si>
  <si>
    <t>Pipa PVC dia. 300 mm</t>
  </si>
  <si>
    <t>Pipa PVC, DN. 12"
(300 mm)</t>
  </si>
  <si>
    <t>Pipa PVC dia. 400 mm</t>
  </si>
  <si>
    <t>Pipa PVC, DN. 16"
(400 mm)</t>
  </si>
  <si>
    <t>Pipa PVC dia. 450 mm</t>
  </si>
  <si>
    <t>Pipa PVC, DN. 18"
(450 mm)</t>
  </si>
  <si>
    <t>Pipa PVC dia. 500 mm</t>
  </si>
  <si>
    <t>Pipa PVC, DN. 20"
(500 mm)</t>
  </si>
  <si>
    <t>Pipa PVC dia. 600 mm</t>
  </si>
  <si>
    <t>Pipa PVC, DN. 24"
(600 mm)</t>
  </si>
  <si>
    <t>Pipa PVC dia. 800 mm</t>
  </si>
  <si>
    <t>Pipa PVC, DN. 32"
(800 mm</t>
  </si>
  <si>
    <t>Pipa PVC dia. 900 mm</t>
  </si>
  <si>
    <t>Pipa PVC, DN. 36"
(900 mm</t>
  </si>
  <si>
    <t>Pipa PVC dia. 1000 mm</t>
  </si>
  <si>
    <t>Pipa PVC, DN. 40"
(1000 mm)</t>
  </si>
  <si>
    <t>Pipa PVC dia. 1100 mm</t>
  </si>
  <si>
    <t>Pipa PVC, DN. 44"
(1100 mm)</t>
  </si>
  <si>
    <t>Pipa PVC dia. 1200 mm</t>
  </si>
  <si>
    <t>Pipa PVC, DN. 48"
(1200 mm)</t>
  </si>
  <si>
    <t>Pipa PVC dia. 15 mm</t>
  </si>
  <si>
    <t>Pipa PVC, DN. 1/2"
(15 mm)</t>
  </si>
  <si>
    <t>Pipa PVC dia. 20 mm</t>
  </si>
  <si>
    <t>Pipa PVC, DN. 3/4"
(20 mm)</t>
  </si>
  <si>
    <t>Pipa PVC dia. 25 mm</t>
  </si>
  <si>
    <t>Pipa PVC, DN. 1" (25 mm)</t>
  </si>
  <si>
    <t>Pipa PVC dia. 32 mm</t>
  </si>
  <si>
    <t>Pipa PVC, DN. 1-1/4"
(32 mm</t>
  </si>
  <si>
    <t>Pipa PVC dia. 40 mm</t>
  </si>
  <si>
    <t>Pipa PVC, DN. 1-1/2"
(40 mm)</t>
  </si>
  <si>
    <t>Pipa PVC dia. 50 mm</t>
  </si>
  <si>
    <t>Pipa PVC, DN. 2" (50 mm)</t>
  </si>
  <si>
    <t>Gergaji Pipa</t>
  </si>
  <si>
    <t>Peralatan potong pipa
T1/manual (gergaji) /
saw</t>
  </si>
  <si>
    <t>Pipa Galvanis dia. 63 mm</t>
  </si>
  <si>
    <t>Pipa Galvanis, DN. 2-
1/2" (65 mm)</t>
  </si>
  <si>
    <t>Pipa Galvanis dia. 100 mm</t>
  </si>
  <si>
    <t>Pipa Galvanis, DN. 4"
(100 mm)</t>
  </si>
  <si>
    <t>Pipa Galvanis dia. 125 mm</t>
  </si>
  <si>
    <t>Pipa Galvanis, DN. 5"
(125 mm)</t>
  </si>
  <si>
    <t>Pipa Galvanis dia. 150 mm</t>
  </si>
  <si>
    <t>Pipa Galvanis, DN. 6"
(150 mm)</t>
  </si>
  <si>
    <t>Pipa Galvanis dia. 200 mm</t>
  </si>
  <si>
    <t>Pipa Galvanis, DN. 8"
(200 mm)</t>
  </si>
  <si>
    <t>Pipa Galvanis dia. 250 mm</t>
  </si>
  <si>
    <t>Pipa Galvanis,
DN.10" (250 mm)</t>
  </si>
  <si>
    <t>Pipa Galvanis dia. 300 mm</t>
  </si>
  <si>
    <t>Pipa Galvanis, DN. 12"
(300 mm</t>
  </si>
  <si>
    <t>Pipa Galvanis dia. 400 mm</t>
  </si>
  <si>
    <t>Pipa Galvanis, DN. 16"
(400 mm)</t>
  </si>
  <si>
    <t>Pipa Galvanis dia. 450 mm</t>
  </si>
  <si>
    <t>Pipa Galvanis, DN. 18"
(450 mm</t>
  </si>
  <si>
    <t>Pipa Galvanis dia. 500 mm</t>
  </si>
  <si>
    <t>Pipa Galvanis, DN. 20"
(500 mm)</t>
  </si>
  <si>
    <t>Pipa Galvanis dia. 600 mm</t>
  </si>
  <si>
    <t>Pipa Galvanis, DN. 24" (600 mm)</t>
  </si>
  <si>
    <t>Pipa Galvanis dia. 800 mm</t>
  </si>
  <si>
    <t>Pipa Galvanis, DN. 32" (800 mm)</t>
  </si>
  <si>
    <t>Pipa Galvanis dia. 900 mm</t>
  </si>
  <si>
    <t>Pipa Galvanis, DN. 36" (900 mm)</t>
  </si>
  <si>
    <t>Pipa Galvanis dia. 1000 mm</t>
  </si>
  <si>
    <t>Pipa Galvanis,
DN. 40" (1000 mm)</t>
  </si>
  <si>
    <t>Pipa Galvanis dia. 1100 mm</t>
  </si>
  <si>
    <t>Pipa Galvanis,
DN. 44" (1100 mm)</t>
  </si>
  <si>
    <t>Pipa Galvanis dia. 1200 mm</t>
  </si>
  <si>
    <t>Pipa Galvanis,
DN. 48" (1200 mm</t>
  </si>
  <si>
    <t>Pipa Galvanis dia. 15 mm</t>
  </si>
  <si>
    <t>Pipa Galvanis,
DN. 1/2" (15 mm)</t>
  </si>
  <si>
    <t>Pipa Galvanis dia. 20 mm</t>
  </si>
  <si>
    <t>Pipa Galvanis,
DN. 3/4" (20 mm)</t>
  </si>
  <si>
    <t>Pipa Galvanis dia. 25 mm</t>
  </si>
  <si>
    <t>Pipa Galvanis, DN. 1"
(25 mm)</t>
  </si>
  <si>
    <t>Pipa Galvanis dia. 32 mm</t>
  </si>
  <si>
    <t>Pipa Galvanis,
DN. 1-1/4" (32 mm)</t>
  </si>
  <si>
    <t>Pipa Galvanis dia. 40 mm</t>
  </si>
  <si>
    <t>Pipa Galvanis,
DN. 1-1/2" (40 mm)</t>
  </si>
  <si>
    <t>Pipa Galvanis dia. 50 mm</t>
  </si>
  <si>
    <t>Pipa Galvanis, DN. 2"
(50 mm</t>
  </si>
  <si>
    <t>Cilinder Saw</t>
  </si>
  <si>
    <t>Peralatan potong pipa
T2/mekanik / cilinder saw</t>
  </si>
  <si>
    <t>Pipa HDPE dia. 63 mm</t>
  </si>
  <si>
    <t>Pipa HDPE, DN. 2-1/2"
(65 mm)</t>
  </si>
  <si>
    <t>Pipa HDPE dia. 100 mm</t>
  </si>
  <si>
    <t>Pipa HDPE, DN. 4"
(100 mm)</t>
  </si>
  <si>
    <t>Pipa HDPE dia. 125 mm</t>
  </si>
  <si>
    <t>Pipa HDPE, DN. 5"
(125 mm)</t>
  </si>
  <si>
    <t>Pipa HDPE dia. 150 mm</t>
  </si>
  <si>
    <t>Pipa HDPE, DN. 6"
(150 mm</t>
  </si>
  <si>
    <t>Pipa HDPE dia. 200 mm</t>
  </si>
  <si>
    <t>Pipa HDPE, DN. 8"
(200 mm)</t>
  </si>
  <si>
    <t>Pipa HDPE dia. 250 mm</t>
  </si>
  <si>
    <t>Pipa HDPE, DN.10"
(250 mm)</t>
  </si>
  <si>
    <t>Pipa HDPE dia. 300 mm</t>
  </si>
  <si>
    <t>Pipa HDPE, DN. 12"
(300 mm</t>
  </si>
  <si>
    <t>Pipa HDPE dia. 400 mm</t>
  </si>
  <si>
    <t>Pipa HDPE, DN. 16"
(400 mm)</t>
  </si>
  <si>
    <t>Pipa HDPE dia. 450 mm</t>
  </si>
  <si>
    <t>Pipa HDPE, DN. 18"
(450 mm)</t>
  </si>
  <si>
    <t>Pipa HDPE dia. 500 mm</t>
  </si>
  <si>
    <t>Pipa HDPE, DN. 20"
(500 mm)</t>
  </si>
  <si>
    <t>Pipa HDPE dia. 600 mm</t>
  </si>
  <si>
    <t>Pipa HDPE, DN. 24"
(600 mm</t>
  </si>
  <si>
    <t>Pipa HDPE dia. 800 mm</t>
  </si>
  <si>
    <t>Pipa HDPE, DN. 32"
(800 mm)</t>
  </si>
  <si>
    <t>Pipa HDPE dia. 900 mm</t>
  </si>
  <si>
    <t>Pipa HDPE, DN. 36"
(900 mm)</t>
  </si>
  <si>
    <t>Pipa HDPE dia. 1000 mm</t>
  </si>
  <si>
    <t>Pipa HDPE, DN. 40"
(1000 mm)</t>
  </si>
  <si>
    <t>Pipa HDPE dia. 1100 mm</t>
  </si>
  <si>
    <t>Pipa HDPE, DN. 44"
(1100 mm)</t>
  </si>
  <si>
    <t>Pipa HDPE dia. 1200 mm</t>
  </si>
  <si>
    <t>Pipa HDPE, DN. 48"
(1200 mm)</t>
  </si>
  <si>
    <t>Pipa HDPE dia. 15 mm</t>
  </si>
  <si>
    <t>Pipa HDPE, DN. 1/2"
(15 mm)</t>
  </si>
  <si>
    <t>Pipa HDPE dia. 20 mm</t>
  </si>
  <si>
    <t>Pipa HDPE, DN. 3/4"
(20 mm)</t>
  </si>
  <si>
    <t>Pipa HDPE dia. 25 mm</t>
  </si>
  <si>
    <t>Pipa HDPE, DN. 1"
(25 mm)</t>
  </si>
  <si>
    <t>Pipa HDPE dia. 32 mm</t>
  </si>
  <si>
    <t>Pipa HDPE,
DN. 1-1/4" (32 mm)</t>
  </si>
  <si>
    <t>Pipa HDPE dia. 40 mm</t>
  </si>
  <si>
    <t>Pipa HDPE,
DN. 1-1/2" (40 mm)</t>
  </si>
  <si>
    <t>Pipa HDPE dia. 50 mm</t>
  </si>
  <si>
    <t>Pipa HDPE, DN. 2"
(50 mm)</t>
  </si>
  <si>
    <t>Pipa Baja dia. 63 mm</t>
  </si>
  <si>
    <t>Pipa Baja Karbon, DN.
2-1/2" (65 mm)</t>
  </si>
  <si>
    <t>Pipa Baja dia. 100 mm</t>
  </si>
  <si>
    <t>Pipa Baja Karbon, DN.
4" (100 mm)</t>
  </si>
  <si>
    <t>Pipa Baja dia. 125 mm</t>
  </si>
  <si>
    <t>Pipa Baja Karbon, DN.
5" (125 mm)</t>
  </si>
  <si>
    <t>Pipa Baja dia. 150 mm</t>
  </si>
  <si>
    <t>Pipa Baja Karbon, DN.
6" (150 mm)</t>
  </si>
  <si>
    <t>Pipa Baja dia. 200 mm</t>
  </si>
  <si>
    <t>Pipa Baja Karbon, DN.
8" (200 mm)</t>
  </si>
  <si>
    <t>Pipa Baja dia. 250 mm</t>
  </si>
  <si>
    <t>Pipa Baja Karbon, DN.
10" (250 mm)</t>
  </si>
  <si>
    <t>Pipa Baja dia. 300 mm</t>
  </si>
  <si>
    <t>Pipa Baja Karbon, DN.
12" (300 mm)</t>
  </si>
  <si>
    <t>Pipa Baja dia. 400 mm</t>
  </si>
  <si>
    <t>Pipa Baja Karbon, DN. 16"
(400 mm)</t>
  </si>
  <si>
    <t>Pipa Baja dia. 450 mm</t>
  </si>
  <si>
    <t>Pipa Baja Karbon, DN. 18"
(450 mm</t>
  </si>
  <si>
    <t>Pipa Baja dia. 500 mm</t>
  </si>
  <si>
    <t>Pipa Baja Karbon, DN.
20" (500 mm)</t>
  </si>
  <si>
    <t>Pipa Baja dia. 600 mm</t>
  </si>
  <si>
    <t>Pipa Baja Karbon, DN. 24"
(600 mm)</t>
  </si>
  <si>
    <t>Pipa Baja dia. 800 mm</t>
  </si>
  <si>
    <t>Pipa Baja Karbon, DN. 32"
(800 mm)</t>
  </si>
  <si>
    <t>Pipa Baja dia. 900 mm</t>
  </si>
  <si>
    <t>Pipa Baja Karbon, DN. 36"
(900 mm)</t>
  </si>
  <si>
    <t>Pipa Baja dia. 1000 mm</t>
  </si>
  <si>
    <t>Pipa Baja Karbon, DN. 40"
(1000 mm)</t>
  </si>
  <si>
    <t>Pipa Baja dia. 1100 mm</t>
  </si>
  <si>
    <t>Pipa Baja Karbon, DN. 44"
(1100 mm)</t>
  </si>
  <si>
    <t>Pipa Baja dia. 1200 mm</t>
  </si>
  <si>
    <t>Pipa Baja Karbon, DN. 48"
(1200 mm</t>
  </si>
  <si>
    <t>PVC  Ø 1 1/4"  s  10 tekanan nominal 10 bar (1,0 mpa) 4m</t>
  </si>
  <si>
    <t>PVC  Ø 1 1/5"  s  10 tekanan nominal 10 bar (1,0 mpa) 6m</t>
  </si>
  <si>
    <t>PVC  Ø 1"  s  10 tekanan nominal 10 bar (1,0 mpa) 4m</t>
  </si>
  <si>
    <t>PVC  Ø 1/2"  s  10 tekanan nominal 10 bar (1,0 mpa) 4m</t>
  </si>
  <si>
    <t>PVC  Ø 2"  s  12,5 tekanan nominal 10 bar (1,0 mpa) 6m</t>
  </si>
  <si>
    <t>PVC  Ø 3"  s  12,5 tekanan nominal 10 bar (1,0 mpa) 6m</t>
  </si>
  <si>
    <t>PVC  Ø 3/4"  s  10 tekanan nominal 10 bar (1,0 mpa) 4m</t>
  </si>
  <si>
    <t>PVC  Ø 4"  s  12,5 tekanan nominal 10 bar (1,0 mpa) 6m</t>
  </si>
  <si>
    <t>PVC  Ø 6"  s  12,5 tekanan nominal 10 bar (1,0 mpa) 6m</t>
  </si>
  <si>
    <t>PVC  Ø 8"  s  12,5 tekanan nominal 10 bar (1,0 mpa) 6m</t>
  </si>
  <si>
    <t>MATERIAL PIPA GALVANIS</t>
  </si>
  <si>
    <t>Assesoris  galvanis</t>
  </si>
  <si>
    <t>Pipa  galvanis medium B Ø  1  1/2" panjang  6  m</t>
  </si>
  <si>
    <t>Pipa  galvanis medium B Ø  1" panjang  6  m</t>
  </si>
  <si>
    <t>Pipa  galvanis medium B Ø  1/2" panjang  6  m</t>
  </si>
  <si>
    <t>Pipa  galvanis medium B Ø  2  1/2" panjang  6  m</t>
  </si>
  <si>
    <t>Pipa  galvanis medium B Ø  3" panjang  6  m</t>
  </si>
  <si>
    <t>Pipa  galvanis medium B Ø  3/4" panjang  6  m</t>
  </si>
  <si>
    <t>Pipa  galvanis medium B Ø  4" panjang  6  m</t>
  </si>
  <si>
    <t>Pipa besi stainless  steel Ø1"  t=1.5 mm</t>
  </si>
  <si>
    <t>Pipa besi stainless  steel Ø2"  t=1.5 mm</t>
  </si>
  <si>
    <t>Pipa galvanis  medium A Ø 1 1/2"  panjang 6 m</t>
  </si>
  <si>
    <t>Pipa galvanis  medium A Ø 1"  panjang 6 m</t>
  </si>
  <si>
    <t>Pipa galvanis  medium A Ø 1/2"  panjang 6 m</t>
  </si>
  <si>
    <t>Pipa galvanis  medium A Ø 2"  panjang 6 m</t>
  </si>
  <si>
    <t>Pipa galvanis  medium A Ø 3"  panjang 6 m</t>
  </si>
  <si>
    <t>Pipa galvanis  medium A Ø 3/4"  panjang 6 m</t>
  </si>
  <si>
    <t>Pipa galvanis  medium A Ø 4"  panjang 6 m</t>
  </si>
  <si>
    <t>Pipa galvanis  medium A Ø 5"  panjang 6 m</t>
  </si>
  <si>
    <t>Pipa galvanis  medium A Ø 6"  panjang 6 m</t>
  </si>
  <si>
    <t>Pipa galvanis  medium A Ø 8"  panjang 6 m</t>
  </si>
  <si>
    <t>Pipa galvanis  medium B  Ø 2"  panjang 6 m</t>
  </si>
  <si>
    <t>Pipa galvanis  medium B  Ø 5"  panjang 6 m</t>
  </si>
  <si>
    <t>Pipa galvanis  medium B  Ø 6"  panjang 6 m</t>
  </si>
  <si>
    <t>Pipa galvanis  medium B  Ø 8"  panjang 6 m</t>
  </si>
  <si>
    <t xml:space="preserve">Pipa galvanis  medium Class  Ø 1 1/2" +Aksesoris </t>
  </si>
  <si>
    <t>Pipa galvanis MED CLASS ; DN. 1-1/2" (40 mm) + fitting &amp; aksesoris</t>
  </si>
  <si>
    <t xml:space="preserve">Pipa galvanis  medium Class  Ø 1 1/4" +Aksesoris </t>
  </si>
  <si>
    <t>Pipa galvanis MED
CLASS ; DN. 1-1/4"
(32 mm) + fitting &amp;
aksesoris</t>
  </si>
  <si>
    <t>Pipa galvanis  medium Class Ø 1" + Aksesoris</t>
  </si>
  <si>
    <t>Pipa galvanis MED
CLASS ; DN. 1" (25
mm) + fitting &amp;
aksesoris</t>
  </si>
  <si>
    <t>Pipa galvanis  medium Class Ø 1/2" + Aksesoris</t>
  </si>
  <si>
    <t>Pipa galvanis MED CLASS ; DN. 1/2" (15 mm) + fitting &amp; aksesoris</t>
  </si>
  <si>
    <t xml:space="preserve">Pipa galvanis  medium Class Ø 2" +Aksesoris </t>
  </si>
  <si>
    <t>Pipa galvanis MED CLASS ; DN. 2" (50 mm) + fitting &amp; aksesoris</t>
  </si>
  <si>
    <t xml:space="preserve">Pipa galvanis  medium Class Ø 2-1/2" +Aksesoris </t>
  </si>
  <si>
    <t>Pipa galvanis MED CLASS ; DN. 2-1/2" (65 mm) + fitting &amp; aksesoris</t>
  </si>
  <si>
    <t xml:space="preserve">Pipa galvanis  medium Class Ø 3" +Aksesoris </t>
  </si>
  <si>
    <t>Pipa galvanis MED CLASS ; DN. 3" (80 mm) + fitting &amp; aksesoris</t>
  </si>
  <si>
    <t xml:space="preserve">Pipa galvanis  medium Class Ø 3/4" + Aksesoris </t>
  </si>
  <si>
    <t>Pipa galvanis MED CLASS ; DN. 3/4" (20 mm) + fitting &amp; aksesoris</t>
  </si>
  <si>
    <t xml:space="preserve">Pipa galvanis  medium Class Ø 4" +Aksesoris </t>
  </si>
  <si>
    <t>Pipa galvanis MED CLASS ; DN. 4" (100 mm) + fitting &amp; aksesoris</t>
  </si>
  <si>
    <t xml:space="preserve">Pipa galvanis  medium Class Ø 5" +Aksesoris </t>
  </si>
  <si>
    <t>Pipa galvanis MED CLASS ; DN. 5" (125 mm) + fitting &amp; aksesoris</t>
  </si>
  <si>
    <t xml:space="preserve">Pipa galvanis  medium Class Ø 6" + Aksesoris </t>
  </si>
  <si>
    <t>Pipa galvanis MED CLASS ; DN. 6" (150 mm) + fitting &amp; aksesoris</t>
  </si>
  <si>
    <t xml:space="preserve">Pipa galvanis  medium Class Ø 8" + Aksesois </t>
  </si>
  <si>
    <t>Pipa galvanis MED CLASS ; DN. 8" (200 mm) + fitting &amp; aksesoris</t>
  </si>
  <si>
    <t xml:space="preserve">Pipa galvanis  medium Class Ø 10" + Aksesois </t>
  </si>
  <si>
    <t>Pipa galvanis MED CLASS ; DN. 10" (250 mm) + fitting &amp; aksesoris</t>
  </si>
  <si>
    <t xml:space="preserve">Pipa galvanis  medium Class Ø 12" + Aksesois </t>
  </si>
  <si>
    <t>Pipa galvanis MED CLASS ; DN. 12" (300 mm) + fitting &amp; aksesoris</t>
  </si>
  <si>
    <t xml:space="preserve">Pipa galvanis  medium Class Ø 14" + Aksesois </t>
  </si>
  <si>
    <t>Pipa galvanis MED CLASS ; DN. 14" (350 mm) + fitting &amp; aksesoris</t>
  </si>
  <si>
    <t xml:space="preserve">Pipa galvanis  medium Class Ø 16" + Aksesois </t>
  </si>
  <si>
    <t>Pipa galvanis MED CLASS ; DN. 16" (400 mm) + fitting &amp; aksesoris</t>
  </si>
  <si>
    <t xml:space="preserve">Pipa galvanis SCH 40 Ø 1/2" + Aksesois </t>
  </si>
  <si>
    <t>Pipa galvanis SCH 40 ; DN. 1/2" (15 mm) + fitting &amp; aksesoris</t>
  </si>
  <si>
    <t xml:space="preserve">Pipa galvanis SCH 40 Ø 3/4" + Aksesois </t>
  </si>
  <si>
    <t>Pipa galvanis SCH 40 ; DN. 3/4" (20 mm) + fitting &amp; aksesoris</t>
  </si>
  <si>
    <t xml:space="preserve">Pipa galvanis SCH 40 Ø 1" + Aksesois </t>
  </si>
  <si>
    <t>Pipa galvanis SCH 40 ; DN. 1" (25 mm) + fitting &amp; aksesoris</t>
  </si>
  <si>
    <t xml:space="preserve">Pipa galvanis SCH 40 Ø 1-1/4" + Aksesois </t>
  </si>
  <si>
    <t>Pipa galvanis SCH 40 ; DN. 1-1/4" (32 mm) + fitting &amp; aksesoris</t>
  </si>
  <si>
    <t xml:space="preserve">Pipa galvanis SCH 40 Ø 1-1/2" + Aksesois </t>
  </si>
  <si>
    <t>Pipa galvanis SCH 40 ; DN. 1-1/2" (40 mm) + fitting &amp; aksesoris</t>
  </si>
  <si>
    <t xml:space="preserve">Pipa galvanis SCH 40 Ø 2" + Aksesois </t>
  </si>
  <si>
    <t>Pipa galvanis SCH 40 ; DN. 2" (50 mm) + fitting &amp; aksesoris</t>
  </si>
  <si>
    <t xml:space="preserve">Pipa galvanis SCH 40 Ø 2-1/2" + Aksesois </t>
  </si>
  <si>
    <t>Pipa galvanis SCH 40 ; DN. 2-1/2" (65 mm) + fitting &amp; aksesoris</t>
  </si>
  <si>
    <t xml:space="preserve">Pipa galvanis SCH 40 Ø 3" + Aksesois </t>
  </si>
  <si>
    <t>Pipa galvanis SCH 40 ; DN. 3" (80 mm) + fitting &amp; aksesoris</t>
  </si>
  <si>
    <t xml:space="preserve">Pipa galvanis SCH 40 Ø 4" + Aksesois </t>
  </si>
  <si>
    <t>Pipa galvanis SCH 40 ; DN. 4" (100 mm) + fitting &amp; aksesoris</t>
  </si>
  <si>
    <t xml:space="preserve">Pipa galvanis SCH 40 Ø 5" + Aksesois </t>
  </si>
  <si>
    <t>Pipa galvanis SCH 40 ; DN. 5" (125 mm) + fitting &amp; aksesoris</t>
  </si>
  <si>
    <t xml:space="preserve">Pipa galvanis SCH 40 Ø 6" + Aksesois </t>
  </si>
  <si>
    <t>Pipa galvanis SCH 40 ; DN. 6" (150 mm) + fitting &amp; aksesoris</t>
  </si>
  <si>
    <t xml:space="preserve">Pipa galvanis SCH 40 Ø 8" + Aksesois </t>
  </si>
  <si>
    <t>Pipa galvanis SCH 40 ; DN. 8" (200 mm) + fitting &amp; aksesoris</t>
  </si>
  <si>
    <t xml:space="preserve">Pipa galvanis SCH 40 Ø 10" + Aksesois </t>
  </si>
  <si>
    <t>Pipa galvanis SCH 40 ; DN. 10" (250 mm) + fitting &amp; aksesoris</t>
  </si>
  <si>
    <t xml:space="preserve">Pipa galvanis SCH 40 Ø 12" + Aksesois </t>
  </si>
  <si>
    <t>Pipa galvanis SCH 40 ; DN. 12" (300 mm) + fitting &amp; aksesoris</t>
  </si>
  <si>
    <t xml:space="preserve">Pipa galvanis SCH 40 Ø 14" + Aksesois </t>
  </si>
  <si>
    <t>Pipa galvanis SCH 40 ; DN. 14" (350 mm) + fitting &amp; aksesoris</t>
  </si>
  <si>
    <t xml:space="preserve">Pipa galvanis SCH 40 Ø 16" + Aksesois </t>
  </si>
  <si>
    <t>Pipa galvanis SCH 40 ; DN. 16" (400 mm) + fitting &amp; aksesoris</t>
  </si>
  <si>
    <t xml:space="preserve">Pipa PPR PN 10 Ø 1/2" + Aksesois </t>
  </si>
  <si>
    <t>Pipa PPR PN 10 ; DN. 1/2" (15 mm) + fitting &amp; aksesoris</t>
  </si>
  <si>
    <t xml:space="preserve">Pipa PPR PN 10 Ø 3/4" + Aksesois </t>
  </si>
  <si>
    <t>Pipa PPR PN 10 ; DN. 3/4" (20 mm) + fitting &amp; aksesoris</t>
  </si>
  <si>
    <t xml:space="preserve">Pipa PPR PN 10 Ø 1" + Aksesois </t>
  </si>
  <si>
    <t>Pipa PPR PN 10 ; DN. 1" (25 mm) + fitting &amp; aksesoris</t>
  </si>
  <si>
    <t xml:space="preserve">Pipa PPR PN 10 Ø 1-1/4" + Aksesois </t>
  </si>
  <si>
    <t>Pipa PPR PN 10 ; DN. 1-1/4" (32 mm) + fitting &amp; aksesoris</t>
  </si>
  <si>
    <t xml:space="preserve">Pipa PPR PN 10 Ø 1-1/2" + Aksesois </t>
  </si>
  <si>
    <t>Pipa PPR PN 10 ; DN. 1-1/2" (40 mm) + fitting &amp; aksesoris</t>
  </si>
  <si>
    <t xml:space="preserve">Pipa PPR PN 10 Ø 2" + Aksesois </t>
  </si>
  <si>
    <t>Pipa PPR PN 10 ; DN. 2" (50 mm) + fitting &amp; aksesoris</t>
  </si>
  <si>
    <t xml:space="preserve">Pipa PPR PN 10 Ø 2-1/2" + Aksesois </t>
  </si>
  <si>
    <t>Pipa PPR PN 10 ; DN. 2-1/2" (65 mm) + fitting &amp; aksesoris</t>
  </si>
  <si>
    <t xml:space="preserve">Pipa PPR PN 10 Ø 3" + Aksesois </t>
  </si>
  <si>
    <t>Pipa PPR PN 10 ; DN. 3" (80 mm) + fitting &amp; aksesoris</t>
  </si>
  <si>
    <t xml:space="preserve">Pipa PPR PN 10 Ø 4" + Aksesois </t>
  </si>
  <si>
    <t>Pipa PPR PN 10 ; DN. 4" (100 mm) + fitting &amp; aksesoris</t>
  </si>
  <si>
    <t xml:space="preserve">Pipa PPR PN 10 Ø 6" + Aksesois </t>
  </si>
  <si>
    <t>Pipa PPR PN 10 ; DN. 6" (150 mm) + fitting &amp; aksesoris</t>
  </si>
  <si>
    <t xml:space="preserve">Pipa PPR PN 20 Ø 1/2" + Aksesois </t>
  </si>
  <si>
    <t>Pipa PPR PN 20 ; DN. 1/2" (15 mm) + fitting &amp; aksesoris</t>
  </si>
  <si>
    <t xml:space="preserve">Pipa PPR PN 20 Ø 3/4" + Aksesois </t>
  </si>
  <si>
    <t>Pipa PPR PN 20 ; DN. 3/4" (20 mm) + fitting &amp; aksesoris</t>
  </si>
  <si>
    <t xml:space="preserve">Pipa PPR PN 20 Ø 1" + Aksesois </t>
  </si>
  <si>
    <t>Pipa PPR PN 20 ; DN. 1" (25 mm) + fitting &amp; aksesoris</t>
  </si>
  <si>
    <t xml:space="preserve">Pipa PPR PN 20 Ø 1-1/4" + Aksesois </t>
  </si>
  <si>
    <t>Pipa PPR PN 20 ; DN. 1-1/4" (32 mm) + fitting &amp; aksesoris</t>
  </si>
  <si>
    <t xml:space="preserve">Pipa PPR PN 20 Ø 1-1/2" + Aksesois </t>
  </si>
  <si>
    <t>Pipa PPR PN 20 ; DN. 1-1/2" (40 mm) + fitting &amp; aksesoris</t>
  </si>
  <si>
    <t xml:space="preserve">Pipa PPR PN 20 Ø 2" + Aksesois </t>
  </si>
  <si>
    <t>Pipa PPR PN 20 ; DN. 2" (50 mm) + fitting &amp; aksesoris</t>
  </si>
  <si>
    <t xml:space="preserve">Pipa PPR PN 20 Ø 2-1/2" + Aksesois </t>
  </si>
  <si>
    <t>Pipa PPR PN 20 ; DN. 2-1/2" (65 mm) + fitting &amp; aksesoris</t>
  </si>
  <si>
    <t xml:space="preserve">Pipa PPR PN 20 Ø 3" + Aksesois </t>
  </si>
  <si>
    <t>Pipa PPR PN 20 ; DN. 3" (80 mm) + fitting &amp; aksesoris</t>
  </si>
  <si>
    <t xml:space="preserve">Pipa PPR PN 20 Ø 4" + Aksesois </t>
  </si>
  <si>
    <t>Pipa PPR PN 20 ; DN. 4" (100 mm) + fitting &amp; aksesoris</t>
  </si>
  <si>
    <t xml:space="preserve">Pipa PPR PN 20 Ø 6" + Aksesois </t>
  </si>
  <si>
    <t>Pipa PPR PN 20 ; DN. 6" (150 mm) + fitting &amp; akseso</t>
  </si>
  <si>
    <t xml:space="preserve">Pipa BS Ø 1/2" + Aksesois </t>
  </si>
  <si>
    <t>Pipa BS MED CLASS ; DN. 1/2" (15 mm) + fitting &amp; aksesoris</t>
  </si>
  <si>
    <t xml:space="preserve">Pipa BS Ø 3/4" + Aksesois </t>
  </si>
  <si>
    <t>Pipa BS MED CLASS ; DN. 3/4" (20 mm) + fitting &amp; aksesoris</t>
  </si>
  <si>
    <t xml:space="preserve">Pipa BS Ø 1" + Aksesois </t>
  </si>
  <si>
    <t>Pipa BS MED CLASS ; DN. 1" (25 mm) + fitting &amp; aksesoris</t>
  </si>
  <si>
    <t xml:space="preserve">Pipa BS Ø 1-1/4" + Aksesois </t>
  </si>
  <si>
    <t>Pipa BS MED CLASS DN. 1-1/4" (32 mm) + fitting &amp; aksesoris</t>
  </si>
  <si>
    <t xml:space="preserve"> </t>
  </si>
  <si>
    <t xml:space="preserve">Pipa BS Ø 1-1/2" + Aksesois </t>
  </si>
  <si>
    <t>Pipa BS MED CLASS DN. 1-1/2" (40 mm) + fitting &amp; aksesoris</t>
  </si>
  <si>
    <t xml:space="preserve">Pipa BS Ø 2" + Aksesois </t>
  </si>
  <si>
    <t>Pipa BS MED CLASS ; DN. 2" (50 mm) + fitting &amp; aksesoris</t>
  </si>
  <si>
    <t xml:space="preserve">Pipa BS Ø 2-1/2" + Aksesois </t>
  </si>
  <si>
    <t>Pipa BS MED CLASS DN. 2-1/2" (65 mm) + fitting &amp; aksesoris</t>
  </si>
  <si>
    <t xml:space="preserve">Pipa BS  Ø 3" + Aksesois </t>
  </si>
  <si>
    <t>Pipa BS MED CLASS ; DN. 3" (80 mm) + fitting &amp; aksesoris</t>
  </si>
  <si>
    <t xml:space="preserve">Pipa BS Ø 4" + Aksesois </t>
  </si>
  <si>
    <t>Pipa BS MED CLASS ; DN. 4" (100 mm) + fitting &amp; aksesoris</t>
  </si>
  <si>
    <t xml:space="preserve">Pipa BS Ø 5" + Aksesois </t>
  </si>
  <si>
    <t>Pipa BS MED CLASS ; DN. 5" (125 mm) + fitting &amp; aksesoris</t>
  </si>
  <si>
    <t xml:space="preserve">Pipa BS Ø 6" + Aksesois </t>
  </si>
  <si>
    <t>Pipa BS MED CLASS ; DN. 6" (150 mm) + fitting &amp; aksesoris</t>
  </si>
  <si>
    <t xml:space="preserve">Pipa BS Ø 8" + Aksesois </t>
  </si>
  <si>
    <t>Pipa BS MED CLASS ; DN. 8" (200 mm) + fitting &amp; aksesoris</t>
  </si>
  <si>
    <t>Pipa BS MED CLASS ; DN. 10" (250 mm) + fitting &amp; aksesoris</t>
  </si>
  <si>
    <t xml:space="preserve">Pipa BS Ø 10" + Aksesois </t>
  </si>
  <si>
    <t>Pipa BS MED CLASS ; DN. 12" (300 mm) + fitting &amp; aksesoris</t>
  </si>
  <si>
    <t xml:space="preserve">Pipa BS Ø 12" + Aksesois </t>
  </si>
  <si>
    <t>Pipa BS MED CLASS ; DN. 14" (350 mm) + fitting &amp; aksesoris</t>
  </si>
  <si>
    <t xml:space="preserve">Pipa BS Ø 14" + Aksesois </t>
  </si>
  <si>
    <t>Pipa BS MED CLASS ; DN. 16" (400 mm) + fitting &amp; aksesoris</t>
  </si>
  <si>
    <t xml:space="preserve">Pipa BS Ø 16" + Aksesois </t>
  </si>
  <si>
    <t>Pipa BS SCH 40 ; DN. 1/2" (15 mm) + fitting &amp; aksesoris</t>
  </si>
  <si>
    <t>Pipa BS SCH 40 ; DN. 3/4" (20 mm) + fitting &amp; aksesoris</t>
  </si>
  <si>
    <t>Pipa BS SCH 40 ; DN. 1-1/4" (32 mm) + fitting &amp; aksesoris</t>
  </si>
  <si>
    <t>Pipa BS SCH 40 ; DN. 1-1/2" (40 mm) + fitting &amp; aksesoris</t>
  </si>
  <si>
    <t>Pipa BS SCH 40 ; DN. 2" (50 mm) + fitting &amp; aksesoris</t>
  </si>
  <si>
    <t>Pipa BS SCH 40 ; DN. 2-1/2" (65 mm) + fitting &amp; aksesoris</t>
  </si>
  <si>
    <t>Pipa BS SCH 40 ; DN. 3" (80 mm) + fitting &amp; aksesoris</t>
  </si>
  <si>
    <t>Pipa BS SCH 40 ; DN. 4" (100 mm) + fitting &amp; aksesoris</t>
  </si>
  <si>
    <t>Pipa BS SCH 40 ; DN. 5" (125 mm) + fitting &amp; aksesoris</t>
  </si>
  <si>
    <t>Pipa BS SCH 40 ; DN. 6" (150 mm) + fitting &amp; aksesoris</t>
  </si>
  <si>
    <t>Pipa BS SCH 40 ; DN. 8" (200 mm) + fitting &amp; aksesoris</t>
  </si>
  <si>
    <t>Pipa BS SCH 40 ; DN. 10" (250 mm) + fitting &amp; aksesoris</t>
  </si>
  <si>
    <t>Pipa BS SCH 40 ; DN. 12" (300 mm) + fitting &amp; aksesoris</t>
  </si>
  <si>
    <t>Pipa BS SCH 40 ; DN. 14" (350 mm) + fitting &amp; aksesoris</t>
  </si>
  <si>
    <t>Pipa BS SCH 40 ; DN. 16" (400 mm) + fitting &amp; aksesoris</t>
  </si>
  <si>
    <t>Pipa Tanah, DN. 6" (150 mm</t>
  </si>
  <si>
    <t>Pipa Tanah, DN. 8" (200 mm)</t>
  </si>
  <si>
    <t>Gate Valve dia. 1/2"</t>
  </si>
  <si>
    <t>Gate Valve dia. 3/4"</t>
  </si>
  <si>
    <t>Gate Valve dia. 1"</t>
  </si>
  <si>
    <t>Gate Valve dia. 1-1/4"</t>
  </si>
  <si>
    <t>Gate Valve dia. 1-1/2"</t>
  </si>
  <si>
    <t>Gate Valve dia.2"</t>
  </si>
  <si>
    <t>Gate Valve dia.2-1/2"</t>
  </si>
  <si>
    <t>Gate Valve dia.3"</t>
  </si>
  <si>
    <t>Gate Valve dia.4"</t>
  </si>
  <si>
    <t>Gate Valve dia.5"</t>
  </si>
  <si>
    <t>Gate Valve dia.6"</t>
  </si>
  <si>
    <t>Gate Valve dia.8"</t>
  </si>
  <si>
    <t>Gate Valve dia.10"</t>
  </si>
  <si>
    <t>Gate Valve dia.12"</t>
  </si>
  <si>
    <t>Ball Velve dia. 1/2"</t>
  </si>
  <si>
    <t>Ball Velve dia. 3/4"</t>
  </si>
  <si>
    <t>Ball Velve dia. 1"</t>
  </si>
  <si>
    <t>Ball Velve dia. 1-1/4"</t>
  </si>
  <si>
    <t>Ball Velve dia. 1-1/2"</t>
  </si>
  <si>
    <t>Ball Velve dia. 2"</t>
  </si>
  <si>
    <t>Ball Velve dia. 2-1/2"</t>
  </si>
  <si>
    <t>Ball Velve dia. 3"</t>
  </si>
  <si>
    <t>Ball Velve dia. 4"</t>
  </si>
  <si>
    <t>Check Velve dia. 1/2"</t>
  </si>
  <si>
    <t>Check Velve dia. 3/4"</t>
  </si>
  <si>
    <t>Check Velve dia. 1"</t>
  </si>
  <si>
    <t>Check Velve dia. 1-1/4"</t>
  </si>
  <si>
    <t>Check Velve dia. 1-1/2"</t>
  </si>
  <si>
    <t>Check Velve dia. 2"</t>
  </si>
  <si>
    <t>Check Velve dia. 2-1/2"</t>
  </si>
  <si>
    <t>Check Velve dia. 3"</t>
  </si>
  <si>
    <t>Check Velve dia. 4"</t>
  </si>
  <si>
    <t>Check Velve dia. 5"</t>
  </si>
  <si>
    <t>Check Velve dia. 6"</t>
  </si>
  <si>
    <t>Check Velve dia. 8"</t>
  </si>
  <si>
    <t>Check Velve dia. 10"</t>
  </si>
  <si>
    <t>Check Velve dia. 12"</t>
  </si>
  <si>
    <t>Strainer dia. 1/2"</t>
  </si>
  <si>
    <t>Strainer dia. 3/4"</t>
  </si>
  <si>
    <t>Strainer dia. 1"</t>
  </si>
  <si>
    <t>Strainer dia. 1-1/4"</t>
  </si>
  <si>
    <t>Strainer dia. 1-1/2"</t>
  </si>
  <si>
    <t>Strainer dia. 2"</t>
  </si>
  <si>
    <t>Strainer dia. 2-1/2"</t>
  </si>
  <si>
    <t>Strainer dia. 3"</t>
  </si>
  <si>
    <t>Strainer dia. 4"</t>
  </si>
  <si>
    <t>Strainer dia. 5"</t>
  </si>
  <si>
    <t>Strainer dia. 6"</t>
  </si>
  <si>
    <t>Strainer dia. 8"</t>
  </si>
  <si>
    <t>Strainer dia. 10"</t>
  </si>
  <si>
    <t>Strainer dia. 12"</t>
  </si>
  <si>
    <t>Strainer dia. 14"</t>
  </si>
  <si>
    <t>Floater Velve dia. 1/2"</t>
  </si>
  <si>
    <t>Floater Velve dia. 3/4"</t>
  </si>
  <si>
    <t>Floater Velve dia. 1"</t>
  </si>
  <si>
    <t>Floater Velve dia. 1-1/4"</t>
  </si>
  <si>
    <t>Floater Velve dia. 1-1/2"</t>
  </si>
  <si>
    <t>Floater Velve dia. 2"</t>
  </si>
  <si>
    <t>Floater Velve dia. 2-1/2"</t>
  </si>
  <si>
    <t>Floater Velve dia. 3"</t>
  </si>
  <si>
    <t>Floater Velve dia. 4"</t>
  </si>
  <si>
    <t>Floater Velve dia. 5"</t>
  </si>
  <si>
    <t>Floater Velve dia. 6"</t>
  </si>
  <si>
    <t>Floater Velve dia. 8"</t>
  </si>
  <si>
    <t>Floater Velve dia. 10"</t>
  </si>
  <si>
    <t>Floater Velve dia. 12"</t>
  </si>
  <si>
    <t>Foot Velve dia. 1/2"</t>
  </si>
  <si>
    <t>Foot Velve dia. 3/4"</t>
  </si>
  <si>
    <t>Foot Velve dia. 1"</t>
  </si>
  <si>
    <t>Foot Velve dia. 1-1/4"</t>
  </si>
  <si>
    <t>Foot Velve dia. 1-1/2"</t>
  </si>
  <si>
    <t>Foot Velve dia. 2"</t>
  </si>
  <si>
    <t>Foot Velve dia. 2-1/2"</t>
  </si>
  <si>
    <t>Foot Velve dia. 3"</t>
  </si>
  <si>
    <t>Foot Velve dia. 4"</t>
  </si>
  <si>
    <t>Foot Velve dia. 5"</t>
  </si>
  <si>
    <t>Foot Velve dia. 6"</t>
  </si>
  <si>
    <t>Foot Velve dia. 8"</t>
  </si>
  <si>
    <t>Foot Velve dia. 10"</t>
  </si>
  <si>
    <t>Foot Velve dia. 12"</t>
  </si>
  <si>
    <t>Foot Velve dia. 14"</t>
  </si>
  <si>
    <t>Flexible Joint dia. 1/2"</t>
  </si>
  <si>
    <t>Flexible Joint dia. 3/4"</t>
  </si>
  <si>
    <t>Flexible Joint dia. 1"</t>
  </si>
  <si>
    <t>Flexible Joint dia. 1-1/4"</t>
  </si>
  <si>
    <t>Flexible Joint dia. 1-1/2"</t>
  </si>
  <si>
    <t>Flexible Joint dia. 2"</t>
  </si>
  <si>
    <t>Flexible Joint dia. 2-1/2"</t>
  </si>
  <si>
    <t>Flexible Joint dia. 3"</t>
  </si>
  <si>
    <t>Flexible Joint dia. 4"</t>
  </si>
  <si>
    <t>Flexible Joint dia. 5"</t>
  </si>
  <si>
    <t>Flexible Joint dia. 6"</t>
  </si>
  <si>
    <t>Flexible Joint dia. 8"</t>
  </si>
  <si>
    <t>Flexible Joint dia. 10"</t>
  </si>
  <si>
    <t>Flexible Joint dia. 12"</t>
  </si>
  <si>
    <t>Flexible Joint dia. 14"</t>
  </si>
  <si>
    <t>Butterfly Velve dia. 2"</t>
  </si>
  <si>
    <t>Butterfly Velve dia. 2-1/2"</t>
  </si>
  <si>
    <t>Butterfly Velve dia. 3"</t>
  </si>
  <si>
    <t>Butterfly Velve dia. 4"</t>
  </si>
  <si>
    <t>Butterfly Velve dia. 5"</t>
  </si>
  <si>
    <t>Butterfly Velve dia. 6"</t>
  </si>
  <si>
    <t>Butterfly Velve dia. 8"</t>
  </si>
  <si>
    <t>Butterfly Velve dia. 10"</t>
  </si>
  <si>
    <t>Butterfly Velve dia. 12"</t>
  </si>
  <si>
    <t>Globe Velve dia. 1/2"</t>
  </si>
  <si>
    <t>Globe Velve dia. 3/4"</t>
  </si>
  <si>
    <t>Globe Velve dia. 1"</t>
  </si>
  <si>
    <t>Globe Velve dia. 1-1/4"</t>
  </si>
  <si>
    <t>Globe Velve dia. 1-1/2"</t>
  </si>
  <si>
    <t>Globe Velve dia. 2"</t>
  </si>
  <si>
    <t>Globe Velve dia. 2-1/2"</t>
  </si>
  <si>
    <t>Globe Velve dia. 3"</t>
  </si>
  <si>
    <t>Globe Velve dia. 4"</t>
  </si>
  <si>
    <t>Globe Velve dia. 5"</t>
  </si>
  <si>
    <t>Globe Velve dia. 6"</t>
  </si>
  <si>
    <t>Globe Velve dia. 8"</t>
  </si>
  <si>
    <t>Pressure Gauge dia. 1/2"</t>
  </si>
  <si>
    <t>Pressure Gauge dia. 1"</t>
  </si>
  <si>
    <t>Pressure Gauge dia. 2"</t>
  </si>
  <si>
    <t>Pressure Gauge dia. 2-1/2"</t>
  </si>
  <si>
    <t>Pressure Gauge dia. 3"</t>
  </si>
  <si>
    <t>Pressure Gauge dia. 4"</t>
  </si>
  <si>
    <t>Water Meter dia. 1/2"</t>
  </si>
  <si>
    <t xml:space="preserve">Bh </t>
  </si>
  <si>
    <t>Water Meter dia. 3/4"</t>
  </si>
  <si>
    <t>Water Meter dia. 1"</t>
  </si>
  <si>
    <t>Water Meter dia. 1-1/2"</t>
  </si>
  <si>
    <t>Water Meter dia. 2"</t>
  </si>
  <si>
    <t>Water Meter dia. 3"</t>
  </si>
  <si>
    <t>Water Meter dia. 4"</t>
  </si>
  <si>
    <t>Water Meter dia. 6"</t>
  </si>
  <si>
    <t>Water Meter dia. 8"</t>
  </si>
  <si>
    <t>Water Meter dia. 10"</t>
  </si>
  <si>
    <t>Water Meter dia. 12"</t>
  </si>
  <si>
    <t>Water Meter dia. 16"</t>
  </si>
  <si>
    <t>Flow Meter Analog dia.4"</t>
  </si>
  <si>
    <t xml:space="preserve">bh </t>
  </si>
  <si>
    <t>Clean Out dia. 2"</t>
  </si>
  <si>
    <t>Clean Out dia. 2-1/2"</t>
  </si>
  <si>
    <t>Clean Out dia. 3"</t>
  </si>
  <si>
    <t>Clean Out dia. 4"</t>
  </si>
  <si>
    <t>Clean Out dia. 5"</t>
  </si>
  <si>
    <t>Clean Out dia. 6"</t>
  </si>
  <si>
    <t>Clean Out dia. 8"</t>
  </si>
  <si>
    <t>Roof Drain dia. 2"</t>
  </si>
  <si>
    <t>Roof Drain dia. 2-1/2"</t>
  </si>
  <si>
    <t>Roof Drain dia. 3"</t>
  </si>
  <si>
    <t>Roof Drain dia. 4"</t>
  </si>
  <si>
    <t>Roof Drain dia. 5"</t>
  </si>
  <si>
    <t>Roof Drain dia. 6"</t>
  </si>
  <si>
    <t>Roof Drain dia. 8"</t>
  </si>
  <si>
    <t>Roof Drain dia. 10"</t>
  </si>
  <si>
    <t>Roof Drain dia. 12"</t>
  </si>
  <si>
    <t>Floor Clean Out dia. 2"</t>
  </si>
  <si>
    <t>Floor Clean Out dia. 2-1/2"</t>
  </si>
  <si>
    <t>Floor Clean Out dia. 3"</t>
  </si>
  <si>
    <t>Floor Clean Out dia. 4"</t>
  </si>
  <si>
    <t>Floor Clean Out dia. 6"</t>
  </si>
  <si>
    <t>Floor Clean Out dia. 8"</t>
  </si>
  <si>
    <t>Vent Cap dia. 2"</t>
  </si>
  <si>
    <t>Vent Cap dia. 3"</t>
  </si>
  <si>
    <t>Vent Cap dia. 4"</t>
  </si>
  <si>
    <t>PRV set dia. 2"</t>
  </si>
  <si>
    <t>PRV set dia. 2-1/2"</t>
  </si>
  <si>
    <t>PRV Set dia. 3"</t>
  </si>
  <si>
    <t>PRV set dia. 4"</t>
  </si>
  <si>
    <t>PRV set dia. 6"</t>
  </si>
  <si>
    <t>PRV set dia. 8"</t>
  </si>
  <si>
    <t>AAV dia. 1/2"</t>
  </si>
  <si>
    <t>AAV dia.1"</t>
  </si>
  <si>
    <t>AAV dia. 2"</t>
  </si>
  <si>
    <t>AAV dia. 3"</t>
  </si>
  <si>
    <t>AAV dia. 4"</t>
  </si>
  <si>
    <t>AAV dia. 6"</t>
  </si>
  <si>
    <t>Vent Out dia. 2"</t>
  </si>
  <si>
    <t xml:space="preserve">WLC dan Pengkabelan </t>
  </si>
  <si>
    <t xml:space="preserve">Pressure Switch </t>
  </si>
  <si>
    <t>Header Pipa PVC AW Dia. 4"</t>
  </si>
  <si>
    <t>Header Pipa Galvanis MED Class Dia. 4"</t>
  </si>
  <si>
    <t>Header Pipa BS SCH 40 Dia. 8"</t>
  </si>
  <si>
    <t>Header Pipa BS SCH 40 Dia. 10"</t>
  </si>
  <si>
    <t>Dop PVC dia. 3"</t>
  </si>
  <si>
    <t>Dop PVC dia. 4"</t>
  </si>
  <si>
    <t>Dop PVC dia. 6"</t>
  </si>
  <si>
    <t>Pipa DCI dia. 100 mm</t>
  </si>
  <si>
    <t>Pipa DCI, DN. 4"
(100 mm)</t>
  </si>
  <si>
    <t>Pipa DCI dia. 125 mm</t>
  </si>
  <si>
    <t>Pipa DCI, DN. 5"
(125 mm)</t>
  </si>
  <si>
    <t>Pipa DCI dia. 150 mm</t>
  </si>
  <si>
    <t>Pipa DCI, DN. 6"
(150 mm)</t>
  </si>
  <si>
    <t>Pipa DCI dia. 200 mm</t>
  </si>
  <si>
    <t>Pipa DCI, DN. 8"
(200 mm)</t>
  </si>
  <si>
    <t>Pipa DCI dia. 250 mm</t>
  </si>
  <si>
    <t>Pipa DCI, DN. 10"
(250 mm)</t>
  </si>
  <si>
    <t>Pipa DCI dia. 300 mm</t>
  </si>
  <si>
    <t>Pipa DCI, DN. 12"
(300 mm)</t>
  </si>
  <si>
    <t>Pipa DCI dia. 400 mm</t>
  </si>
  <si>
    <t>Pipa DCI, DN. 16"
(400 mm)</t>
  </si>
  <si>
    <t>Pipa DCI dia. 450 mm</t>
  </si>
  <si>
    <t>Pipa DCI, DN. 18"
(450 mm)</t>
  </si>
  <si>
    <t>Pipa DCI dia. 500 mm</t>
  </si>
  <si>
    <t>Pipa DCI, DN. 20"
(500 mm)</t>
  </si>
  <si>
    <t>Pipa DCI dia. 600 mm</t>
  </si>
  <si>
    <t>Pipa DCI, DN. 24"
(600 mm)</t>
  </si>
  <si>
    <t>Pipa DCI dia. 800 mm</t>
  </si>
  <si>
    <t>Pipa DCI, DN. 32"
(800 mm)</t>
  </si>
  <si>
    <t>Pipa DCI dia. 900 mm</t>
  </si>
  <si>
    <t>Pipa DCI, DN. 36"
(900 mm)</t>
  </si>
  <si>
    <t>Pipa DCI dia. 1000 mm</t>
  </si>
  <si>
    <t>Pipa DCI, DN. 40"
(1000 mm)</t>
  </si>
  <si>
    <t>Pipa DCI dia. 1100 mm</t>
  </si>
  <si>
    <t>Pipa DCI, DN. 44"
(1100 mm)</t>
  </si>
  <si>
    <t>Pipa DCI, DN. 48"
(1200 mm)</t>
  </si>
  <si>
    <t>Pipa Beton dia. 200 mm</t>
  </si>
  <si>
    <t>Pipa Beton, DN. 8" (200 mm)</t>
  </si>
  <si>
    <t>Pipa Beton dia. 300 mm</t>
  </si>
  <si>
    <t>Pipa Beton, DN. 12" (300 mm)</t>
  </si>
  <si>
    <t>Pipa Beton dia. 400 mm</t>
  </si>
  <si>
    <t>Pipa Beton, DN. 16" (400 mm)</t>
  </si>
  <si>
    <t>Pipa Beton dia. 500 mm</t>
  </si>
  <si>
    <t>Pipa Beton, DN. 20" (500 mm)</t>
  </si>
  <si>
    <t>Pipa Beton dia. 600 mm</t>
  </si>
  <si>
    <t>Pipa Beton, DN. 24" (600 mm)</t>
  </si>
  <si>
    <t>Pipa Beton dia. 700 mm</t>
  </si>
  <si>
    <t>Pipa Beton, DN. 28" (700 mm)</t>
  </si>
  <si>
    <t>Pipa Beton dia. 800 mm</t>
  </si>
  <si>
    <t>Pipa Beton, DN. 32" (800 mm)</t>
  </si>
  <si>
    <t>Pipa Beton dia. 1000 mm</t>
  </si>
  <si>
    <t>Pipa Beton, DN. 40" (1000 mm)</t>
  </si>
  <si>
    <t>Pipa Beton dia. 1200 mm</t>
  </si>
  <si>
    <t>Pipa Beton, DN. 48" (1200 mm)</t>
  </si>
  <si>
    <t>Valve Ø 6" (150 mm)</t>
  </si>
  <si>
    <t>Valve Ø 8" (200 mm)</t>
  </si>
  <si>
    <t>Valve Ø 10" (250 mm)</t>
  </si>
  <si>
    <t>Valve Ø 12" (300 mm)</t>
  </si>
  <si>
    <t>Valve Ø 16" (400 mm)</t>
  </si>
  <si>
    <t>Valve Ø 18" (450 mm)</t>
  </si>
  <si>
    <t>Valve Ø 20" (500 mm)</t>
  </si>
  <si>
    <t>Valve Ø 24" (600 mm)</t>
  </si>
  <si>
    <t>Valve Ø 28" (700 mm)</t>
  </si>
  <si>
    <t>Valve Ø 32" (800 mm)</t>
  </si>
  <si>
    <t>Valve Ø 36" (900 mm)</t>
  </si>
  <si>
    <t>Valve Ø 40" (1000 mm)</t>
  </si>
  <si>
    <t>Valve Ø 44" (1100 mm)</t>
  </si>
  <si>
    <t>Valve Ø 48" (1200 mm)</t>
  </si>
  <si>
    <t>Valve Ø 1/2" (15 mm)</t>
  </si>
  <si>
    <t>Valve Ø 3/4" (20 mm)</t>
  </si>
  <si>
    <t>Valve Ø 1" (25 mm)</t>
  </si>
  <si>
    <t>Valve Ø 1-1/4" (32 mm)</t>
  </si>
  <si>
    <t>Valve Ø 1-1/2" (40 mm)</t>
  </si>
  <si>
    <t>Valve Ø 2" (50 mm)</t>
  </si>
  <si>
    <t>Valve Ø 2-1/2" (65 mm)</t>
  </si>
  <si>
    <t>Valve Ø 3" (80 mm)</t>
  </si>
  <si>
    <t>Valve Ø 4" (100 mm)</t>
  </si>
  <si>
    <t>Valve Ø 5" (125 mm)</t>
  </si>
  <si>
    <t>Tee Ø 6" (150 mm)</t>
  </si>
  <si>
    <t>Tee Ø 8" (200 mm)</t>
  </si>
  <si>
    <t>Tee Ø 10" (250 mm)</t>
  </si>
  <si>
    <t>Tee Ø 18" (450 mm)</t>
  </si>
  <si>
    <t>Tee Ø 20" (500 mm)</t>
  </si>
  <si>
    <t>Tee Ø 24" (600 mm)</t>
  </si>
  <si>
    <t>Tee Ø 28" (700 mm)</t>
  </si>
  <si>
    <t>Tee Ø 32" (800 mm)</t>
  </si>
  <si>
    <t>Tee Ø 36" (900 mm)</t>
  </si>
  <si>
    <t>Tee Ø 40" (1000 mm)</t>
  </si>
  <si>
    <t>Tee Ø 44" (1100 mm)</t>
  </si>
  <si>
    <t>Tee Ø 48" (1200 mm)</t>
  </si>
  <si>
    <t>Tee Ø 1/2" (15 mm)</t>
  </si>
  <si>
    <t>Tee Ø 3/4" (20 mm)</t>
  </si>
  <si>
    <t>Tee Ø 1" (25 mm)</t>
  </si>
  <si>
    <t>Tee Ø 1-1/4" (32 mm)</t>
  </si>
  <si>
    <t>Tee Ø 1-1/2" (40 mm)</t>
  </si>
  <si>
    <t>Tee Ø 2" (50 mm)</t>
  </si>
  <si>
    <t>Tee Ø 2-1/2" (65 mm)</t>
  </si>
  <si>
    <t>Tee Ø 5" (125 mm)</t>
  </si>
  <si>
    <t>Tee Ø 3" (80 mm)</t>
  </si>
  <si>
    <t>Tee Ø 4" (100 mm)</t>
  </si>
  <si>
    <t>Tee Ø 12" (300 mm)</t>
  </si>
  <si>
    <t>Tee Ø 16" (400 mm)</t>
  </si>
  <si>
    <t>MATERIAL BESI DAN BAJA</t>
  </si>
  <si>
    <t>Baja (ulir) U-39</t>
  </si>
  <si>
    <t>Baja (ulir) U-48</t>
  </si>
  <si>
    <t>Baja Tahan Karat  ( Stainless  Steel )</t>
  </si>
  <si>
    <t>Baja L 40.40.4</t>
  </si>
  <si>
    <t>Frame besi L.30.30.3</t>
  </si>
  <si>
    <t>Frame Allum L.10.1</t>
  </si>
  <si>
    <t>Besi angkur diameter 8</t>
  </si>
  <si>
    <t>Besi angkur/mur/baut</t>
  </si>
  <si>
    <t xml:space="preserve">Baut </t>
  </si>
  <si>
    <t>Besi hollow  38.38.2</t>
  </si>
  <si>
    <t>Besi hollow  50.50.3</t>
  </si>
  <si>
    <t>Besi hollow galvanis 40.40</t>
  </si>
  <si>
    <t>Besi lis  kaca (1 x  1) cm</t>
  </si>
  <si>
    <t>Besi plat baja tebal 2 mm</t>
  </si>
  <si>
    <t>Besi profil</t>
  </si>
  <si>
    <t>Besi siku</t>
  </si>
  <si>
    <t>Besi siku 30x30x3 mm</t>
  </si>
  <si>
    <t>Besi siku 40x40x4 mm</t>
  </si>
  <si>
    <t xml:space="preserve">Baja Profil Siku </t>
  </si>
  <si>
    <t>Besi siku 40x40x4</t>
  </si>
  <si>
    <t>Besi siku 20x20 tebal 2 mm</t>
  </si>
  <si>
    <t>Besi strip</t>
  </si>
  <si>
    <t xml:space="preserve">Teralis Besi Strip lengkap dengan accessories </t>
  </si>
  <si>
    <t>M2</t>
  </si>
  <si>
    <t>Pelat Strip t=2,6 mm, L=12 cm</t>
  </si>
  <si>
    <t>Pelat Strip t=2,6 mm, L=14 cm</t>
  </si>
  <si>
    <t>Pelat Strip t=2,6 mm, L=17 cm</t>
  </si>
  <si>
    <t>Pelat Strip t=2,6 mm, L=34 cm</t>
  </si>
  <si>
    <t xml:space="preserve">Angkur Baja Full Drat ASTM 307 dia. 10 mm Panjang 35 cm </t>
  </si>
  <si>
    <t xml:space="preserve">Angkur Baja Full Drat ASTM 307 dia 10 mm Panjang 65 cm </t>
  </si>
  <si>
    <t>Besi strip (0,2x2) cm</t>
  </si>
  <si>
    <t>Besi strip (20x3) mm</t>
  </si>
  <si>
    <t>Plat Strip 3/30 mm</t>
  </si>
  <si>
    <t>Besi strip tebal 5 mm</t>
  </si>
  <si>
    <t>BjTP</t>
  </si>
  <si>
    <t>Baja Tulangan Polos (BjTP) diameter &lt; 12 mm</t>
  </si>
  <si>
    <t>Baja Tulangan Polos (BjTP) diameter &gt;12 mm</t>
  </si>
  <si>
    <t>BjTS</t>
  </si>
  <si>
    <t>Baja Tulangan Sirip (BjTS) diameter &lt; 12 mm</t>
  </si>
  <si>
    <t>Baja Tulangan Sirip (BjTS) diameter &gt;12 mm</t>
  </si>
  <si>
    <t>Bronjong kawat  pabrikan Uk.2x1x0,5 ø  3mm mesh 8x10</t>
  </si>
  <si>
    <t>Unit</t>
  </si>
  <si>
    <t>Bronjong kawat  pabrikan Uk.3x1,5x0,5 ø  3mm mesh 8x10</t>
  </si>
  <si>
    <t>Bronjong kawat  pabrikan Uk.3x1x0,5 ø  3mm mesh 8x10</t>
  </si>
  <si>
    <t>Bronjong kawat  pabrikan Uk.4x1x0,5 ø  3mm mesh 8x10</t>
  </si>
  <si>
    <t>Dinabolt dia. 12mm (10-15 cm)</t>
  </si>
  <si>
    <t>Dynabolt M12</t>
  </si>
  <si>
    <t>Jaring Kawat Baja dilas</t>
  </si>
  <si>
    <t>Kawat  bronjong</t>
  </si>
  <si>
    <t>Kawat  duri</t>
  </si>
  <si>
    <t>roll</t>
  </si>
  <si>
    <t>Kawat  galvanis  Ø 3 mm</t>
  </si>
  <si>
    <t>Kawat  galvanis  Ø 4 mm</t>
  </si>
  <si>
    <t>Kawat  galvanis  Ø 5 mm</t>
  </si>
  <si>
    <t>Kawat  harmonika 12 x  24 mm</t>
  </si>
  <si>
    <t>Kawat  harmonika 14 x  30 mm</t>
  </si>
  <si>
    <t>Kawat  harmonika 14 x  35 mm</t>
  </si>
  <si>
    <t>Kawat  kasa</t>
  </si>
  <si>
    <t>Kawat beton</t>
  </si>
  <si>
    <t>Kawat bendrat</t>
  </si>
  <si>
    <t>Kawat duri</t>
  </si>
  <si>
    <t>Kawat seng 3mm</t>
  </si>
  <si>
    <t>Kawat harmonika</t>
  </si>
  <si>
    <t>Kawat jaring panjang 240 cm</t>
  </si>
  <si>
    <t>Kawat las</t>
  </si>
  <si>
    <t>Kawat nyamuk</t>
  </si>
  <si>
    <t>Kawat nyamuk nylon</t>
  </si>
  <si>
    <t>Kawat Ø 4 mm</t>
  </si>
  <si>
    <t>Lapisan hot  deep galvanis</t>
  </si>
  <si>
    <t>Paku</t>
  </si>
  <si>
    <t>Paku 1 inch</t>
  </si>
  <si>
    <t>Paku 12 cm</t>
  </si>
  <si>
    <t>Paku 2 inch</t>
  </si>
  <si>
    <t>Paku 4 inch</t>
  </si>
  <si>
    <t>Paku biasa 5 inchi</t>
  </si>
  <si>
    <t xml:space="preserve">Paku 5 dan 10 cm </t>
  </si>
  <si>
    <t>Paku 5 dan 7 cm</t>
  </si>
  <si>
    <t xml:space="preserve">Paku 7 - 10 cm </t>
  </si>
  <si>
    <t xml:space="preserve">Paku 3 cm </t>
  </si>
  <si>
    <t xml:space="preserve">Paku Tripleks </t>
  </si>
  <si>
    <t>Paku beton</t>
  </si>
  <si>
    <t>Paku Beton 5 cm</t>
  </si>
  <si>
    <t>Paku hak panj 15cm</t>
  </si>
  <si>
    <t>Paku pancing 6x23</t>
  </si>
  <si>
    <t>Paku payung</t>
  </si>
  <si>
    <t>Paku rivet</t>
  </si>
  <si>
    <t>Paku sekrup</t>
  </si>
  <si>
    <t>Paku sekrup (buah)</t>
  </si>
  <si>
    <t>Paku Sekrup 1-2 cm</t>
  </si>
  <si>
    <t>Paku Fishes/kotak</t>
  </si>
  <si>
    <t>kotak</t>
  </si>
  <si>
    <t xml:space="preserve">Paku Fishes </t>
  </si>
  <si>
    <t>Pintu tahan api</t>
  </si>
  <si>
    <t>Pipa baja dia. 30 cm</t>
  </si>
  <si>
    <t>Pipa baja dia. 40 cm</t>
  </si>
  <si>
    <t>60</t>
  </si>
  <si>
    <t>Pipa baja dia. 50 cm</t>
  </si>
  <si>
    <t>61</t>
  </si>
  <si>
    <t>Pipa besi hitam 1 inch</t>
  </si>
  <si>
    <t>62</t>
  </si>
  <si>
    <t>Pipa besi hitam 1,5 inch</t>
  </si>
  <si>
    <t>63</t>
  </si>
  <si>
    <t>Pipa besi hitam 2 inch</t>
  </si>
  <si>
    <t>64</t>
  </si>
  <si>
    <t>Pipa besi hitam 3 inch</t>
  </si>
  <si>
    <t>65</t>
  </si>
  <si>
    <t>Saringan pasir</t>
  </si>
  <si>
    <t>66</t>
  </si>
  <si>
    <t>Sekrup kait</t>
  </si>
  <si>
    <t>67</t>
  </si>
  <si>
    <t>Wiremesh M10</t>
  </si>
  <si>
    <t>68</t>
  </si>
  <si>
    <t>Wiremesh M12</t>
  </si>
  <si>
    <t>69</t>
  </si>
  <si>
    <t>Wiremesh M6</t>
  </si>
  <si>
    <t>70</t>
  </si>
  <si>
    <t>Wiremesh M7</t>
  </si>
  <si>
    <t>71</t>
  </si>
  <si>
    <t>Wiremesh M8</t>
  </si>
  <si>
    <t>72</t>
  </si>
  <si>
    <t>Wiremesh M9</t>
  </si>
  <si>
    <t>MATERIAL PENUTUP ATAP</t>
  </si>
  <si>
    <t>Aluminium gelombang 95x180 cm</t>
  </si>
  <si>
    <t>Asbes  gelombang kecil 4mm (150x105)</t>
  </si>
  <si>
    <t>Asbes  gelombang kecil 4mm (180x105)</t>
  </si>
  <si>
    <t>Asbes  gelombang kecil 4mm (210x105)</t>
  </si>
  <si>
    <t>Asbes  gelombang kecil 4mm (240x105)</t>
  </si>
  <si>
    <t>Asbes gelombang besar 5 mm, 150x105 cm</t>
  </si>
  <si>
    <t>Asbes gelombang besar 5 mm, 180x92 cm</t>
  </si>
  <si>
    <t>Asbes gelombang besar 5 mm, 200x92 cm</t>
  </si>
  <si>
    <t>Asbes gelombang besar 5 mm, 210x105 cm</t>
  </si>
  <si>
    <t>Asbes gelombang besar 5 mm, 225x92 cm</t>
  </si>
  <si>
    <t>Asbes gelombang besar 5 mm, 240x105 cm</t>
  </si>
  <si>
    <t>Asbes gelombang besar 5 mm, 250x92 cm</t>
  </si>
  <si>
    <t>Asbes gelombang besar 5 mm, 300x105 cm</t>
  </si>
  <si>
    <t>Asbes gelombang besar 6 mm, 180x108 cm</t>
  </si>
  <si>
    <t>Asbes gelombang besar 6 mm, 210x108 cm</t>
  </si>
  <si>
    <t>Asbes gelombang besar 6 mm, 240x108 cm</t>
  </si>
  <si>
    <t>Asbes gelombang besar 6 mm, 270x108 cm</t>
  </si>
  <si>
    <t>Asbes gelombang besar 6 mm, 300x108 cm</t>
  </si>
  <si>
    <t>Asbes gelombang kecil 4 mm, 270x105 cm</t>
  </si>
  <si>
    <t>Asbes gelombang kecil 4 mm, 300x105 cm</t>
  </si>
  <si>
    <t>Atap metal berpasir</t>
  </si>
  <si>
    <t>Atap metal lembaran</t>
  </si>
  <si>
    <t>Atap metal menerus</t>
  </si>
  <si>
    <t>Atap Rumbia /  Atap Saung 150cmx50cm</t>
  </si>
  <si>
    <t>Atap UPVC uk. 86x119 cm</t>
  </si>
  <si>
    <t>Bitumen tekstur genting</t>
  </si>
  <si>
    <t>Bubung genteng kodok</t>
  </si>
  <si>
    <t>Bubung genteng palentong</t>
  </si>
  <si>
    <t>Bubungan asbes  besar</t>
  </si>
  <si>
    <t>Bubungan asbes  kecil</t>
  </si>
  <si>
    <t>Bubungan beton press</t>
  </si>
  <si>
    <t>Fibre glass  (jabes) 180x105 cm</t>
  </si>
  <si>
    <t>Fibre glass  (jabes) 200x92 cm</t>
  </si>
  <si>
    <t>Fibre glass  (jabes) 210x105 cm</t>
  </si>
  <si>
    <t>Fibre glass  (jabes) 250x105 cm</t>
  </si>
  <si>
    <t>Fibre glass  (jabes) 250x92 cm</t>
  </si>
  <si>
    <t>Fibreglass 180x90 cm</t>
  </si>
  <si>
    <t>Frame 'S' 85.50 tinggi profil 85 dan tebal 0,75  mm</t>
  </si>
  <si>
    <t>Galvalum Gelombang Lapis  Pasir</t>
  </si>
  <si>
    <t>Genteng aspal 80x100 cm</t>
  </si>
  <si>
    <t>Genteng beton</t>
  </si>
  <si>
    <t>Genteng decra bond</t>
  </si>
  <si>
    <t>Genteng kodok</t>
  </si>
  <si>
    <t>Genteng kodok glazuur</t>
  </si>
  <si>
    <t>Genteng metal</t>
  </si>
  <si>
    <t>Genteng metal berpasir</t>
  </si>
  <si>
    <t>Genteng palentong</t>
  </si>
  <si>
    <t>Genteng palentong super</t>
  </si>
  <si>
    <t>Listplang papan kalsiboard</t>
  </si>
  <si>
    <t>Listplang tekstur kayu</t>
  </si>
  <si>
    <t>Nok genteng aspal</t>
  </si>
  <si>
    <t>Nok genteng beton</t>
  </si>
  <si>
    <t>Nok genteng metal</t>
  </si>
  <si>
    <t>Nok paten 105 cm</t>
  </si>
  <si>
    <t>Nok paten 108 cm</t>
  </si>
  <si>
    <t>Nok paten 92 cm</t>
  </si>
  <si>
    <t>Nok setel rata 105 cm</t>
  </si>
  <si>
    <t>Nok setel rata 108 cm</t>
  </si>
  <si>
    <t>Nok setel rata 92 cm</t>
  </si>
  <si>
    <t>Nok standar</t>
  </si>
  <si>
    <t>Nok stel gelombang 105 cm</t>
  </si>
  <si>
    <t>Nok stel gelombang 108 cm</t>
  </si>
  <si>
    <t>Nok stel gelombang 92 cm</t>
  </si>
  <si>
    <t>Reng  batten  0,5</t>
  </si>
  <si>
    <t>Roof light fiberglass</t>
  </si>
  <si>
    <t>Seng gelombang</t>
  </si>
  <si>
    <t>Seng gelombang 3x6 inch</t>
  </si>
  <si>
    <t>Seng Gelombang 105 cm x 180 cm</t>
  </si>
  <si>
    <t xml:space="preserve">Lembar </t>
  </si>
  <si>
    <t>Seng gelombang bjls  0.18 panjang 180 cm</t>
  </si>
  <si>
    <t>Seng gelombang bjls  0.20 panjang 180 cm</t>
  </si>
  <si>
    <t>Seng gelombang bjls  30 panjang 180 cm</t>
  </si>
  <si>
    <t>Seng gelombang bjls  0.40 panjang 180 cm</t>
  </si>
  <si>
    <t>Seng gelombang bjls  28</t>
  </si>
  <si>
    <t>Seng gelombang bljs 30</t>
  </si>
  <si>
    <t>Seng gelombang panjang 200 cm</t>
  </si>
  <si>
    <t>73</t>
  </si>
  <si>
    <t>Seng plat  BJLS 0.18 lebar 55 cm</t>
  </si>
  <si>
    <t>74</t>
  </si>
  <si>
    <t>Seng plat  BJLS 0.20 lebar 55 cm</t>
  </si>
  <si>
    <t>75</t>
  </si>
  <si>
    <t>Seng plat  BJLS 0.28 lebar 55 cm</t>
  </si>
  <si>
    <t>76</t>
  </si>
  <si>
    <t>Seng plat  BJLS 0.30 lebar 55 cm</t>
  </si>
  <si>
    <t>77</t>
  </si>
  <si>
    <t>Seng plat 3x6 inch</t>
  </si>
  <si>
    <t>78</t>
  </si>
  <si>
    <t>Seng plat 3x6 inch bjls 28</t>
  </si>
  <si>
    <t>Seng pelat</t>
  </si>
  <si>
    <t>Seng Pelat  90x180 cm bjls 28</t>
  </si>
  <si>
    <t>79</t>
  </si>
  <si>
    <t>Seng plat bjls 28</t>
  </si>
  <si>
    <t>80</t>
  </si>
  <si>
    <t>Seng plat bjls 30</t>
  </si>
  <si>
    <t>81</t>
  </si>
  <si>
    <t>82</t>
  </si>
  <si>
    <t>Sirap (100 lbr)</t>
  </si>
  <si>
    <t>pak</t>
  </si>
  <si>
    <t>83</t>
  </si>
  <si>
    <t>Sirap kayu</t>
  </si>
  <si>
    <t>84</t>
  </si>
  <si>
    <t>Wab  capsule 62.27  tinggi 62  mm dan  tebal 0,4mm</t>
  </si>
  <si>
    <t>MATERIAL PLAFON</t>
  </si>
  <si>
    <t>Asbes 1,00  x 1,00  m</t>
  </si>
  <si>
    <t>Compon Flafond</t>
  </si>
  <si>
    <t>cross tee</t>
  </si>
  <si>
    <t>GRC Pelat t=4 mm uk 122x244 cm</t>
  </si>
  <si>
    <t>GRCboard (120 cm x  240 cm x  5 mm)</t>
  </si>
  <si>
    <t>GRCboard (120 cm x  240 cm x  6 mm)</t>
  </si>
  <si>
    <t>Gypsum Board (120 cm x  240 cm x  12 mm)</t>
  </si>
  <si>
    <t>Gypsum Board (122 cm x  244 cm x  12 mm)</t>
  </si>
  <si>
    <t>Gypsum board (120 cm x 240 cm x 9 mm)</t>
  </si>
  <si>
    <t>Rockwool tebal 50 mm</t>
  </si>
  <si>
    <t>Lambersening plafon ˂3</t>
  </si>
  <si>
    <t>Lambersening plafon ˃3</t>
  </si>
  <si>
    <t>List gypsum profil</t>
  </si>
  <si>
    <t>Listplank GRC lebar 20 cm</t>
  </si>
  <si>
    <t>Listplank GRC lebar 30 cm</t>
  </si>
  <si>
    <t>Main tee</t>
  </si>
  <si>
    <t>Papan semen</t>
  </si>
  <si>
    <t>Asbes gelombang</t>
  </si>
  <si>
    <t>Pelat  asbes  tebal 3,5 mm</t>
  </si>
  <si>
    <t>Pelat  asbes  tebal 4 mm</t>
  </si>
  <si>
    <t>Plafon akustik 30x30 cm</t>
  </si>
  <si>
    <t>Plafon akustik 30x60 cm</t>
  </si>
  <si>
    <t>Plafon akustik 60x120 cm</t>
  </si>
  <si>
    <t>MATERIAL PENUTUP LANTAI DAN DINDING</t>
  </si>
  <si>
    <t>Bata Ekspose Tempel warna natural 8x24x2 cm</t>
  </si>
  <si>
    <t>Bata tempel</t>
  </si>
  <si>
    <t>Batako 20x40x10 cm</t>
  </si>
  <si>
    <t>Batu andesit  30x30 t=3cm</t>
  </si>
  <si>
    <t>Batu andesit  30x30 t=5cm</t>
  </si>
  <si>
    <t>Batu paros</t>
  </si>
  <si>
    <t>Floor hardener</t>
  </si>
  <si>
    <t>Flooring Kayu Kruing   1,5x13,5x60 cm</t>
  </si>
  <si>
    <t>Flooring Kayu Merbau 1,5x9x30cm</t>
  </si>
  <si>
    <t>Flooring Kayu Sonokeling Grade B  1,5x9x30cm</t>
  </si>
  <si>
    <t>Granit  bakar 10x10, t=2cm</t>
  </si>
  <si>
    <t>Granit  bakar 30x30, t=2cm</t>
  </si>
  <si>
    <t>Granit  tile unpolish /  anti skid</t>
  </si>
  <si>
    <t>Granit tile 30x30 cm (double loading)</t>
  </si>
  <si>
    <t>Granit tile 40x40 cm (double loading)</t>
  </si>
  <si>
    <t>Granit tile 60x60 cm (double loading)</t>
  </si>
  <si>
    <t>Granito  30 x  30 cm</t>
  </si>
  <si>
    <t>Granito  40 x  40 cm</t>
  </si>
  <si>
    <t>Guiding Block Warna t  =  6 cm</t>
  </si>
  <si>
    <t>Homogenous tile 30x30 cm</t>
  </si>
  <si>
    <t>Homogenous tile 40x40 cm</t>
  </si>
  <si>
    <t>Homogenous tile 60x60 cm</t>
  </si>
  <si>
    <t>Homogenous tile unpolish 30x30 cm</t>
  </si>
  <si>
    <t>Homogenous tile unpolish 40x40 cm</t>
  </si>
  <si>
    <t>Homogenous tile unpolish 60x60 cm</t>
  </si>
  <si>
    <t>Homogenous tile dinding 30x30 cm</t>
  </si>
  <si>
    <t>Homogenous tile dinding 40x40 cm</t>
  </si>
  <si>
    <t>Homogenous tile dinding 60x60 cm</t>
  </si>
  <si>
    <t>Karpet</t>
  </si>
  <si>
    <t>Keramik  20  x 25  cm</t>
  </si>
  <si>
    <t>Keramik 10 x  20 cm</t>
  </si>
  <si>
    <t>Keramik 20x20 cm</t>
  </si>
  <si>
    <t>Keramik 25 x  25 cm</t>
  </si>
  <si>
    <t>Keramik 30x30 cm</t>
  </si>
  <si>
    <t>Keramik 40x40 cm</t>
  </si>
  <si>
    <t>Keramik 60x60 cm</t>
  </si>
  <si>
    <t>Keramik Variasi 30x30 cm</t>
  </si>
  <si>
    <t>Keramik Variasi 40x40 cm</t>
  </si>
  <si>
    <t>KeramikVariasi  60x60 cm</t>
  </si>
  <si>
    <t>Step Nosing Keramik 10x60 cm</t>
  </si>
  <si>
    <t xml:space="preserve">Keramik Tactile 30x30 cm </t>
  </si>
  <si>
    <t>Keramik Tactile 40x40 cm</t>
  </si>
  <si>
    <t>Keramik artistik 10x10 cm</t>
  </si>
  <si>
    <t>Keramik artistik 20x20 cm</t>
  </si>
  <si>
    <t>Keramik artistik 30x30 cm</t>
  </si>
  <si>
    <t>Keramik artistik 40x40 cm</t>
  </si>
  <si>
    <t>Keramik artistik 8x8 cm</t>
  </si>
  <si>
    <t>Keramik cuting 50x50</t>
  </si>
  <si>
    <t>Keramik dinding 10x20 cm</t>
  </si>
  <si>
    <t>Keramik dinding 20x20 cm</t>
  </si>
  <si>
    <t>Keramik dinding artistik 10x20 cm</t>
  </si>
  <si>
    <t>Keramik dinding artistik 5x20 cm</t>
  </si>
  <si>
    <t>Lamparquet  Kayu Merbau 1x6x20cm</t>
  </si>
  <si>
    <t>Lamparquet  Kayu Merbau 1x9x20cm</t>
  </si>
  <si>
    <t>Lantai engineering wood</t>
  </si>
  <si>
    <t>Lantai Parket  Jati grade A   1,2x5x17 cm</t>
  </si>
  <si>
    <t>Lantai Parket  Jati grade A   1,2x5x20cm</t>
  </si>
  <si>
    <t>Lantai Parket  Jati grade A   1,2x5x25 cm</t>
  </si>
  <si>
    <t>Lantai Parket  Jati grade A   1,2x5x30 cm</t>
  </si>
  <si>
    <t>Lantai Parket  Jati grade B   1,2x5x17 cm</t>
  </si>
  <si>
    <t>Lantai Parket  Jati grade B   1,2x5x20cm</t>
  </si>
  <si>
    <t>Lantai Parket  Jati grade B   1,2x5x25 cm</t>
  </si>
  <si>
    <t>Lantai Parket  Jati grade B   1,2x5x30 cm</t>
  </si>
  <si>
    <t>Lantai Parket  Jati grade C   1,2x5x20cm</t>
  </si>
  <si>
    <t>Lantai Parket  Jati grade C   1,2x5x25 cm</t>
  </si>
  <si>
    <t>Lantai Parket  Jati grade C   1,2x5x30 cm</t>
  </si>
  <si>
    <t>Lem</t>
  </si>
  <si>
    <t>Marmer</t>
  </si>
  <si>
    <t>Marmer Graphir 10x10 cm</t>
  </si>
  <si>
    <t>Marmer Graphir 12x12 cm</t>
  </si>
  <si>
    <t>Pen Kuningan titik acuan</t>
  </si>
  <si>
    <t>Mozaik porselen 10 x  20 cm</t>
  </si>
  <si>
    <t>Mozaik porselen 15 x  15 cm</t>
  </si>
  <si>
    <t>Mozaik porselen 20 x  20 cm</t>
  </si>
  <si>
    <t>Mozaik porselen 20 x  25 cm</t>
  </si>
  <si>
    <t>Parquet kayu solid</t>
  </si>
  <si>
    <t>Plint  Kayu 10 cm</t>
  </si>
  <si>
    <t>Plint  keramik 10 x  20 cm</t>
  </si>
  <si>
    <t>Plint  keramik 5 x  20 cm</t>
  </si>
  <si>
    <t>Plint granit 10 cm x 40 cm</t>
  </si>
  <si>
    <t>Plint granit 10cm x 30cm</t>
  </si>
  <si>
    <t>Plint homogenous tile uk. 10-15x30 cm</t>
  </si>
  <si>
    <t>Plint homogenous tile uk. 10-15x40 cm</t>
  </si>
  <si>
    <t>Plint homogenous tile uk. 10-15x60 cm</t>
  </si>
  <si>
    <t>Plint homogenous tile unpolish uk. 10-15x30 cm</t>
  </si>
  <si>
    <t>Plint homogenous tile unpolish uk. 10-15x40 cm</t>
  </si>
  <si>
    <t>Plint homogenous tile unpolish uk. 10-15x60 cm</t>
  </si>
  <si>
    <t>Plint internal cove uk. 5x5x20 cm</t>
  </si>
  <si>
    <t>Plint keramik  10  x 30  cm</t>
  </si>
  <si>
    <t>Plint keramik uk. 10-15x20 cm</t>
  </si>
  <si>
    <t>Plint keramik uk. 10-15x30 cm</t>
  </si>
  <si>
    <t>Plint keramik uk. 10-15x40 cm</t>
  </si>
  <si>
    <t>Plint keramik uk. 10-15x60 cm</t>
  </si>
  <si>
    <t>Plint teralux kerang uk. 10-15x30 cm</t>
  </si>
  <si>
    <t>Plint teralux kerang uk. 10-15x40 cm</t>
  </si>
  <si>
    <t>Plint teralux kerang uk. 10-15x60 cm</t>
  </si>
  <si>
    <t>85</t>
  </si>
  <si>
    <t>Plint teralux marmer uk. 10-15x30 cm</t>
  </si>
  <si>
    <t>86</t>
  </si>
  <si>
    <t>Plint teralux marmer uk. 10-15x40 cm</t>
  </si>
  <si>
    <t>87</t>
  </si>
  <si>
    <t>Plint teralux marmer uk. 10-15x60 cm</t>
  </si>
  <si>
    <t>88</t>
  </si>
  <si>
    <t>Plint ubin granit uk. 10-15x30 cm</t>
  </si>
  <si>
    <t>89</t>
  </si>
  <si>
    <t>Plint ubin granit uk. 10-15x40 cm</t>
  </si>
  <si>
    <t>90</t>
  </si>
  <si>
    <t>Plint ubin granit uk. 10-15x60 cm</t>
  </si>
  <si>
    <t>91</t>
  </si>
  <si>
    <t>Plint ubin PC abu-abu uk. 10-15x20 cm</t>
  </si>
  <si>
    <t>92</t>
  </si>
  <si>
    <t>Plint ubin PC abu-abu uk. 10-15x30 cm</t>
  </si>
  <si>
    <t>93</t>
  </si>
  <si>
    <t>Plint ubin PC abu-abu uk. 10-15x40 cm</t>
  </si>
  <si>
    <t>94</t>
  </si>
  <si>
    <t>Plint ubin PC abu-abu uk. 10-15x60 cm</t>
  </si>
  <si>
    <t>95</t>
  </si>
  <si>
    <t>Plint ubin teraso uk. 10-15x30 cm</t>
  </si>
  <si>
    <t>96</t>
  </si>
  <si>
    <t>Plint ubin teraso uk. 10-15x40 cm</t>
  </si>
  <si>
    <t>97</t>
  </si>
  <si>
    <t>Plint ubin warna uk. 10-15x20 cm</t>
  </si>
  <si>
    <t>98</t>
  </si>
  <si>
    <t>Plint ubin warna uk. 10-15x30 cm</t>
  </si>
  <si>
    <t>99</t>
  </si>
  <si>
    <t>Plint ubin warna uk. 10-15x40 cm</t>
  </si>
  <si>
    <t>100</t>
  </si>
  <si>
    <t>Plint ubin warna uk. 10-15x60 cm</t>
  </si>
  <si>
    <t>101</t>
  </si>
  <si>
    <t>Porselen 10x20 cm</t>
  </si>
  <si>
    <t>102</t>
  </si>
  <si>
    <t>Porselen 11x11 cm</t>
  </si>
  <si>
    <t>103</t>
  </si>
  <si>
    <t>Porselen 11x11 cm (dus)</t>
  </si>
  <si>
    <t>dus</t>
  </si>
  <si>
    <t>104</t>
  </si>
  <si>
    <t>Porselen 20x20 cm</t>
  </si>
  <si>
    <t>105</t>
  </si>
  <si>
    <t>Tangga Papan</t>
  </si>
  <si>
    <t>106</t>
  </si>
  <si>
    <t>Tangga Parquet  /  Flooring</t>
  </si>
  <si>
    <t>107</t>
  </si>
  <si>
    <t>Tegel plint, PC  abu-abu 15 x  20 cm</t>
  </si>
  <si>
    <t>108</t>
  </si>
  <si>
    <t>Tegel plint, PC  warna 10 x  20 cm</t>
  </si>
  <si>
    <t>109</t>
  </si>
  <si>
    <t>Teraso cor</t>
  </si>
  <si>
    <t>110</t>
  </si>
  <si>
    <t>Ubin granit 30x30 cm</t>
  </si>
  <si>
    <t>111</t>
  </si>
  <si>
    <t>Ubin granit 40x40 cm</t>
  </si>
  <si>
    <t>112</t>
  </si>
  <si>
    <t>Ubin granit 60x60 cm</t>
  </si>
  <si>
    <t>113</t>
  </si>
  <si>
    <t>Ubin PC abu-abu 20x20 cm</t>
  </si>
  <si>
    <t>114</t>
  </si>
  <si>
    <t>Ubin PC abu-abu 30x30 cm</t>
  </si>
  <si>
    <t>115</t>
  </si>
  <si>
    <t>Ubin PC abu-abu 40x40 cm</t>
  </si>
  <si>
    <t>116</t>
  </si>
  <si>
    <t>Ubin PC abu-abu 60x60 cm</t>
  </si>
  <si>
    <t>117</t>
  </si>
  <si>
    <t>Ubin porselen lokal 11 x  11 putih</t>
  </si>
  <si>
    <t>dos</t>
  </si>
  <si>
    <t>118</t>
  </si>
  <si>
    <t>Ubin porselen lokal 11 x  11 warna</t>
  </si>
  <si>
    <t>119</t>
  </si>
  <si>
    <t>Ubin porselen lokal 15 x  15 putih</t>
  </si>
  <si>
    <t>120</t>
  </si>
  <si>
    <t>Ubin porselen lokal 15 x  15 warna</t>
  </si>
  <si>
    <t>121</t>
  </si>
  <si>
    <t>Ubin teralux marmer 30x30 cm</t>
  </si>
  <si>
    <t>122</t>
  </si>
  <si>
    <t>Ubin teralux marmer 40x40 cm</t>
  </si>
  <si>
    <t>123</t>
  </si>
  <si>
    <t>Ubin teralux marmer 60x60 cm</t>
  </si>
  <si>
    <t>124</t>
  </si>
  <si>
    <t>Ubin teraso 30x30 cm</t>
  </si>
  <si>
    <t>125</t>
  </si>
  <si>
    <t>Ubin teraso 40x40 cm</t>
  </si>
  <si>
    <t>126</t>
  </si>
  <si>
    <t>Ubin warna 20x20 cm</t>
  </si>
  <si>
    <t>127</t>
  </si>
  <si>
    <t>Ubin warna 30x30 cm</t>
  </si>
  <si>
    <t>128</t>
  </si>
  <si>
    <t>Ubin warna 40x40 cm</t>
  </si>
  <si>
    <t>129</t>
  </si>
  <si>
    <t>Ubin warna 60x60 cm</t>
  </si>
  <si>
    <t>130</t>
  </si>
  <si>
    <t>Underlayer karpet</t>
  </si>
  <si>
    <t>131</t>
  </si>
  <si>
    <t>UPVC decking</t>
  </si>
  <si>
    <t>132</t>
  </si>
  <si>
    <t>Vinyl</t>
  </si>
  <si>
    <t>MATERIAL BETON DAN ADUKAN PASANGAN</t>
  </si>
  <si>
    <t>Additive</t>
  </si>
  <si>
    <t>liter</t>
  </si>
  <si>
    <t xml:space="preserve">Zat Aditif </t>
  </si>
  <si>
    <t>Floor lantai (Beton lantai kerja)</t>
  </si>
  <si>
    <t>Lantai Kerja</t>
  </si>
  <si>
    <t>Adukan beton berpori (Aggregat  10/20mm) ready mix</t>
  </si>
  <si>
    <t>Adukan beton K-100 ready mix</t>
  </si>
  <si>
    <t>Adukan beton K-125 ready mix</t>
  </si>
  <si>
    <t>Adukan beton K-175 ready mix</t>
  </si>
  <si>
    <t>Adukan beton K-200 ready mix</t>
  </si>
  <si>
    <t>Adukan beton K-225 ready mix</t>
  </si>
  <si>
    <t>Adukan beton K-250 ready mix</t>
  </si>
  <si>
    <t>Adukan beton K-275 ready mix</t>
  </si>
  <si>
    <t>Adukan beton K-300 ready mix</t>
  </si>
  <si>
    <t>Adukan beton K-350 ready mix</t>
  </si>
  <si>
    <t>Adukan beton K-400 ready mix</t>
  </si>
  <si>
    <t>Adukan beton K-500 ready mix</t>
  </si>
  <si>
    <t>Beton fc' 15 Mpa</t>
  </si>
  <si>
    <t>Compound gypsum</t>
  </si>
  <si>
    <t>Compound hardboard</t>
  </si>
  <si>
    <t>Curing compound</t>
  </si>
  <si>
    <t>Flexible waterproofing</t>
  </si>
  <si>
    <t xml:space="preserve">Membran Bakar </t>
  </si>
  <si>
    <t xml:space="preserve">Cairan Primer </t>
  </si>
  <si>
    <t>Formtie/penjaga jarak bekesting/spacer</t>
  </si>
  <si>
    <t>Kassa</t>
  </si>
  <si>
    <t>Kolom beton pracetak</t>
  </si>
  <si>
    <t>Panel beton pracetak</t>
  </si>
  <si>
    <t>Paper tape hardboard</t>
  </si>
  <si>
    <t>Pengisi khusus  rongga nat</t>
  </si>
  <si>
    <t>Perekat  khusus  penutup dinding</t>
  </si>
  <si>
    <t>Perekat  khusus  penutup lantai</t>
  </si>
  <si>
    <t>Semen 40 Kg</t>
  </si>
  <si>
    <t>zak</t>
  </si>
  <si>
    <t>Semen 50 Kg</t>
  </si>
  <si>
    <t>Semen grout</t>
  </si>
  <si>
    <t>Semen merah</t>
  </si>
  <si>
    <t>Semen Merk II 40 Kg</t>
  </si>
  <si>
    <t>Semen Merk II 50 Kg</t>
  </si>
  <si>
    <t>Semen nat</t>
  </si>
  <si>
    <t>Semen Portland (PC)</t>
  </si>
  <si>
    <t>Semen putih 40 Kg</t>
  </si>
  <si>
    <t>Semen putih 50 Kg</t>
  </si>
  <si>
    <t>Semen warna</t>
  </si>
  <si>
    <t>Waterproofing</t>
  </si>
  <si>
    <t>Waterproofing Cristalin</t>
  </si>
  <si>
    <t>Waterproofing Semen Base</t>
  </si>
  <si>
    <t>Waterproofing Acrylic Base</t>
  </si>
  <si>
    <t>Joint Sealant</t>
  </si>
  <si>
    <t>Polytene 125 Mikron</t>
  </si>
  <si>
    <t>Dowel dia. 25 mm (BjTs)</t>
  </si>
  <si>
    <t>Tie Bar Dia. 16 mm (BjTS)</t>
  </si>
  <si>
    <t xml:space="preserve">Kg </t>
  </si>
  <si>
    <t>Lolos screen 2 ukuran 9,5-19,0</t>
  </si>
  <si>
    <t>Lolos screen 2 ukuran 0-5</t>
  </si>
  <si>
    <t>Lantai Kerja fc 10 Mpa</t>
  </si>
  <si>
    <t>Lantai Kerja fc 7,5 Mpa</t>
  </si>
  <si>
    <t xml:space="preserve">U-Ditch 30x30x120 cm </t>
  </si>
  <si>
    <t xml:space="preserve">U-Ditch 30x40x120 cm </t>
  </si>
  <si>
    <t xml:space="preserve">U-Ditch 40x40x120 cm </t>
  </si>
  <si>
    <t xml:space="preserve">U-Ditch 40x50x120 cm </t>
  </si>
  <si>
    <t xml:space="preserve">U-Ditch 40x60x120 cm </t>
  </si>
  <si>
    <t xml:space="preserve">U-Ditch 50x50x120 cm </t>
  </si>
  <si>
    <t xml:space="preserve">U-Ditch 50x60x120 cm </t>
  </si>
  <si>
    <t xml:space="preserve">U-Ditch 50x70x120 cm </t>
  </si>
  <si>
    <t xml:space="preserve">U-Ditch 60x60x120 cm </t>
  </si>
  <si>
    <t xml:space="preserve">U-Ditch 60x70x120 cm </t>
  </si>
  <si>
    <t xml:space="preserve">U-Ditch 60x80x120 cm </t>
  </si>
  <si>
    <t xml:space="preserve">U-Ditch 80x60x120 cm </t>
  </si>
  <si>
    <t xml:space="preserve">U-Ditch 80x80x120 cm </t>
  </si>
  <si>
    <t xml:space="preserve">U-Ditch 80x100x120 cm </t>
  </si>
  <si>
    <t xml:space="preserve">U-Ditch 100x100x120 cm </t>
  </si>
  <si>
    <t xml:space="preserve">U-Ditch 100x120x120 cm </t>
  </si>
  <si>
    <t xml:space="preserve">U-Ditch 120x120x120 cm </t>
  </si>
  <si>
    <t xml:space="preserve">U-Ditch 120x140x120 cm </t>
  </si>
  <si>
    <t xml:space="preserve">U-Ditch 140x140x120 cm </t>
  </si>
  <si>
    <t xml:space="preserve">U-Ditch 150x100x120 cm </t>
  </si>
  <si>
    <t xml:space="preserve">U-Ditch 150x150x120 cm </t>
  </si>
  <si>
    <t xml:space="preserve">U-Ditch 150x170x120 cm </t>
  </si>
  <si>
    <t xml:space="preserve">U-Ditch 160x160x120 cm </t>
  </si>
  <si>
    <t xml:space="preserve">U-Ditch 160x180x120 cm </t>
  </si>
  <si>
    <t xml:space="preserve">U-Ditch 180x180x120 cm </t>
  </si>
  <si>
    <t xml:space="preserve">U-Ditch 180x200x120 cm </t>
  </si>
  <si>
    <t xml:space="preserve">U-Ditch 200x200x120 cm </t>
  </si>
  <si>
    <t>Tutup U-Ditch 39x60x6 (tipe LD)</t>
  </si>
  <si>
    <t>Tutup U-Ditch 51x60x7 (tipe LD)</t>
  </si>
  <si>
    <t>Tutup U-Ditch 62x60x7,5 (tipe LD)</t>
  </si>
  <si>
    <t>Tutup U-Ditch 73x60x7,8 (tipe LD)</t>
  </si>
  <si>
    <t>Tutup U-Ditch 94x60x10 (tipe LD)</t>
  </si>
  <si>
    <t>Tutup U-Ditch 39x60x9 (tipe HD)</t>
  </si>
  <si>
    <t>Tutup U-Ditch 51x60x10 (tipe HD)</t>
  </si>
  <si>
    <t>Tutup U-Ditch 73x60x14 (tipe HD)</t>
  </si>
  <si>
    <t>Tutup U-Ditch 94x60x15 (tipe HD)</t>
  </si>
  <si>
    <t xml:space="preserve">Buah </t>
  </si>
  <si>
    <t>MATERIAL CAT</t>
  </si>
  <si>
    <t>Cat  anti karat</t>
  </si>
  <si>
    <t>Cat  besi</t>
  </si>
  <si>
    <t>Cat  coating</t>
  </si>
  <si>
    <t>Cat  genteng</t>
  </si>
  <si>
    <t>Cat  tembok per 20 kg</t>
  </si>
  <si>
    <t>Cat antara (cat besi)</t>
  </si>
  <si>
    <t>Cat dasar (cat besi)</t>
  </si>
  <si>
    <t>Cat dasar (cat kayu)</t>
  </si>
  <si>
    <t>Cat kayu</t>
  </si>
  <si>
    <t>Cat dasar (cat tembok eksterior)</t>
  </si>
  <si>
    <t>Cat dasar (cat tembok interior)</t>
  </si>
  <si>
    <t>Cat Dasar Plafond</t>
  </si>
  <si>
    <t>Cat Plafond Eksterior</t>
  </si>
  <si>
    <t>Cat epoxy</t>
  </si>
  <si>
    <t>Cat kedap  air  ( water  base)</t>
  </si>
  <si>
    <t>Cat penutup (cat besi)</t>
  </si>
  <si>
    <t>Cat penutup (cat kayu)</t>
  </si>
  <si>
    <t>Cat penutup (cat tembok eksterior)</t>
  </si>
  <si>
    <t>Cat penutup (cat tembok interior)</t>
  </si>
  <si>
    <t>Cat dinding</t>
  </si>
  <si>
    <t>Cat zyncromate</t>
  </si>
  <si>
    <t xml:space="preserve">Cat Thermoplast </t>
  </si>
  <si>
    <t xml:space="preserve">Glass Beads </t>
  </si>
  <si>
    <t xml:space="preserve">Compressor </t>
  </si>
  <si>
    <t xml:space="preserve">jam </t>
  </si>
  <si>
    <t xml:space="preserve">Logo PU Akrilik 40x40 cm </t>
  </si>
  <si>
    <t xml:space="preserve">Logo PU Plat Baja 80x80 cm </t>
  </si>
  <si>
    <t>Nomor Rumah Akrilik 15x30 cm</t>
  </si>
  <si>
    <t xml:space="preserve">Bak Cuci Piring </t>
  </si>
  <si>
    <t>Shower Set</t>
  </si>
  <si>
    <t>Dempul</t>
  </si>
  <si>
    <t>Dempul jadi</t>
  </si>
  <si>
    <t>Kuas  1"</t>
  </si>
  <si>
    <t>Kuas  2"</t>
  </si>
  <si>
    <t>Kuas  4"</t>
  </si>
  <si>
    <t>Kuas 3 inch</t>
  </si>
  <si>
    <t>Melamic</t>
  </si>
  <si>
    <t>Meni besi</t>
  </si>
  <si>
    <t>Meni kayu</t>
  </si>
  <si>
    <t>Pelitur</t>
  </si>
  <si>
    <t>Pelitur jadi</t>
  </si>
  <si>
    <t>Pengencer cat kayu/besi</t>
  </si>
  <si>
    <t>Pewarna Beton</t>
  </si>
  <si>
    <t>Plamir kayu</t>
  </si>
  <si>
    <t>Plamir tembok</t>
  </si>
  <si>
    <t>Sanding</t>
  </si>
  <si>
    <t>Vernis</t>
  </si>
  <si>
    <t>Wood filler</t>
  </si>
  <si>
    <t>Woodstain</t>
  </si>
  <si>
    <t>MATERIAL KUNCI DAN ENGSEL</t>
  </si>
  <si>
    <t>1 set  kunci pintu (kw  1)</t>
  </si>
  <si>
    <t>1 set  kunci pintu (kw  2)</t>
  </si>
  <si>
    <t>1 set handle+kunci</t>
  </si>
  <si>
    <t>Door closer</t>
  </si>
  <si>
    <t>Door holder</t>
  </si>
  <si>
    <t>Door stop</t>
  </si>
  <si>
    <t>Engsel angin</t>
  </si>
  <si>
    <t>Engsel jendela</t>
  </si>
  <si>
    <t>Engsel kupu-kupu</t>
  </si>
  <si>
    <t>Engsel lengan jendela</t>
  </si>
  <si>
    <t>Engsel pintu (kw 1)</t>
  </si>
  <si>
    <t>Engsel pintu (kw 2)</t>
  </si>
  <si>
    <t>Floor hinge</t>
  </si>
  <si>
    <t>Gerendel Biasa</t>
  </si>
  <si>
    <t>Grendel</t>
  </si>
  <si>
    <t>Grendel tanam</t>
  </si>
  <si>
    <t>Handle pintu (kw  1)</t>
  </si>
  <si>
    <t xml:space="preserve">Hendle Jendela </t>
  </si>
  <si>
    <t>Kait angin</t>
  </si>
  <si>
    <t>Kunci lemari</t>
  </si>
  <si>
    <t>Kunci silinder</t>
  </si>
  <si>
    <t>Kunci slot</t>
  </si>
  <si>
    <t>Kunci tanam</t>
  </si>
  <si>
    <t>Kunci tanam antik</t>
  </si>
  <si>
    <t>Kunci tanam biasa</t>
  </si>
  <si>
    <t>Kunci Tanam ex  lokal 2x  slag</t>
  </si>
  <si>
    <t>Kunci tanam kamar mandi</t>
  </si>
  <si>
    <t>Pull handle (kw  1)</t>
  </si>
  <si>
    <t>Pull handle stainless  jumbo  (kw  1)</t>
  </si>
  <si>
    <t>Rel pintu dorong</t>
  </si>
  <si>
    <t>Spring knip</t>
  </si>
  <si>
    <t>Tarikan Pintu Stainless</t>
  </si>
  <si>
    <t>Venetions blinds dan vertical blinds</t>
  </si>
  <si>
    <t>MATERIAL KACA</t>
  </si>
  <si>
    <t>Glass block 20x20 cm</t>
  </si>
  <si>
    <t>Frame besi kaca nako</t>
  </si>
  <si>
    <t>daun</t>
  </si>
  <si>
    <t>Jendela nako</t>
  </si>
  <si>
    <t xml:space="preserve">Jendela Kaca Upvc 2 daun </t>
  </si>
  <si>
    <t xml:space="preserve">Jendela Ornamen GRC </t>
  </si>
  <si>
    <t>Jendela Nako Rangka Aluminium (rangka+kaca 5 mm)</t>
  </si>
  <si>
    <t>Kaca buram 12mm</t>
  </si>
  <si>
    <t>Kaca cermin 5 mm</t>
  </si>
  <si>
    <t>Kaca cermin 6mm</t>
  </si>
  <si>
    <t>Kaca cermin 8 mm</t>
  </si>
  <si>
    <t>Kaca es  kabur 3 mm</t>
  </si>
  <si>
    <t>Kaca es  kabur 5 mm</t>
  </si>
  <si>
    <t>Kaca gravire 5mm</t>
  </si>
  <si>
    <t>Kaca gravire putih 5mm</t>
  </si>
  <si>
    <t>Kaca laminated 12 mm</t>
  </si>
  <si>
    <t>Kaca laminated 8 mm</t>
  </si>
  <si>
    <t>Kaca lukis  alur 5mm</t>
  </si>
  <si>
    <t>Kaca patri 5 mm</t>
  </si>
  <si>
    <t>Kaca polos</t>
  </si>
  <si>
    <t>Kaca polos 3 mm</t>
  </si>
  <si>
    <t>Kaca polos 5 mm</t>
  </si>
  <si>
    <t>Kaca polos 6 mm</t>
  </si>
  <si>
    <t>Kaca polos 8 mm</t>
  </si>
  <si>
    <t>Kaca tanpa tripel 5mm</t>
  </si>
  <si>
    <t>Kaca tempered 12 mm</t>
  </si>
  <si>
    <t>Kaca triple 5mm</t>
  </si>
  <si>
    <t>Kaca triple platinum 5mm</t>
  </si>
  <si>
    <t>Kaca wireglass 5 mm</t>
  </si>
  <si>
    <t>Profil kaca</t>
  </si>
  <si>
    <t>m¹</t>
  </si>
  <si>
    <t>Profil kaca tebal 6 mm</t>
  </si>
  <si>
    <t>Ray Band 3mm</t>
  </si>
  <si>
    <t>Ray Band 5mm</t>
  </si>
  <si>
    <t>MATERIAL SANITAIR</t>
  </si>
  <si>
    <t>Bak  reservoir  fibreglass (kapasitas 1050  liter)</t>
  </si>
  <si>
    <t>Bak  reservoir  fibreglass (kapasitas 1200  liter)</t>
  </si>
  <si>
    <t>Bak  reservoir  fibreglass (kapasitas 1550  liter)</t>
  </si>
  <si>
    <t>Bak  reservoir  fibreglass (kapasitas 2000  liter)</t>
  </si>
  <si>
    <t>Bak  reservoir  fibreglass (kapasitas 650  liter)</t>
  </si>
  <si>
    <t>Bak cuci stainlesteel</t>
  </si>
  <si>
    <t>Bak cuci teraso</t>
  </si>
  <si>
    <t>Bak fiberglass 1 m3</t>
  </si>
  <si>
    <t>Bak fiberglass 70x70x66 cm</t>
  </si>
  <si>
    <t>Bak teraso</t>
  </si>
  <si>
    <t>Bathup</t>
  </si>
  <si>
    <t>Carbon filter kap. 0,1 m3/hari</t>
  </si>
  <si>
    <t>Carbon filter kap. 0,6 m3/hari</t>
  </si>
  <si>
    <t>Clean out</t>
  </si>
  <si>
    <t>Flexible hose</t>
  </si>
  <si>
    <t>Floor drain stainles steel</t>
  </si>
  <si>
    <t>Grab bar</t>
  </si>
  <si>
    <t>Grease trap central fiberglass, kap. 5 m3</t>
  </si>
  <si>
    <t>Grease trap portable fiberglass, kap. 30 Liter</t>
  </si>
  <si>
    <t>Grease trap portable stainless, kap. 30 Liter</t>
  </si>
  <si>
    <t>Jet washer</t>
  </si>
  <si>
    <t>Kloset duduk/monoblok</t>
  </si>
  <si>
    <t>Kloset jongkok</t>
  </si>
  <si>
    <t>Komunal 10</t>
  </si>
  <si>
    <t>Komunal 100</t>
  </si>
  <si>
    <t>Komunal 125</t>
  </si>
  <si>
    <t>Komunal 150</t>
  </si>
  <si>
    <t>Komunal 25</t>
  </si>
  <si>
    <t>Komunal 50</t>
  </si>
  <si>
    <t>Komunal 75</t>
  </si>
  <si>
    <t>Kran air</t>
  </si>
  <si>
    <t>Partisi urinoir</t>
  </si>
  <si>
    <t>Pintu kubikel</t>
  </si>
  <si>
    <t>Pompa booster 150 lpm (vertical in line-packaged)</t>
  </si>
  <si>
    <t>Pompa booster 450 lpm (centrifugal end suction)</t>
  </si>
  <si>
    <t>Pompa jet 100 lpm</t>
  </si>
  <si>
    <t>Pompa jet 27 lpm</t>
  </si>
  <si>
    <t>Pompa jet 34 lpm</t>
  </si>
  <si>
    <t>Pompa lift 250 lpm</t>
  </si>
  <si>
    <t>Pompa lift 80 lpm</t>
  </si>
  <si>
    <t>Pompa transfer 150 lpm (centrifugal end suction)</t>
  </si>
  <si>
    <t>Pressure tank 1.000 liter</t>
  </si>
  <si>
    <t>Priming tank fiber 1.000 liter</t>
  </si>
  <si>
    <t>Priming tank fiber 2.000 liter</t>
  </si>
  <si>
    <t>Priming tank fiber 500 liter</t>
  </si>
  <si>
    <t>Priming tank fiber 800 liter</t>
  </si>
  <si>
    <t>Robe hook</t>
  </si>
  <si>
    <t>Roof tank fiberglass kap. 12 m3</t>
  </si>
  <si>
    <t>Roof tank fiberglass kap. 2 m3</t>
  </si>
  <si>
    <t>Roof tank fiberglass kap. 4 m3</t>
  </si>
  <si>
    <t>Roof tank stainless kap. 12 m3</t>
  </si>
  <si>
    <t>Roof tank stainless kap. 2 m3</t>
  </si>
  <si>
    <t>Roof tank stainless kap. 4 m3</t>
  </si>
  <si>
    <t>Sand filter kap. 0,1 m3/hari</t>
  </si>
  <si>
    <t>Sand filter kap. 14 m3/hari</t>
  </si>
  <si>
    <t>Sekat kubikel</t>
  </si>
  <si>
    <t>Septic  0,6</t>
  </si>
  <si>
    <t>Septic  0,8</t>
  </si>
  <si>
    <t>Septic  1</t>
  </si>
  <si>
    <t>Septic  2</t>
  </si>
  <si>
    <t>Septic  5</t>
  </si>
  <si>
    <t>Sewage Treatment Plant (STP) fiberglass kap. 10 m3</t>
  </si>
  <si>
    <t>Sewage Treatment Plant (STP) fiberglass kap. 2 m3</t>
  </si>
  <si>
    <t>Sewage Treatment Plant (STP) fiberglass kap. 30 m3</t>
  </si>
  <si>
    <t>Sewage Treatment Plant (STP) fiberglass kap. 5 m3</t>
  </si>
  <si>
    <t>Sewage Treatment Plant (STP) precast kap. 30 m3</t>
  </si>
  <si>
    <t>Silika filter kap. 0,1 m3/hari</t>
  </si>
  <si>
    <t>Soap holder</t>
  </si>
  <si>
    <t>Stop kran PVC 1/2"</t>
  </si>
  <si>
    <t>Stop kran PVC 3/4"</t>
  </si>
  <si>
    <t>Submersible cutter pump kap. 100 lpm</t>
  </si>
  <si>
    <t>Tangki toren kap. 0,7 m3</t>
  </si>
  <si>
    <t>Tangki toren kap. 1,5 m3</t>
  </si>
  <si>
    <t>Tangki toren kap. 2,5 m3</t>
  </si>
  <si>
    <t>Tangki toren kap. 3 m3</t>
  </si>
  <si>
    <t>Tangki toren kap. 4 m3</t>
  </si>
  <si>
    <t>Tangki toren kap. 5 m3</t>
  </si>
  <si>
    <t>Tangki toren kap. 5,5 m3</t>
  </si>
  <si>
    <t>Tangki toren kap. 6 m3</t>
  </si>
  <si>
    <t>Tangki Panel FRP kap. 12 m3</t>
  </si>
  <si>
    <t>Tangki panel Stainless Steel kapasitas 12 m3 + Material Bantu / Aksesoris</t>
  </si>
  <si>
    <t>Tangki panel GRP
kapasitas 12 m3 +
Material Bantu /
Aksesoris</t>
  </si>
  <si>
    <t>Tangki Toren Kapasitas 0,5 m3</t>
  </si>
  <si>
    <t xml:space="preserve">Pompa Jet 30 lpm </t>
  </si>
  <si>
    <t>Galian tanah biasa</t>
  </si>
  <si>
    <t xml:space="preserve">Urukan Tanah </t>
  </si>
  <si>
    <t xml:space="preserve">Timbunan Pasir </t>
  </si>
  <si>
    <t xml:space="preserve">Buis Beton 1/2 dia. 30 cm </t>
  </si>
  <si>
    <t xml:space="preserve">Buis Beton 1/2 dia. 40 cm </t>
  </si>
  <si>
    <t xml:space="preserve">Buis Beton 1/2 dia. 50 cm </t>
  </si>
  <si>
    <t xml:space="preserve">Buis Beton 1/2 dia. 60 cm </t>
  </si>
  <si>
    <t xml:space="preserve">Buis beton 1/2 dia. 80 cm </t>
  </si>
  <si>
    <t xml:space="preserve">Buis Beton 1/2 dia. 100 cm </t>
  </si>
  <si>
    <t xml:space="preserve">Buis Beton dia. 30 cm </t>
  </si>
  <si>
    <t xml:space="preserve">Buis Beton dia. 40 cm </t>
  </si>
  <si>
    <t xml:space="preserve">Buis Beton dia. 50 cm </t>
  </si>
  <si>
    <t xml:space="preserve">Buis Beton dia. 60 cm </t>
  </si>
  <si>
    <t xml:space="preserve">Buis beton dia. 80 cm </t>
  </si>
  <si>
    <t xml:space="preserve">Buis Beton dia. 100 cm </t>
  </si>
  <si>
    <t xml:space="preserve">Ijuk </t>
  </si>
  <si>
    <t xml:space="preserve">Beton </t>
  </si>
  <si>
    <t xml:space="preserve">tulangan </t>
  </si>
  <si>
    <t xml:space="preserve">Bekisting </t>
  </si>
  <si>
    <t>Kanstin uk. 10x20x40</t>
  </si>
  <si>
    <t>Kanstin uk. 15x40x60</t>
  </si>
  <si>
    <t>Box Culvert 40x40x100 cm</t>
  </si>
  <si>
    <t>Box Culvert 50x50x100 cm</t>
  </si>
  <si>
    <t>Box Culvert 60x60x100 cm</t>
  </si>
  <si>
    <t>Box Culvert 80x80x100 cm</t>
  </si>
  <si>
    <t>Box Culvert 100x100x100 cm</t>
  </si>
  <si>
    <t>Box Culvert 150x150x100 cm</t>
  </si>
  <si>
    <t>Box Culvert 200x200x100 cm</t>
  </si>
  <si>
    <t>Box Culvert 300x300x100 cm</t>
  </si>
  <si>
    <t>Tempat  sabun gantung</t>
  </si>
  <si>
    <t>Tempat  sabun tanam</t>
  </si>
  <si>
    <t>Tissue holder</t>
  </si>
  <si>
    <t>Towel bar</t>
  </si>
  <si>
    <t>Urinoir</t>
  </si>
  <si>
    <t>Wastafel</t>
  </si>
  <si>
    <t>Water drain</t>
  </si>
  <si>
    <t>MATERIAL MINYAK</t>
  </si>
  <si>
    <t>Bensin</t>
  </si>
  <si>
    <t>Bensin (industri)</t>
  </si>
  <si>
    <t>Bentonite</t>
  </si>
  <si>
    <t>Cairan perontok karat</t>
  </si>
  <si>
    <t>Cuka bibit</t>
  </si>
  <si>
    <t>Minyak bekisting</t>
  </si>
  <si>
    <t>Minyak cat</t>
  </si>
  <si>
    <t>Minyak pelumas</t>
  </si>
  <si>
    <t>Minyak tanah</t>
  </si>
  <si>
    <t>Oli hidrolis</t>
  </si>
  <si>
    <t>Oli mesin</t>
  </si>
  <si>
    <t>Premium (industri)</t>
  </si>
  <si>
    <t>Residu</t>
  </si>
  <si>
    <t>Solar</t>
  </si>
  <si>
    <t>Solar (industri)</t>
  </si>
  <si>
    <t>Steamvet</t>
  </si>
  <si>
    <t>Teak oil</t>
  </si>
  <si>
    <t>Thinner</t>
  </si>
  <si>
    <t>Thinner A</t>
  </si>
  <si>
    <t>MATERIAL ALUMINIUM DAN BESI</t>
  </si>
  <si>
    <t>Aluminium composite panel</t>
  </si>
  <si>
    <t>Aluminium spandrel 10x600 cm</t>
  </si>
  <si>
    <t>Aluminium strip</t>
  </si>
  <si>
    <t>Besi as  drat</t>
  </si>
  <si>
    <t>Blok besi cor type skep</t>
  </si>
  <si>
    <t>bh</t>
  </si>
  <si>
    <t>Blok besi type ronsel</t>
  </si>
  <si>
    <t>Buis  brons</t>
  </si>
  <si>
    <t>C  channel galvanis  lebar 40 mm</t>
  </si>
  <si>
    <t>C  channel galvanis  lebar 75 mm</t>
  </si>
  <si>
    <t>Cat  meni</t>
  </si>
  <si>
    <t>Daun Pintu HDF 36x720x2100</t>
  </si>
  <si>
    <t xml:space="preserve">Pintu uPVC lebar 80 cm </t>
  </si>
  <si>
    <t xml:space="preserve">Pintu uPVC lebar 70 cm </t>
  </si>
  <si>
    <t>Frame aluminium</t>
  </si>
  <si>
    <t>Rangka Aluminium</t>
  </si>
  <si>
    <t>Gembok</t>
  </si>
  <si>
    <t>Grease</t>
  </si>
  <si>
    <t>Hollow  galvanis  20x40x0,4 mm</t>
  </si>
  <si>
    <t>Metal Hollow 20x40 mm</t>
  </si>
  <si>
    <t>Hollow galvanis 40x40x0,4 mm</t>
  </si>
  <si>
    <t>Jalusi aluminium</t>
  </si>
  <si>
    <t>Jalusi uPVC</t>
  </si>
  <si>
    <t>Kontra mur type ronsel</t>
  </si>
  <si>
    <t>Kontra mur type skep</t>
  </si>
  <si>
    <t>kopel/universal join</t>
  </si>
  <si>
    <t>Kusen aluminium 4"  putih</t>
  </si>
  <si>
    <t>Kusen Bovenlight Upvc</t>
  </si>
  <si>
    <t xml:space="preserve">bauh </t>
  </si>
  <si>
    <t>Lager type ronsel</t>
  </si>
  <si>
    <t>Lager type skep</t>
  </si>
  <si>
    <t>Mur baut  1/2"  x  4"</t>
  </si>
  <si>
    <t>Mur baut  5/8"  x  4"</t>
  </si>
  <si>
    <t>Mur baut  M8 steinless</t>
  </si>
  <si>
    <t xml:space="preserve">Baut dan Mur f12 L=4" </t>
  </si>
  <si>
    <t>Baut dan Mur f12, L=6"</t>
  </si>
  <si>
    <t>Baut dan Mur f12, L=7"</t>
  </si>
  <si>
    <t xml:space="preserve">Ring Plat </t>
  </si>
  <si>
    <t>Mur brons  ronsel</t>
  </si>
  <si>
    <t>Mur brons  type skep</t>
  </si>
  <si>
    <t>Pen spindie type ronsel</t>
  </si>
  <si>
    <t>Penyangga roda gigi</t>
  </si>
  <si>
    <t>Pintu alluminium</t>
  </si>
  <si>
    <t>Pintu KM  aluminium</t>
  </si>
  <si>
    <t>Pintu lipat  besi</t>
  </si>
  <si>
    <t>Pintu lipat PVC</t>
  </si>
  <si>
    <t>Plat  peluncur</t>
  </si>
  <si>
    <t>Plat besi 3 mm</t>
  </si>
  <si>
    <t>Profil aluminium</t>
  </si>
  <si>
    <t>Profil Aluminium ”T”</t>
  </si>
  <si>
    <t>Profil slimar aluminium</t>
  </si>
  <si>
    <t>Rangka metal hollow 40.40.1,2 mm</t>
  </si>
  <si>
    <t>Rangka metal hollow 40.40.2 mm</t>
  </si>
  <si>
    <t>roda gigi nanas</t>
  </si>
  <si>
    <t>Roda gigi pinggiran</t>
  </si>
  <si>
    <t>Rolling door aluminium</t>
  </si>
  <si>
    <t>Rolling door besi</t>
  </si>
  <si>
    <t>Rubber seal</t>
  </si>
  <si>
    <t>Sliding pintu J4</t>
  </si>
  <si>
    <t>Stang draft  diameter 1,5"  +  mur baut</t>
  </si>
  <si>
    <t>Stang draft  diameter 1,75"  +  mur baut</t>
  </si>
  <si>
    <t>Stang draft  diameter 2"  +  mur baut</t>
  </si>
  <si>
    <t>Stang draft  diameter 2,25"  +  mur baut</t>
  </si>
  <si>
    <t>Stang gembok</t>
  </si>
  <si>
    <t>Stang pemutar type ronsel</t>
  </si>
  <si>
    <t>Stang pemutar type skep</t>
  </si>
  <si>
    <t>Sunscreen aluminium</t>
  </si>
  <si>
    <t>Talang galvalum lebar 50 cm tebal 0,4 mm</t>
  </si>
  <si>
    <t>Talang datar/jurai seng lebar 90cm</t>
  </si>
  <si>
    <t xml:space="preserve">Talang Seng 1/2 lingkaran diameter 15cm </t>
  </si>
  <si>
    <t>ltr</t>
  </si>
  <si>
    <t>MATERIAL LISTRIK</t>
  </si>
  <si>
    <t>Hanger tray panjang 2,5 m</t>
  </si>
  <si>
    <t>Kabel BCC 10 mm² (0,10 kg/m)</t>
  </si>
  <si>
    <t>Kabel BCC 16 mm² (0,16 kg/m)</t>
  </si>
  <si>
    <t>Kabel BCC 25 mm² (0,25 kg/m)</t>
  </si>
  <si>
    <t>Kabel BCC 35 mm² (0,35 kg/m)</t>
  </si>
  <si>
    <t>Kabel BCC 4 mm² (0,04 kg/m)</t>
  </si>
  <si>
    <t>Kabel BCC 50 mm² (0,50 kg/m)</t>
  </si>
  <si>
    <t>Kabel BCC 6 mm² (0,06 kg/m)</t>
  </si>
  <si>
    <t>BCC 6 mm2 (0,06 kg/m) dan aksesoris</t>
  </si>
  <si>
    <t>Kabel BCC 70 mm² (0,70 kg/m)</t>
  </si>
  <si>
    <t>Kabel BCC 95 mm² (0,95 kg/m)</t>
  </si>
  <si>
    <t>Kabel FRC 1 x 150 mm²</t>
  </si>
  <si>
    <t>Kabel FRC 2 x 1,5 mm²</t>
  </si>
  <si>
    <t>Kabel FRC 2 x 1,5 mm2 + PVC Conduit HI 20 mm dan aksesoris</t>
  </si>
  <si>
    <t>Kabel FRC 2 x 2,5 mm²</t>
  </si>
  <si>
    <t>Kabel FRC 2 x 2,5 mm2 + PVC Conduit HI 20 mm dan aksesoris</t>
  </si>
  <si>
    <t>Kabel FRC 4 x 150 mm²</t>
  </si>
  <si>
    <t>Kabel FRC 4 x 4 mm²</t>
  </si>
  <si>
    <t>Kabel FRC 4 x 6 mm²</t>
  </si>
  <si>
    <t>Kabel NYA 1 x 1,5 mm²</t>
  </si>
  <si>
    <t>Kabel NYA 1 x 10 mm²</t>
  </si>
  <si>
    <t>Kabel NYA 1 x 16 mm²</t>
  </si>
  <si>
    <t>Kabel NYA 1 x 2,5 mm²</t>
  </si>
  <si>
    <t>Kabel NYA 1 x 4 mm²</t>
  </si>
  <si>
    <t>Kabel NYA 1 x 6 mm²</t>
  </si>
  <si>
    <t>Kabel NYA 2 x 1,5 mm²</t>
  </si>
  <si>
    <t>Kabel NYA 3 x 1,5 mm²</t>
  </si>
  <si>
    <t>Kabel NYA 3 x 2,5 mm²</t>
  </si>
  <si>
    <t>Kabel NYA 5 x 2,5 mm²</t>
  </si>
  <si>
    <t>Kabel NYA 1 x 35 mm²</t>
  </si>
  <si>
    <t>Kabel NYA 1 x 95 mm²</t>
  </si>
  <si>
    <t>Kabel NYFGBY 2 x 1,5 mm²</t>
  </si>
  <si>
    <t>Kabel NYFGBY 2 x 10 mm²</t>
  </si>
  <si>
    <t>Kabel NYFGBY 2 x 16 mm²</t>
  </si>
  <si>
    <t>Kabel NYFGBY 2 x 2,5 mm²</t>
  </si>
  <si>
    <t>Kabel NYFGBY 2 x 4 mm²</t>
  </si>
  <si>
    <t>Kabel NYFGBY 2 x 6 mm²</t>
  </si>
  <si>
    <t>Kabel NYFGBY 3 x 1,5 mm²</t>
  </si>
  <si>
    <t>Kabel NYFGBY 3 x 10 mm²</t>
  </si>
  <si>
    <t>Kabel NYFGBY 3 x 16 mm²</t>
  </si>
  <si>
    <t>Kabel NYFGBY 3 x 2,5 mm²</t>
  </si>
  <si>
    <t>Kabel NYFGBY 3 x 4 mm²</t>
  </si>
  <si>
    <t>Kabel NYFGBY 3 x 6 mm²</t>
  </si>
  <si>
    <t>Kabel NYFGBY 4 x 1,5 mm²</t>
  </si>
  <si>
    <t>Kabel NYFGBY 4 x 10 mm²</t>
  </si>
  <si>
    <t>Kabel NYFGBY 4 x 120 mm²</t>
  </si>
  <si>
    <t>Kabel NYFGBY 4 x 150 mm²</t>
  </si>
  <si>
    <t>Kabel NYFGBY 4 x 16 mm²</t>
  </si>
  <si>
    <t>Kabel NYFGBY 4 x 185 mm²</t>
  </si>
  <si>
    <t>Kabel NYFGBY 4 x 2,5 mm²</t>
  </si>
  <si>
    <t>Kabel NYFGBY 4 x 240 mm²</t>
  </si>
  <si>
    <t>Kabel NYFGBY 4 x 25 mm²</t>
  </si>
  <si>
    <t>Kabel NYFGBY 4 x 300 mm²</t>
  </si>
  <si>
    <t>Kabel NYFGBY 4 x 35 mm²</t>
  </si>
  <si>
    <t>Kabel NYFGBY 4 x 4 mm²</t>
  </si>
  <si>
    <t>Kabel NYFGBY 4 x 50 mm²</t>
  </si>
  <si>
    <t>Kabel NYFGBY 4 x 6 mm²</t>
  </si>
  <si>
    <t>Kabel NYFGBY 4 x 70 mm²</t>
  </si>
  <si>
    <t>Kabel NYFGBY 4 x 95 mm²</t>
  </si>
  <si>
    <t>Kabel NYM 2 x 1,5 mm²</t>
  </si>
  <si>
    <t>Kabel NYM 2 x 10 mm²</t>
  </si>
  <si>
    <t>Kabel NYM 2 x 2,5 mm²</t>
  </si>
  <si>
    <t>Kabel NYM 2 x 4 mm²</t>
  </si>
  <si>
    <t>Kabel NYM 2 x 6 mm²</t>
  </si>
  <si>
    <t>Kabel NYM 3 x 1,5 mm²</t>
  </si>
  <si>
    <t>Kabel NYM 3 x 10 mm²</t>
  </si>
  <si>
    <t>Kabel NYM 3 x 2,5 mm²</t>
  </si>
  <si>
    <t>Kabel NYM 3 x 4 mm²</t>
  </si>
  <si>
    <t>Kabel NYM 3 x 2,5
mm2 (LSOH)</t>
  </si>
  <si>
    <t>M'</t>
  </si>
  <si>
    <t>Kabel NYM 3 x 6 mm²</t>
  </si>
  <si>
    <t>Kabel NYM 4 x 1,5 mm²</t>
  </si>
  <si>
    <t>Kabel NYM 4 x 10 mm²</t>
  </si>
  <si>
    <t>Kabel NYM 4 x 16 mm²</t>
  </si>
  <si>
    <t>Kabel NYM 4 x 2,5 mm²</t>
  </si>
  <si>
    <t>Kabel NYM 4 x 4 mm²</t>
  </si>
  <si>
    <t>Kabel NYM 4 x 6 mm²</t>
  </si>
  <si>
    <t>Kabel NYMHY 2 x 1,5 mm²</t>
  </si>
  <si>
    <t>Kabel NYMHY 2 x 2,5 mm²</t>
  </si>
  <si>
    <t>Kabel NYMHY 3 x 1,5 mm²</t>
  </si>
  <si>
    <t>Kabel NYMHY 2(3 x
1,5 mm2) + Conduit
PVC HI 20 mm dan
aksesoris</t>
  </si>
  <si>
    <t>Kabel NYMHY 3 x 1,5
mm2 + Conduit PVC
HI 20 mm dan
aksesoris</t>
  </si>
  <si>
    <t>Kabel NYMHY 3 x 2,5 mm²</t>
  </si>
  <si>
    <t>Kabel NYMHY 4 x 2,5 mm²</t>
  </si>
  <si>
    <t>Kabel NYY 1 x 10 mm²</t>
  </si>
  <si>
    <t>Kabel NYY 1 x 120 mm²</t>
  </si>
  <si>
    <t>Kabel NYY 1 x 150 mm²</t>
  </si>
  <si>
    <t>Kabel NYY 1 x 16 mm²</t>
  </si>
  <si>
    <t>Kabel NYY 1 x 185 mm²</t>
  </si>
  <si>
    <t>Kabel NYY 1 x 25 mm²</t>
  </si>
  <si>
    <t>Kabel NYY 1 x 250 mm²</t>
  </si>
  <si>
    <t>Kabel NYY 1 x 300 mm²</t>
  </si>
  <si>
    <t>Kabel NYY 1 x 35 mm²</t>
  </si>
  <si>
    <t>Kabel NYY 1 x 4 mm²</t>
  </si>
  <si>
    <t>Kabel NYY 1 x 400 mm²</t>
  </si>
  <si>
    <t>Kabel NYY 1 x 50 mm²</t>
  </si>
  <si>
    <t>Kabel NYY 1 x 500 mm²</t>
  </si>
  <si>
    <t>Kabel NYY 1 x 6 mm²</t>
  </si>
  <si>
    <t>Kabel NYY 1 x 630 mm²</t>
  </si>
  <si>
    <t>Kabel NYY 1 x 70 mm²</t>
  </si>
  <si>
    <t>Kabel NYY 1 x 95 mm²</t>
  </si>
  <si>
    <t>Kabel NYY 2 x 1,5 mm²</t>
  </si>
  <si>
    <t>Kabel NYY 2 x 10 mm²</t>
  </si>
  <si>
    <t>Kabel NYY 2 x 16 mm²</t>
  </si>
  <si>
    <t>Kabel NYY 2 x 2,5 mm²</t>
  </si>
  <si>
    <t>Kabel NYY 2 x 4 mm²</t>
  </si>
  <si>
    <t>Kabel NYY 2 x 6 mm²</t>
  </si>
  <si>
    <t>Kabel NYY 3 x 1,5 mm²</t>
  </si>
  <si>
    <t>Kabel NYY 3 x 10 mm²</t>
  </si>
  <si>
    <t>Kabel NYY 3 x 16 mm²</t>
  </si>
  <si>
    <t>Kabel NYY 3 x 2,5 mm²</t>
  </si>
  <si>
    <t>Kabel NYY 3 x 25 mm²</t>
  </si>
  <si>
    <t>Kabel NYY 3 x 35 mm²</t>
  </si>
  <si>
    <t>Kabel NYY 3 x 4 mm²</t>
  </si>
  <si>
    <t>Kabel NYY 3 x 50 mm²</t>
  </si>
  <si>
    <t>Kabel NYY 3 x 6 mm²</t>
  </si>
  <si>
    <t>Kabel NYY 4 x 1,5 mm²</t>
  </si>
  <si>
    <t>Kabel NYY 4 x 10 mm²</t>
  </si>
  <si>
    <t>Kabel NYY 4 x 120 mm²</t>
  </si>
  <si>
    <t>Kabel NYY 4 x 150 mm²</t>
  </si>
  <si>
    <t>Kabel NYY 4 x 16 mm²</t>
  </si>
  <si>
    <t>Kabel NYY 4 x 185 mm²</t>
  </si>
  <si>
    <t>Kabel NYY 4 x 2,5 mm²</t>
  </si>
  <si>
    <t>Kabel NYY 4 x 240 mm²</t>
  </si>
  <si>
    <t>Kabel NYY 4 x 25 mm²</t>
  </si>
  <si>
    <t>Kabel NYY 4 x 300 mm²</t>
  </si>
  <si>
    <t>Kabel NYY 4 x 35 mm²</t>
  </si>
  <si>
    <t>Kabel NYY 4 x 4 mm²</t>
  </si>
  <si>
    <t>Kabel NYY 4 x 50 mm²</t>
  </si>
  <si>
    <t>Kabel NYY 4 x 6 mm²</t>
  </si>
  <si>
    <t>Kabel NYY 4 x 70 mm²</t>
  </si>
  <si>
    <t>Kabel NYY 4 x 95 mm²</t>
  </si>
  <si>
    <t xml:space="preserve">Kabel STP AWG 18 </t>
  </si>
  <si>
    <t>Kabel STP AWG 18 + PVC Conduit HI 20 mm (dari MCFA ke TB) dan aksesoris</t>
  </si>
  <si>
    <t>Kabel ITC 2x2x0,6 mm2</t>
  </si>
  <si>
    <t>Kabel ITC 2 x 2 x 0,6 mm2 + PVC Conduit HI 20 mm dan aksesoris</t>
  </si>
  <si>
    <t>Kabel UTP CAT 6</t>
  </si>
  <si>
    <t xml:space="preserve">Kabel Coaxial 7C-2V </t>
  </si>
  <si>
    <t xml:space="preserve">Kabel Ladder 500 x100 mm </t>
  </si>
  <si>
    <t xml:space="preserve">Kabel Ladder 600 x100 mm </t>
  </si>
  <si>
    <t xml:space="preserve">Kabel Ladder 800 x100 mm </t>
  </si>
  <si>
    <t xml:space="preserve">Kabel Tray 600 x 100 mm Hotdip Galvanized </t>
  </si>
  <si>
    <t xml:space="preserve">Kabel Tray 600 x100 mm Elektro Galvanized </t>
  </si>
  <si>
    <t xml:space="preserve">Kabel Tray 600 x 100 mm Powder Coating </t>
  </si>
  <si>
    <t>Kabel Tray (Horizontal) 1000 x 100 mm TRU Powder Coating dan aksesoris</t>
  </si>
  <si>
    <t>Kabel Tray (Horizontal) 1000 x 100 mm TRU Hot Dip Galvanized dan aksesoris</t>
  </si>
  <si>
    <t>Kabel Tray (Horizontal) 1000 x 100 mm TRU OCP dan aksesoris</t>
  </si>
  <si>
    <t>Kabel Tray (Horizontal) 1000 x 100 mm TRC Powder Coating dan aksesoris</t>
  </si>
  <si>
    <t>Kabel Tray (Horizontal) 1000 x 100 mm TRC Hot Dip Galvanized dan aksesoris</t>
  </si>
  <si>
    <t>Kabel Tray (Horizontal) 1000 x 100 mm TRC OCP dan aksesoris</t>
  </si>
  <si>
    <t>Kabel Tray (Horizontal) 900 x 100 mm TRU Powder Coating dan aksesoris</t>
  </si>
  <si>
    <t>Kabel Tray
(Horizontal) 900 x
100 mm TRU Hot Dip
Galvanized dan
aksesoris</t>
  </si>
  <si>
    <t>Kabel Tray
(Horizontal) 900 x
100 mm TRU OCP
dan aksesoris</t>
  </si>
  <si>
    <t>Kabel Tray (Horizontal) 900 x 100 mm TRC Powder Coating dan aksesoris</t>
  </si>
  <si>
    <t>Kabel Tray (Horizontal) 900 x 100 mm TRC Hot Dip Galvanized dan aksesoris</t>
  </si>
  <si>
    <t>Kabel Tray
(Horizontal) 900 x
100 mm TRC OCP
dan aksesoris</t>
  </si>
  <si>
    <t>Kabel Tray
(Horizontal) 800 x
100 mm TRU Powder
Coating dan aksesoris</t>
  </si>
  <si>
    <t>Kabel Tray
(Horizontal) 800 x
100 mm TRU Hot Dip
Galvanized dan
aksesoris</t>
  </si>
  <si>
    <t>Kabel Tray
(Horizontal) 800 x
100 mm TRU OCP
dan aksesoris</t>
  </si>
  <si>
    <t>Kabel Tray
(Horizontal) 800 x
100 mm TRC Powder
Coating dan aksesoris</t>
  </si>
  <si>
    <t>Kabel Tray
(Horizontal) 800 x
100 mm TRC Hot Dip
Galvanized dan
aksesoris</t>
  </si>
  <si>
    <t>Kabel Tray (Horizontal) 800 x 100 mm TRC OCP dan aksesoris</t>
  </si>
  <si>
    <t>Kabel Tray (Horizontal) 700 x 100 mm TRU Powder Coating dan aksesoris</t>
  </si>
  <si>
    <t>Kabel Tray (Horizontal) 700 x 100 mm TRU Hot Dip Galvanized dan aksesoris</t>
  </si>
  <si>
    <t>Kabel Tray (Horizontal) 700 x 100 mm TRU OCP dan aksesoris</t>
  </si>
  <si>
    <t>Kabel Tray (Horizontal) 700 x 100 mm TRC Powder Coating dan aksesoris</t>
  </si>
  <si>
    <t>Kabel Tray (Horizontal) 700 x 100 mm TRC Hot Dip Galvanized dan aksesoris</t>
  </si>
  <si>
    <t>Kabel Tray (Horizontal) 700 x 100 mm TRC</t>
  </si>
  <si>
    <t>Kabel Tray (Horizontal) 600 x 100 mm TRU Hot Dip Galvanized dan aksesoris</t>
  </si>
  <si>
    <t>(Horizontal) 600 x 100 mm TRC Hot Dip Galvanized dan aksesoris</t>
  </si>
  <si>
    <t>Kabel Tray (Horizontal) 500 x 100 mm TRU Hot Dip Galvanized dan aksesoris</t>
  </si>
  <si>
    <t>Kabel Tray (Horizontal) 500 x 100 mm TRU OCP dan aksesoris</t>
  </si>
  <si>
    <t>Kabel Tray (Horizontal) 500 x 100 mm TRC Powder Coating dan aksesoris</t>
  </si>
  <si>
    <t>Kabel Tray (Horizontal) 500 x 100 mm TRC Hot Dip Galvanized dan aksesoris</t>
  </si>
  <si>
    <t>Kabel Tray (Horizontal) 500 x 100 mm TRC OCP dan aksesoris</t>
  </si>
  <si>
    <t>Kabel Tray (Horizontal) 400 x 100 mm TRU Hot Dip Galvanized dan aksesoris</t>
  </si>
  <si>
    <t>Kabel Tray (Horizontal) 400 x 100 mm TRU OCP dan aksesoris</t>
  </si>
  <si>
    <t>Kabel Tray (Horizontal) 400 x 100 mm TRC Powder Coating dan aksesoris</t>
  </si>
  <si>
    <t>Kabel Tray (Horizontal) 400 x 100 mm TRC Hot Dip Galvanized dan aksesoris</t>
  </si>
  <si>
    <t>Kabel Tray (Horizontal) 400 x 100 mm TRC OCP dan aksesoris</t>
  </si>
  <si>
    <t>Kabel Tray (Horizontal) 300 x 100 mm TRU Hot Dip Galvanized dan aksesoris</t>
  </si>
  <si>
    <t>Kabel Tray (Horizontal) 300 x 100 mm TRU OCP dan aksesoris</t>
  </si>
  <si>
    <t>Kabel Tray (Horizontal) 300 x 100 mm TRC Powder Coating dan aksesoris</t>
  </si>
  <si>
    <t>Kabel Tray (Horizontal) 300 x 100 mm TRC Hot Dip Galvanized dan aksesoris</t>
  </si>
  <si>
    <t>Kabel Tray (Horizontal) 300 x 100 mm TRC OCP dan aksesoris</t>
  </si>
  <si>
    <t>Kabel Tray (Horizontal) 200 x 100 mm TRU Hot Dip Galvanized dan aksesoris</t>
  </si>
  <si>
    <t>Kabel Tray (Horizontal) 200 x 100 mm TRU OCP dan aksesoris</t>
  </si>
  <si>
    <t>Kabel Tray (Horizontal) 200 x 100 mm TRC Powder Coating dan aksesoris</t>
  </si>
  <si>
    <t>Kabel Tray (Horizontal) 200 x 100 mm TRC Hot Dip Galvanized dan aksesoris</t>
  </si>
  <si>
    <t>Kabel Tray (Horizontal) 200 x 100 mm TRC OCP dan aksesoris</t>
  </si>
  <si>
    <t>Kabel Tray (Horizontal) 150 x 100 mm TRU Powder Coating dan aksesoris</t>
  </si>
  <si>
    <t>Kabel Tray (Horizontal) 150 x 100 mm TRU Hot Dip Galvanized dan aksesoris</t>
  </si>
  <si>
    <t>Kabel Tray (Horizontal) 150 x 100 mm TRU OCP dan aksesoris</t>
  </si>
  <si>
    <t>Kabel Tray (Horizontal) 150 x 100 mm TRC Powder Coating dan aksesoris</t>
  </si>
  <si>
    <t>Kabel Tray (Horizontal) 150 x 100 mm TRC Hot Dip Galvanized dan aksesoris</t>
  </si>
  <si>
    <t>Kabel Tray (Horizontal) 150 x 100 mm TRC OCP dan aksesoris</t>
  </si>
  <si>
    <t>Kabel Tray (Vertikal) 1000 x 100 mm TRU Powder Coating dan aksesoris</t>
  </si>
  <si>
    <t>Kabel Tray (Vertikal) 1000 x 100 mm TRU Hot Dip Galvanized dan aksesoris</t>
  </si>
  <si>
    <t>Kabel Tray (Vertikal) 1000 x 100 mm TRU OCP dan aksesoris</t>
  </si>
  <si>
    <t>Kabel Tray (Vertikal) 1000 x 100 mm TRC Powder Coating dan aksesoris</t>
  </si>
  <si>
    <t>Kabel Tray (Vertikal) 1000 x 100 mm TRC Hot Dip Galvanized dan aksesoris</t>
  </si>
  <si>
    <t>Kabel Tray (Vertikal) 1000 x 100 mm TRC OCP dan aksesoris</t>
  </si>
  <si>
    <t>Kabel Tray (Vertikal) 900 x 100 mm TRU Powder Coating dan aksesoris</t>
  </si>
  <si>
    <t>Kabel Tray (Vertikal) 900 x 100 mm TRU Hot Dip Galvanized dan aksesoris</t>
  </si>
  <si>
    <t>Kabel Tray (Vertikal) 900 x 100 mm TRU OCP dan aksesoris</t>
  </si>
  <si>
    <t>Kabel Tray (Vertikal) 900 x 100 mm TRC Powder Coating dan aksesoris</t>
  </si>
  <si>
    <t>Kabel Tray (Vertikal) 900 x 100 mm TRC Hot Dip Galvanized dan aksesoris</t>
  </si>
  <si>
    <t>Kabel Tray (Vertikal) 900 x 100 mm TRC OCP dan aksesoris</t>
  </si>
  <si>
    <t>Kabel Tray (Vertikal) 800 x 100 mm TRU Powder Coating dan aksesoris</t>
  </si>
  <si>
    <t>Kabel Tray (Vertikal) 800 x 100 mm TRU Hot Dip Galvanized dan aksesoris</t>
  </si>
  <si>
    <t>Kabel Tray (Vertikal) 800 x 100 mm TRU OCP dan aksesoris</t>
  </si>
  <si>
    <t>Kabel Tray (Vertikal) 800 x 100 mm TRC Powder Coating dan aksesoris</t>
  </si>
  <si>
    <t>Kabel Tray (Vertikal) 800 x 100 mm TRC Hot Dip Galvanized dan aksesoris</t>
  </si>
  <si>
    <t>Kabel Tray (Vertikal) 800 x 100 mm TRC OCP dan aksesoris</t>
  </si>
  <si>
    <t>Kabel Tray (Vertikal) 700 x 100 mm TRU Powder Coating dan aksesoris</t>
  </si>
  <si>
    <t>Kabel Tray (Vertikal) 700 x 100 mm TRU Hot Dip Galvanized dan aksesoris</t>
  </si>
  <si>
    <t>Kabel Tray (Vertikal) 700 x 100 mm TRU OCP dan aksesoris</t>
  </si>
  <si>
    <t>Kabel Tray (Vertikal) 700 x 100 mm TRC Powder Coating dan aksesoris</t>
  </si>
  <si>
    <t>Kabel Tray (Vertikal) 700 x 100 mm TRC Hot Dip Galvanized dan aksesoris</t>
  </si>
  <si>
    <t>Kabel Tray (Vertikal) 700 x 100 mm TRC OCP dan aksesoris</t>
  </si>
  <si>
    <t>Kabel Tray (Vertikal) 600 x 100 mm TRU Hot Dip Galvanized dan aksesoris</t>
  </si>
  <si>
    <t>Kabel Tray (Vertikal) 600 x 100 mm TRU OCP dan aksesoris</t>
  </si>
  <si>
    <t>Kabel Tray (Vertikal)
600 x 100 mm TRC
Powder Coating dan
aksesoris</t>
  </si>
  <si>
    <t>Kabel Tray (Vertikal)
600 x 100 mm TRC
Hot Dip Galvanized
dan aksesoris</t>
  </si>
  <si>
    <t>Kabel Tray (Vertikal)
600 x 100 mm TRC
OCP dan aksesoris</t>
  </si>
  <si>
    <t>Kabel Tray (Vertikal)
500 x 100 mm TRU
Hot Dip Galvanized
dan aksesoris</t>
  </si>
  <si>
    <t>Kabel Tray (Vertikal)
500 x 100 mm TRU
OCP dan aksesoris</t>
  </si>
  <si>
    <t>Kabel Tray (Vertikal)
500 x 100 mm TRC
Powder Coating dan
aksesoris</t>
  </si>
  <si>
    <t>Kabel Tray (Vertikal)
500 x 100 mm TRC
Hot Dip Galvanized
dan aksesoris</t>
  </si>
  <si>
    <t>Kabel Tray (Vertikal)
500 x 100 mm TRC
OCP dan aksesoris</t>
  </si>
  <si>
    <t>Kabel Tray (Vertikal)
400 x 100 mm TRU
Hot Dip Galvanized
dan aksesoris</t>
  </si>
  <si>
    <t>Kabel Tray (Vertikal)
400 x 100 mm TRU
OCP dan aksesoris</t>
  </si>
  <si>
    <t>Kabel Tray (Vertikal)
400 x 100 mm TRC
Powder Coating dan
aksesoris</t>
  </si>
  <si>
    <t>Kabel Tray (Vertikal)
400 x 100 mm TRC
Hot Dip Galvanized
dan aksesoris</t>
  </si>
  <si>
    <t>Kabel Tray (Vertikal)
400 x 100 mm TRC
OCP dan aksesoris</t>
  </si>
  <si>
    <t>Kabel Tray (Vertikal)
300 x 100 mm TRU
Hot Dip Galvanized
dan aksesoris</t>
  </si>
  <si>
    <t>Kabel Tray (Vertikal)
300 x 100 mm TRU
OCP dan aksesoris</t>
  </si>
  <si>
    <t>Kabel Tray (Vertikal)
300 x 100 mm TRC
Powder Coating dan
aksesoris</t>
  </si>
  <si>
    <t>Kabel Tray (Vertikal)
300 x 100 mm TRC
Hot Dip Galvanized
dan aksesoris</t>
  </si>
  <si>
    <t>Kabel Tray (Vertikal)
300 x 100 mm TRC
OCP dan aksesoris</t>
  </si>
  <si>
    <t>Kabel Tray (Vertikal)
200 x 100 mm TRU
Hot Dip Galvanized
dan aksesoris</t>
  </si>
  <si>
    <t>Kabel Tray (Vertikal)
200 x 100 mm TRU
OCP dan aksesoris</t>
  </si>
  <si>
    <t>Kabel Tray (Vertikal)
200 x 100 mm TRC
Powder Coating dan
aksesoris</t>
  </si>
  <si>
    <t>Kabel Tray (Vertikal)
200 x 100 mm TRC
Hot Dip Galvanized
dan aksesoris</t>
  </si>
  <si>
    <t>Kabel Tray (Vertikal)
200 x 100 mm TRC
OCP dan aksesoris</t>
  </si>
  <si>
    <t>Kabel Tray (Vertikal)
150 x 100 mm TRU
Powder Coating dan
aksesoris</t>
  </si>
  <si>
    <t>Kabel Tray (Vertikal)
150 x 100 mm TRU
Hot Dip Galvanized
dan aksesoris</t>
  </si>
  <si>
    <t>Kabel Tray (Vertikal)
150 x 100 mm TRU
OCP dan aksesoris</t>
  </si>
  <si>
    <t>Kabel Tray (Vertikal)
150 x 100 mm TRC
Powder Coating dan
aksesoris</t>
  </si>
  <si>
    <t>Kabel Tray (Vertikal)
150 x 100 mm TRC
Hot Dip Galvanized
dan aksesoris</t>
  </si>
  <si>
    <t>Kabel Tray (Vertikal)
150 x 100 mm TRC
OCP dan aksesoris</t>
  </si>
  <si>
    <t>Kabel tray 200 x 100 mm</t>
  </si>
  <si>
    <t>133</t>
  </si>
  <si>
    <t>Kabel tray 300 x 100 mm</t>
  </si>
  <si>
    <t>134</t>
  </si>
  <si>
    <t>Kabel tray 400 x 100 mm</t>
  </si>
  <si>
    <t>135</t>
  </si>
  <si>
    <t>Kabel tray 500 x 100 mm</t>
  </si>
  <si>
    <t>136</t>
  </si>
  <si>
    <t>Kabel tray 600 x 100 mm</t>
  </si>
  <si>
    <t>137</t>
  </si>
  <si>
    <t>Klem kabel tray</t>
  </si>
  <si>
    <t>Klem 20 mm</t>
  </si>
  <si>
    <t>138</t>
  </si>
  <si>
    <t>Mur baut kabel tray</t>
  </si>
  <si>
    <t>139</t>
  </si>
  <si>
    <t>PVC conduit HI 20 mm²</t>
  </si>
  <si>
    <t>Flexible Conduit 20 mm</t>
  </si>
  <si>
    <t>PVC conduit HI 32 mm²</t>
  </si>
  <si>
    <t>m1</t>
  </si>
  <si>
    <t xml:space="preserve">Conduit HI 20 mm </t>
  </si>
  <si>
    <t xml:space="preserve">Saklar Tunggal </t>
  </si>
  <si>
    <t xml:space="preserve">Saklar Ganda </t>
  </si>
  <si>
    <t xml:space="preserve">Saklar Triple </t>
  </si>
  <si>
    <t xml:space="preserve">Buag </t>
  </si>
  <si>
    <t xml:space="preserve">Grid Switch </t>
  </si>
  <si>
    <t xml:space="preserve">Grid Switch 4 x 2 Gang </t>
  </si>
  <si>
    <t xml:space="preserve">Stop Kontak </t>
  </si>
  <si>
    <t>Stop Kontak AC</t>
  </si>
  <si>
    <t xml:space="preserve">T Dus </t>
  </si>
  <si>
    <t>Socket Conduit 20 mm</t>
  </si>
  <si>
    <t xml:space="preserve">Klem 20 mm </t>
  </si>
  <si>
    <t xml:space="preserve">Isolasi </t>
  </si>
  <si>
    <t xml:space="preserve">lasdop </t>
  </si>
  <si>
    <t xml:space="preserve">Elbow </t>
  </si>
  <si>
    <t xml:space="preserve">Fischer S6 + Sekrup </t>
  </si>
  <si>
    <t xml:space="preserve">kWh meter Token 1 Phase </t>
  </si>
  <si>
    <t xml:space="preserve">kWh meter Token 3 Phase </t>
  </si>
  <si>
    <t xml:space="preserve">Software sistem kwh meter swakelola prabayar </t>
  </si>
  <si>
    <t xml:space="preserve">PC Server </t>
  </si>
  <si>
    <t>Panel Utama Tegangan Menengah</t>
  </si>
  <si>
    <t>Panel Utama Tegangan Rendah</t>
  </si>
  <si>
    <t>MDP Floor Standing</t>
  </si>
  <si>
    <t xml:space="preserve">MDP Wall Mounted </t>
  </si>
  <si>
    <t xml:space="preserve">SDP Floor Standing </t>
  </si>
  <si>
    <t xml:space="preserve">SDP Wall  Mounted </t>
  </si>
  <si>
    <t>Panel Lantai Wall Mounted 800x600x200</t>
  </si>
  <si>
    <t>Panel Lantai Wall Mounted 600x 400 x200</t>
  </si>
  <si>
    <t xml:space="preserve">Panel kWh Meter </t>
  </si>
  <si>
    <t xml:space="preserve">Panel Penerang Luar Outdoor termasuk material batu </t>
  </si>
  <si>
    <t>Panel Kontrol Pompa</t>
  </si>
  <si>
    <t>Panel Power Gondola termasuk material bantu</t>
  </si>
  <si>
    <t>Panel Power Elektronik termasuk material bantu</t>
  </si>
  <si>
    <t xml:space="preserve">Panel Power AHU termasuk material bantu </t>
  </si>
  <si>
    <t xml:space="preserve">Panel Power AC termasuk material bantu </t>
  </si>
  <si>
    <t xml:space="preserve">Panel Power Chiller termasuk material bantu </t>
  </si>
  <si>
    <t>Panel Kontrol Power Chiller termasuk material bantu</t>
  </si>
  <si>
    <t xml:space="preserve">Panel Kontrol Power Cooling Tower termasuk material bantu </t>
  </si>
  <si>
    <t>Panel Kontrol Fan Presurisasi termasuk material bantu</t>
  </si>
  <si>
    <t xml:space="preserve">MCB Box </t>
  </si>
  <si>
    <t xml:space="preserve">Genset Kap : 75kVA Silent Type dan aksesoris </t>
  </si>
  <si>
    <t xml:space="preserve">Genset Kap : 100 kVA Silent Type dan aksesoris </t>
  </si>
  <si>
    <t xml:space="preserve">Genset Kap : 400 kVA Silent Type dan aksesoris </t>
  </si>
  <si>
    <t xml:space="preserve">UPS 5 KVA </t>
  </si>
  <si>
    <t xml:space="preserve">Tangki Solar Harian 500 liter </t>
  </si>
  <si>
    <t>Hand Pump Solar
dan aksesoris</t>
  </si>
  <si>
    <t>Trafo Kap : 630 Kva : Synthetic Oil Ester</t>
  </si>
  <si>
    <t>Downlight 5 Inch 14, 5 Watt LED + Aksesoris</t>
  </si>
  <si>
    <t xml:space="preserve">Lampu LED E27 10 watt + Aksesoris </t>
  </si>
  <si>
    <t xml:space="preserve">Fitting E27 + Aksesoris </t>
  </si>
  <si>
    <t xml:space="preserve">Nicad Battery </t>
  </si>
  <si>
    <t>Lampu LED E27 19 watt</t>
  </si>
  <si>
    <t>RM TKI 2 x 16 Watt LED</t>
  </si>
  <si>
    <t>Lampu Sorot LED 100 Watt</t>
  </si>
  <si>
    <t xml:space="preserve">Lampu Sorot RGB 30 Watt untuk Outdoor </t>
  </si>
  <si>
    <t xml:space="preserve">Pelindung Lampu </t>
  </si>
  <si>
    <t xml:space="preserve">Lampu High Bay 100 Watt </t>
  </si>
  <si>
    <t xml:space="preserve">Lampu Eksit LED 3 Watt c/w Battery </t>
  </si>
  <si>
    <t xml:space="preserve">Lampu TLED 1  x 14 Watt 2.100 Lumen </t>
  </si>
  <si>
    <t>Lampu TLED 1 x 24 Watt 2.100 Lumen</t>
  </si>
  <si>
    <t>Lampu TLED 2 x 24 Watt 2.100 Lumen</t>
  </si>
  <si>
    <t xml:space="preserve">Lampu PJU LED 50 Watt </t>
  </si>
  <si>
    <t>Tiang PJU Kawasan 6-7 m</t>
  </si>
  <si>
    <t>Lampu PJU LED 50 Watt + Solar Cell</t>
  </si>
  <si>
    <t>Lampu Taman 25 Watt +Tiang 1 m</t>
  </si>
  <si>
    <t>Fitting</t>
  </si>
  <si>
    <t xml:space="preserve">Lampu LED 7 Watt </t>
  </si>
  <si>
    <t xml:space="preserve">Lampu LED 9 Watt </t>
  </si>
  <si>
    <t>Lampu Baret 20 Watt</t>
  </si>
  <si>
    <t>Lampu Baret 32 Watt</t>
  </si>
  <si>
    <t xml:space="preserve">Lampu Pijar 40 Watt </t>
  </si>
  <si>
    <t xml:space="preserve">Lampu TL 18 Watt </t>
  </si>
  <si>
    <t xml:space="preserve">Lampu TLED 18 Watt </t>
  </si>
  <si>
    <t>Lampu TL  36 Watt</t>
  </si>
  <si>
    <t>Lampu TLED  36 Watt</t>
  </si>
  <si>
    <t xml:space="preserve">Lampu Sport Floodlight Led </t>
  </si>
  <si>
    <t xml:space="preserve">Brackket </t>
  </si>
  <si>
    <t xml:space="preserve">Junction Box IP Rated </t>
  </si>
  <si>
    <t xml:space="preserve">Kabel Fiber Optic Dual Core Single Mode </t>
  </si>
  <si>
    <t>Pipa HDPE Conduit 20 mm</t>
  </si>
  <si>
    <t>DMX LED Controller 1 Universe</t>
  </si>
  <si>
    <t xml:space="preserve">Sensor Cahaya </t>
  </si>
  <si>
    <t xml:space="preserve">Sensor Gerak </t>
  </si>
  <si>
    <t>MCP-FA (Semi Addressable 1 Loop)</t>
  </si>
  <si>
    <t>Programming, Testing &amp; commisioning</t>
  </si>
  <si>
    <t xml:space="preserve">lot </t>
  </si>
  <si>
    <t xml:space="preserve">PC Komputer </t>
  </si>
  <si>
    <t xml:space="preserve">Alarm Printer </t>
  </si>
  <si>
    <t>Report Printer</t>
  </si>
  <si>
    <t>Announciator</t>
  </si>
  <si>
    <t xml:space="preserve">Terminal Box Fire Alarm </t>
  </si>
  <si>
    <t xml:space="preserve">Smoke Detector Addressable </t>
  </si>
  <si>
    <t xml:space="preserve">Rate of Rise Detector Addressable </t>
  </si>
  <si>
    <t xml:space="preserve">Fix Heat Detector Addressable </t>
  </si>
  <si>
    <t xml:space="preserve">Smoke Detector Konvensional </t>
  </si>
  <si>
    <t>Rate of Rise Detector Konvensional</t>
  </si>
  <si>
    <t>Fix Heat Detector Konvensioanl</t>
  </si>
  <si>
    <t xml:space="preserve">Lamp Indicator </t>
  </si>
  <si>
    <t>Manual Break Glass</t>
  </si>
  <si>
    <t>Horn Strobe</t>
  </si>
  <si>
    <t xml:space="preserve">Fire Fighting Telepon </t>
  </si>
  <si>
    <t>Alarm Bell</t>
  </si>
  <si>
    <t xml:space="preserve">Sirine Module </t>
  </si>
  <si>
    <t>Control Module</t>
  </si>
  <si>
    <t>Relay Module</t>
  </si>
  <si>
    <t xml:space="preserve">Isolator Module </t>
  </si>
  <si>
    <t>Monitor Module</t>
  </si>
  <si>
    <t>Rectifier</t>
  </si>
  <si>
    <t>Power Surge Arrester</t>
  </si>
  <si>
    <t xml:space="preserve">UPS 2 KVA 15 Menit </t>
  </si>
  <si>
    <t>UPS 2 KVA 30 Menit</t>
  </si>
  <si>
    <t>UPS 2 KVA 1 Jam</t>
  </si>
  <si>
    <t>UPS 2 KVA 2 Jam</t>
  </si>
  <si>
    <t>UPS 2 KVA 4 Jam</t>
  </si>
  <si>
    <t xml:space="preserve">End of Line Resistor </t>
  </si>
  <si>
    <t>Patch Panel UTP Cat 6 4 Port</t>
  </si>
  <si>
    <t>Wiring Management</t>
  </si>
  <si>
    <t>PoE Switch HUB</t>
  </si>
  <si>
    <t>Network  Video Recorder (NVR) Kapasitas 32 Chanel</t>
  </si>
  <si>
    <t xml:space="preserve">8 TB Hardisk </t>
  </si>
  <si>
    <t xml:space="preserve">Rak 19" 12 U Lengkap dengan Power Outlet </t>
  </si>
  <si>
    <t>LCD Monitor 32"</t>
  </si>
  <si>
    <t>Bracket Monitor 32"</t>
  </si>
  <si>
    <t>LCD Monitor 50"</t>
  </si>
  <si>
    <t>Bracket Monitor 50"</t>
  </si>
  <si>
    <t xml:space="preserve">Keyboard + Mouse </t>
  </si>
  <si>
    <t xml:space="preserve">Indoor Fix Dome IP Camera </t>
  </si>
  <si>
    <t xml:space="preserve">Outdoor Fix Dome IP Camera </t>
  </si>
  <si>
    <t>MDF-SS</t>
  </si>
  <si>
    <t>Selector Switch c/w Control Panel</t>
  </si>
  <si>
    <t>Power Amplifier 360 Watt</t>
  </si>
  <si>
    <t>Power Amplifier 240 Watt</t>
  </si>
  <si>
    <t>Power Amplifier 120 Watt</t>
  </si>
  <si>
    <t>System Controller (Mixer Pre Amp + Equalizer)</t>
  </si>
  <si>
    <t>VCD/DVD/MP3/Mp4</t>
  </si>
  <si>
    <t>Automatic Alarm System</t>
  </si>
  <si>
    <t>Paging Mic Keypad</t>
  </si>
  <si>
    <t xml:space="preserve">UPS 1 KVA 4 Jam </t>
  </si>
  <si>
    <t>Rack Cabinet</t>
  </si>
  <si>
    <t>Terminal Box Tata Suara (TBTS)</t>
  </si>
  <si>
    <t>Ceiling Speaker</t>
  </si>
  <si>
    <t>Wall Speaker</t>
  </si>
  <si>
    <t>Horn Speaker</t>
  </si>
  <si>
    <t xml:space="preserve">Tiang </t>
  </si>
  <si>
    <t>MDF 2 x 8 Pair</t>
  </si>
  <si>
    <t>MDF 2 x 10 Pair</t>
  </si>
  <si>
    <t xml:space="preserve">Pemasangan 1 Unit PABX Kap: 1 Line 10 Extension </t>
  </si>
  <si>
    <t xml:space="preserve">Pemasangan 1 Unit PABX Kap: 1 Line 8 Extension </t>
  </si>
  <si>
    <t>Terminal Box Telepon</t>
  </si>
  <si>
    <t>Outlet Telepon</t>
  </si>
  <si>
    <t>Server / Gateway c/w PC, Monitor, Keyboard, Mouse</t>
  </si>
  <si>
    <t>Main Switch HUB 24 Port</t>
  </si>
  <si>
    <t>Main Switch HUB 12 Port</t>
  </si>
  <si>
    <t>Router Broadband</t>
  </si>
  <si>
    <t>Fire Wall + Anti Virus</t>
  </si>
  <si>
    <t>Outlet Data</t>
  </si>
  <si>
    <t>Patch Cord</t>
  </si>
  <si>
    <t>Patch Panel 24 Port</t>
  </si>
  <si>
    <t>Wifi Access Point (Wifi 6 Radius 50 M)</t>
  </si>
  <si>
    <t>Switch Hub 8 Port</t>
  </si>
  <si>
    <t xml:space="preserve">Media Converter </t>
  </si>
  <si>
    <t xml:space="preserve">OTB </t>
  </si>
  <si>
    <t>Touch Screen Panel 7"</t>
  </si>
  <si>
    <t>Touch Screen Panel 10"</t>
  </si>
  <si>
    <t>Touch Screen Panel 12"</t>
  </si>
  <si>
    <t>Touch Screen Panel 14"</t>
  </si>
  <si>
    <t>Wall Mounted Rack 15U</t>
  </si>
  <si>
    <t>Workstation, Meja+Kursi</t>
  </si>
  <si>
    <t xml:space="preserve">Connector </t>
  </si>
  <si>
    <t>Splitter TV 6 Port</t>
  </si>
  <si>
    <t>Splitter TV 7 Port</t>
  </si>
  <si>
    <t>Terminal Bocx TV</t>
  </si>
  <si>
    <t>Antena UHF</t>
  </si>
  <si>
    <t>Antena VHF</t>
  </si>
  <si>
    <t>AC Wall Mounted Kap : 5.000 BTUH</t>
  </si>
  <si>
    <t>AC Wall Mounted Kap : 6.500 BTUH</t>
  </si>
  <si>
    <t>AC Wall Mounted Kap : 7.000 BTUH</t>
  </si>
  <si>
    <t>AC Wall Mounted Kap : 9.000 BTUH</t>
  </si>
  <si>
    <t>AC Wall Mounted Kap : 12.000 BTUH</t>
  </si>
  <si>
    <t>AC Wall Mounted Kap : 24.000 BTUH</t>
  </si>
  <si>
    <t>AC Wall Mounted Kap : 35.000 BTUH</t>
  </si>
  <si>
    <t>Ceiling Fan, 50 CFM</t>
  </si>
  <si>
    <t>Ceiling Fan, 75 CFM</t>
  </si>
  <si>
    <t>Ceiling Fan, 100 CFM</t>
  </si>
  <si>
    <t>Ceiling Fan, 200 CFM</t>
  </si>
  <si>
    <t>Inline  Fan, 500 CFM</t>
  </si>
  <si>
    <t>Inline  Fan, 700 CFM</t>
  </si>
  <si>
    <t>Axial Fan ; 2.600 CFM</t>
  </si>
  <si>
    <t>Axial Fan ; 2.800 CFM</t>
  </si>
  <si>
    <t>Axial Fan ; 3.200 CFM</t>
  </si>
  <si>
    <t>Axial Fan ; 3.500 CFM</t>
  </si>
  <si>
    <t>Axial Fan ; 4.000 CFM</t>
  </si>
  <si>
    <t>Axial Fan ; 5.500 CFM</t>
  </si>
  <si>
    <t>Rotary Fan</t>
  </si>
  <si>
    <t>Ceiling Fan Rotary</t>
  </si>
  <si>
    <t>Bifurcated Fan; 1.500 CFM</t>
  </si>
  <si>
    <t>Propeller Fan, 75 CFM</t>
  </si>
  <si>
    <t>Propeller Fan, 100 CFM</t>
  </si>
  <si>
    <t>Propeller Fan, 150 CFM</t>
  </si>
  <si>
    <t>Propeller Fan, 370 CFM</t>
  </si>
  <si>
    <t>Propeller Fan, 375 CFM</t>
  </si>
  <si>
    <t>Propeller Fan, 500 CFM</t>
  </si>
  <si>
    <t>Propeller Fan, 600 CFM</t>
  </si>
  <si>
    <t>Propeller Fan, 1200 CFM</t>
  </si>
  <si>
    <t>Intake Grille 600 x 300 mm</t>
  </si>
  <si>
    <t>Intake Grille 650 x 350 mm</t>
  </si>
  <si>
    <t>Intake Grille 800 x 350 mm</t>
  </si>
  <si>
    <t>Intake Grille 800 x 400 mm</t>
  </si>
  <si>
    <t xml:space="preserve"> Intake Louvre 700 x 400 mm</t>
  </si>
  <si>
    <t xml:space="preserve"> Fan Louvre 750 x 400 mm</t>
  </si>
  <si>
    <t xml:space="preserve"> Fan Louvre 900 x 500 mm</t>
  </si>
  <si>
    <t xml:space="preserve"> Fan Louvre 1.000 x 400 mm</t>
  </si>
  <si>
    <t xml:space="preserve"> Fan Louvre 1.000 x 450 mm</t>
  </si>
  <si>
    <t>Exhaust Grille 150 x 150 mm</t>
  </si>
  <si>
    <t>Exhaust Grille 200 x 200 mm</t>
  </si>
  <si>
    <t>Exhaust Grille 600 x 300 mm</t>
  </si>
  <si>
    <t>Exhaust Grille 650 x 350 mm</t>
  </si>
  <si>
    <t>Exhaust Grille 900 x 400 mm</t>
  </si>
  <si>
    <t>Exhaust Louvre</t>
  </si>
  <si>
    <t xml:space="preserve">ZINK BJLS </t>
  </si>
  <si>
    <t xml:space="preserve">Flinkote </t>
  </si>
  <si>
    <t xml:space="preserve">finish Cat </t>
  </si>
  <si>
    <t>Hanger + Support</t>
  </si>
  <si>
    <t xml:space="preserve">lolt </t>
  </si>
  <si>
    <t xml:space="preserve">MATERIAL SISTEM PEMBUMIAN </t>
  </si>
  <si>
    <t>Bak Kontrol Pemeriksaan dari Batu Bata 45 x 45 x 45 cm + Tutup Beton 45 x 45 x 10 cm</t>
  </si>
  <si>
    <t>Terminal Busbar 300 x 50 x 5 mm</t>
  </si>
  <si>
    <t>Batang Tembaga Pembumian Dia.5/8” (kedalaman min. 12 m)</t>
  </si>
  <si>
    <t>Pantek (kedalaman min. 12 m)</t>
  </si>
  <si>
    <t>lot</t>
  </si>
  <si>
    <t>Kabel BC 95 mm2</t>
  </si>
  <si>
    <t>Kabel Skun 95 mm2</t>
  </si>
  <si>
    <t>Rod Coupling</t>
  </si>
  <si>
    <t>Material Bantu</t>
  </si>
  <si>
    <t>Batang Tembaga Pembumian Dia.3/4” (kedalaman min. 12 m)</t>
  </si>
  <si>
    <t xml:space="preserve">Air Terminal </t>
  </si>
  <si>
    <t xml:space="preserve">Base Air Terminal </t>
  </si>
  <si>
    <t xml:space="preserve">DC Clip Non Metalic Clamp </t>
  </si>
  <si>
    <t>Square Tape Clamp</t>
  </si>
  <si>
    <t xml:space="preserve">Bimetallic Connector </t>
  </si>
  <si>
    <t>Grounding Test Box</t>
  </si>
  <si>
    <t xml:space="preserve">5/8" Rod Coupling </t>
  </si>
  <si>
    <t xml:space="preserve">5/8" Driving Stud </t>
  </si>
  <si>
    <t>Rod to Cable Clamp (Type GUV)</t>
  </si>
  <si>
    <t>Polymer Inspection Pit</t>
  </si>
  <si>
    <t>Coupling Bonding Grounded Rod 70 mm2</t>
  </si>
  <si>
    <t>Clamp BC L ukuran BC 70 mm2</t>
  </si>
  <si>
    <t>Clamp PVC 1"</t>
  </si>
  <si>
    <t xml:space="preserve">Copper Air Terminal Base 15 mm </t>
  </si>
  <si>
    <t xml:space="preserve">15x500 mm Aluminium Air Rod </t>
  </si>
  <si>
    <t xml:space="preserve">15x500 mm Copper Air Rod </t>
  </si>
  <si>
    <t>25x3 mm Bare Aluminium Tape</t>
  </si>
  <si>
    <t xml:space="preserve">5/8" x 1800 mm Extensible Copperbond Rod </t>
  </si>
  <si>
    <t xml:space="preserve">5/8" Copperbond Rod </t>
  </si>
  <si>
    <t xml:space="preserve">Grounding Rod Gip 1" Panjang 1 m </t>
  </si>
  <si>
    <t xml:space="preserve">Grounding Rod Gip 1" Panjang 2 m </t>
  </si>
  <si>
    <t>Exothermic Welding</t>
  </si>
  <si>
    <t>Surge Arrester 1 Phase (15 KA)</t>
  </si>
  <si>
    <t>Surge Arrester 3 Phase (15 KA)</t>
  </si>
  <si>
    <t>MATERIAL LAIN-LAIN</t>
  </si>
  <si>
    <t>Air</t>
  </si>
  <si>
    <t>Banner plastik 0.6x0.8 m2</t>
  </si>
  <si>
    <t>Air (m3)</t>
  </si>
  <si>
    <t>Akrilik 4 mm</t>
  </si>
  <si>
    <t>Alang-alang</t>
  </si>
  <si>
    <t>ikat</t>
  </si>
  <si>
    <t>Alat  tulis</t>
  </si>
  <si>
    <t>Aluminium foil</t>
  </si>
  <si>
    <t>Aluminium foil double side</t>
  </si>
  <si>
    <t>Amplas</t>
  </si>
  <si>
    <t>Baja ringan C75 x 0,75 mm</t>
  </si>
  <si>
    <t>Baja ringan C75 x 0,75 mm (permeter)</t>
  </si>
  <si>
    <t xml:space="preserve">Baja Profil </t>
  </si>
  <si>
    <t>Baja ringan C75 x 0,8 mm</t>
  </si>
  <si>
    <t>Baja ringan C75 x 1,00 mm</t>
  </si>
  <si>
    <t>Baja ringan C75 x 1,00 mm (m)</t>
  </si>
  <si>
    <t>Bata Ringan (ukuran 60x20x10 cm)</t>
  </si>
  <si>
    <t>Batu Andesit  Bakar 10x10, t=3cm</t>
  </si>
  <si>
    <t>Batu Andesit  Bakar 30x30, t=3cm</t>
  </si>
  <si>
    <t>Batu apung</t>
  </si>
  <si>
    <t>Bollard Besi Tempa (BL1)</t>
  </si>
  <si>
    <t>Bollard Besi Tempa (BL2)</t>
  </si>
  <si>
    <t>Bollard cast  iron (tinggi 1,2m ; Ø bawah 5"  ; Ø atas  4")</t>
  </si>
  <si>
    <t>Bollard stainless  steel (tinggi 1m ; Ø 4")</t>
  </si>
  <si>
    <t>Bubuk poles</t>
  </si>
  <si>
    <t>Aspal</t>
  </si>
  <si>
    <t>Coldmix  (Aspal Tambal Dingin) 25 kg</t>
  </si>
  <si>
    <t>Zak</t>
  </si>
  <si>
    <t>Cutting sticker</t>
  </si>
  <si>
    <t>Epoxy resin grout</t>
  </si>
  <si>
    <t>Formica</t>
  </si>
  <si>
    <t>Formika</t>
  </si>
  <si>
    <t>Gebalan Rumput  Jenis  Lamuran</t>
  </si>
  <si>
    <t>Glasswool tebal 8 cm</t>
  </si>
  <si>
    <t>Guardrail</t>
  </si>
  <si>
    <t>Hebel Block (ukuran 60x20x15 cm)</t>
  </si>
  <si>
    <t>Huruf/letter timbul stainless  steel</t>
  </si>
  <si>
    <t>Ijuk</t>
  </si>
  <si>
    <t>Insulasi foam</t>
  </si>
  <si>
    <t>Jaringan udara (LVTC  2x15 mm)</t>
  </si>
  <si>
    <t>Jendela type J1</t>
  </si>
  <si>
    <t>Jendela type J2</t>
  </si>
  <si>
    <t>Joint  Sealent</t>
  </si>
  <si>
    <t>Kapur</t>
  </si>
  <si>
    <t>Kapur padam</t>
  </si>
  <si>
    <t>Karung goni</t>
  </si>
  <si>
    <t>Karung plastik</t>
  </si>
  <si>
    <t>Kisdam (sewa sheet  pile selama 2 bulan)</t>
  </si>
  <si>
    <t>Lem Aibon</t>
  </si>
  <si>
    <t>Lem epoxy</t>
  </si>
  <si>
    <t>Lem kayu</t>
  </si>
  <si>
    <t>Lem vinyl</t>
  </si>
  <si>
    <t xml:space="preserve">Lem Karpet </t>
  </si>
  <si>
    <t>Lethering akrilik tinggi 100 tebal 20 cm</t>
  </si>
  <si>
    <t>Lethering akrilik tinggi 25 tebal 5 cm</t>
  </si>
  <si>
    <t>Lethering akrilik tinggi 45 tebal 20 cm</t>
  </si>
  <si>
    <t>Lethering akrilik tinggi 70 tebal 20 cm</t>
  </si>
  <si>
    <t>Lis  profil beton (50 cm)</t>
  </si>
  <si>
    <t>Mortar Acian Bata Ringan</t>
  </si>
  <si>
    <t>Mortar Perekat  Bata Ringan</t>
  </si>
  <si>
    <t>Mortar Plesteran Bata Ringan</t>
  </si>
  <si>
    <t>Mortar siap pakai</t>
  </si>
  <si>
    <t>Mortar Skimcoat</t>
  </si>
  <si>
    <t>Nako  per daun</t>
  </si>
  <si>
    <t>Pasir Ottawa</t>
  </si>
  <si>
    <t>Pemasangan lantai tempered laminated glass  Jemabatan Kaca</t>
  </si>
  <si>
    <t>Pen akrilik</t>
  </si>
  <si>
    <t>Perekat untuk  wallpaper</t>
  </si>
  <si>
    <t>Pintu lipat  (folding door) bahan plastik/PVC</t>
  </si>
  <si>
    <t>Pintu type P1</t>
  </si>
  <si>
    <t>Pipa screen pvc  Ø 4"</t>
  </si>
  <si>
    <t>Pipa stainless  steel diameter 0,5 "  panjang 6 m</t>
  </si>
  <si>
    <t>Pipa stainless  steel diameter 0,75 "  panjang 6 m</t>
  </si>
  <si>
    <t>Pipa stainless  steel diameter 1 "  panjang 6 m</t>
  </si>
  <si>
    <t>Pipa stainless  steel diameter 1,5 "  panjang 6 m</t>
  </si>
  <si>
    <t>Pipa stainless  steel diameter 2 "  panjang 6 m</t>
  </si>
  <si>
    <t>Pipa stainless  steel diameter 2,5 "  panjang 6 m</t>
  </si>
  <si>
    <t>Pipa stainless  steel diameter 3 "  panjang 6 m</t>
  </si>
  <si>
    <t>Plastik aerator</t>
  </si>
  <si>
    <t>Prasasti marmer 20x20</t>
  </si>
  <si>
    <t>Ramset</t>
  </si>
  <si>
    <t>Recorder paper</t>
  </si>
  <si>
    <t>Reng baja ringan</t>
  </si>
  <si>
    <t>Roster 10 x  20 cm</t>
  </si>
  <si>
    <t>Roster 15 x  25 cm</t>
  </si>
  <si>
    <t>Roster 15 x  30 cm</t>
  </si>
  <si>
    <t>Roster 20 x 20 cm</t>
  </si>
  <si>
    <t>Roster 25 x  25 cm</t>
  </si>
  <si>
    <t>Roster 30 x  30 cm</t>
  </si>
  <si>
    <t>Roster/terawang</t>
  </si>
  <si>
    <t>Rumput  sintetis  uk. 1mx1m tebal 2 cm</t>
  </si>
  <si>
    <t>Sabun</t>
  </si>
  <si>
    <t>Screen low  carbon</t>
  </si>
  <si>
    <t>Screen stainless  steel ø  4"</t>
  </si>
  <si>
    <t>Sealant</t>
  </si>
  <si>
    <t>tube</t>
  </si>
  <si>
    <t>Sealant  kaca</t>
  </si>
  <si>
    <t>Sealtape</t>
  </si>
  <si>
    <t>Semen Sika</t>
  </si>
  <si>
    <t>Septic  tank pabrikasi 1000 liter</t>
  </si>
  <si>
    <t>Septic  tank pabrikasi 1200 liter</t>
  </si>
  <si>
    <t>Septic  tank pabrikasi 2000 liter</t>
  </si>
  <si>
    <t>Septic  tank pabrikasi 800 liter</t>
  </si>
  <si>
    <t>Sesek bambu</t>
  </si>
  <si>
    <t>Signage RMJ</t>
  </si>
  <si>
    <t>Signage Plat Baja lengkap dengan accessories</t>
  </si>
  <si>
    <t>Sitting Group (cast  iron, kayu)</t>
  </si>
  <si>
    <t>Skrup fixer</t>
  </si>
  <si>
    <t>Soda api</t>
  </si>
  <si>
    <t>Strorox-100</t>
  </si>
  <si>
    <t>Tali ijuk</t>
  </si>
  <si>
    <t xml:space="preserve">Tali Ijuk </t>
  </si>
  <si>
    <t>Terpal</t>
  </si>
  <si>
    <t>Tiang Bolard (Bollard cast  iron) tinggi 1,2 m; ø bawah 5"; ø atas  4"</t>
  </si>
  <si>
    <t>Venetions  blinds  dan vertical blinds  (tirai)</t>
  </si>
  <si>
    <t>Wallpaper</t>
  </si>
  <si>
    <t>Waterstop lebar 150 mm</t>
  </si>
  <si>
    <t>Waterstop lebar 200 mm</t>
  </si>
  <si>
    <t>Waterstop lebar 250 mm</t>
  </si>
  <si>
    <t>Wax</t>
  </si>
  <si>
    <t>Paving Block Tebal 6 cm fc 20 Mpa</t>
  </si>
  <si>
    <t xml:space="preserve">Pasir Filler </t>
  </si>
  <si>
    <t>Paving Block Tebal 6 cm fc 25 Mpa</t>
  </si>
  <si>
    <t>Paving Block Tebal 8 cm fc 20 Mpa</t>
  </si>
  <si>
    <t>Paving Block Tebal 8 cm fc 25 Mpa</t>
  </si>
  <si>
    <t>Stepping Band Lebar 15 mm</t>
  </si>
  <si>
    <t xml:space="preserve">Palet Kayu uk. 120x120x10 cm </t>
  </si>
  <si>
    <t>Geotextile &gt;100 gr/m2</t>
  </si>
  <si>
    <t>Geotextile &gt;400 gr/m2</t>
  </si>
  <si>
    <t>Geotextile &gt;800 gr/m2</t>
  </si>
  <si>
    <t>Geotekstil woven 400 gr/m2</t>
  </si>
  <si>
    <t xml:space="preserve">Geomembran </t>
  </si>
  <si>
    <t>Geosynthetic Clay Liner</t>
  </si>
  <si>
    <t xml:space="preserve">Bentonite </t>
  </si>
  <si>
    <t xml:space="preserve">MATERIAL LANSEKAP </t>
  </si>
  <si>
    <t xml:space="preserve">Pupuk Organik </t>
  </si>
  <si>
    <t xml:space="preserve">Kompos </t>
  </si>
  <si>
    <t xml:space="preserve">Pohon Bunga Mentega di Polybag 20 Liter </t>
  </si>
  <si>
    <t>Pohon Bunga Mentega di
Polybag 25 Liter</t>
  </si>
  <si>
    <t>Pohon Bunga Terompet Kuning di Polybag 20 Liter</t>
  </si>
  <si>
    <t>Pohon Bunga Terompet
Kuning di Polybag 25 Liter</t>
  </si>
  <si>
    <t>Pohon Bunga Terompet Kuning di Polybag 50 Liter</t>
  </si>
  <si>
    <t xml:space="preserve">Pohon Bungur Sakura di Polybag 20 Liter </t>
  </si>
  <si>
    <t>Pohon Bungur
Sakura/Bungur Jepang di
Polybag 25 Liter</t>
  </si>
  <si>
    <t>Pohon Bungur di Polybag 75 Liter</t>
  </si>
  <si>
    <t>Pohon Bungur di Polybag 100 Liter</t>
  </si>
  <si>
    <t xml:space="preserve">Pohon Cassia Glauca di Polybag 20 Liter </t>
  </si>
  <si>
    <t>Pohon Cassia glauca di
Polybag 25 Liter</t>
  </si>
  <si>
    <t>Pohon Dracaena'song of india' di polybag 20 liter</t>
  </si>
  <si>
    <t>Pohon Dracaena ‘Song of
India’ di Polybag 25 Liter</t>
  </si>
  <si>
    <t>Pohon Dracaena 'Song of
Jamaica' di Polybag 20
Liter</t>
  </si>
  <si>
    <t>Pohon Dracaena 'Song of
Jamaica' di Polybag 25
Liter</t>
  </si>
  <si>
    <t>Pohon Jarak Batavia di
Polybag 20 Liter</t>
  </si>
  <si>
    <t>Pohon Jarak Batavia di Polybag 25 Liter</t>
  </si>
  <si>
    <t>Pohon Kayu Putih
Kuning di Polybag 20
Liter</t>
  </si>
  <si>
    <t>Pohon Kayu Putih Kuning di Polybag 25 Liter</t>
  </si>
  <si>
    <t>Pohon Bugenvil/bunga
kertas di Polybag 20 Liter</t>
  </si>
  <si>
    <t>Pohon Penda Merah di
Polybag 20 Liter</t>
  </si>
  <si>
    <t>Pohon Pucuk merah di Polybag 25 Liter</t>
  </si>
  <si>
    <t>Pohon Sikat Botol di
Polybag 20 Liter</t>
  </si>
  <si>
    <t>Pohon Sikat Botol di
Polybag 25 Liter</t>
  </si>
  <si>
    <t xml:space="preserve">Pohon kecil Anggur terompet </t>
  </si>
  <si>
    <t xml:space="preserve">Anti Rayap tanah </t>
  </si>
  <si>
    <t xml:space="preserve">Pohon kecil Pucuk merah </t>
  </si>
  <si>
    <t xml:space="preserve">Pohon Pucuk Merah di Polybag 20 Liter </t>
  </si>
  <si>
    <t xml:space="preserve">Pohon </t>
  </si>
  <si>
    <t xml:space="preserve">Pohon Pucuk Merah di Polybag 25 Liter </t>
  </si>
  <si>
    <t xml:space="preserve">Pohon Bunga Kupu-kupu di Polybag 50 Liter </t>
  </si>
  <si>
    <t xml:space="preserve">Pohon Bunga Kupu-kupu di Polybag 75 Liter </t>
  </si>
  <si>
    <t>Pohon Pulai di Polybag 75
Liter</t>
  </si>
  <si>
    <t>Pohon Pulai di Polybag 100 Liter</t>
  </si>
  <si>
    <t>Pohon Pulai di Polybag 150 Liter</t>
  </si>
  <si>
    <t>Pohon Pulai di Polybag 200 Liter</t>
  </si>
  <si>
    <t>Pohon Pulai di Polybag 250
Liter</t>
  </si>
  <si>
    <t xml:space="preserve">Pohon sedang Ketapang Kencana </t>
  </si>
  <si>
    <t>Pohon Mahoni di Polybag
75 Liter</t>
  </si>
  <si>
    <t>Pohon Mahoni di Polybag 100 Liter</t>
  </si>
  <si>
    <t>Pohon Mahoni di Polybag 150 Liter</t>
  </si>
  <si>
    <t>Pohon Beringin di Polybag 200 Liter</t>
  </si>
  <si>
    <t>Pohon Beringin di Polybag 250 Liter</t>
  </si>
  <si>
    <t>Pohon Beringin di Polybag 100 Liter</t>
  </si>
  <si>
    <t>Pohon Beringin di Polybag 150 Liter</t>
  </si>
  <si>
    <t>Pohon Beringin di Polybag
250 Liter</t>
  </si>
  <si>
    <t>Pohon sedang Tabebuya</t>
  </si>
  <si>
    <t>Pohon Bintaro di Polybag
50 Liter</t>
  </si>
  <si>
    <t>Pohon Bintaro di Polybag 75 Liter</t>
  </si>
  <si>
    <t>Pohon Besar Kamboja</t>
  </si>
  <si>
    <t>Pohon Besar Beringin</t>
  </si>
  <si>
    <t>Pohon Besar Pulai</t>
  </si>
  <si>
    <t>Pohon Besar Trembesi</t>
  </si>
  <si>
    <t>Pohon Trembesi di Polybag 75 Liter</t>
  </si>
  <si>
    <t>Pohon Trembesi di Polybag 100 Liter</t>
  </si>
  <si>
    <t>Pohon Trembesi di Polybag 150
Liter</t>
  </si>
  <si>
    <t>Pohon Trembesi di Polybag 200
Liter</t>
  </si>
  <si>
    <t>Pohon Trembesi di Polybag
250 Liter</t>
  </si>
  <si>
    <t>Pohon Thevetia di
Polybag 20 Liter</t>
  </si>
  <si>
    <t>Pohon Thevetia di Polybag 25 Liter</t>
  </si>
  <si>
    <t>Pohon Turi di Polybag 20
Liter</t>
  </si>
  <si>
    <t>Pohon Turi di Polybag 25 Liter</t>
  </si>
  <si>
    <t>Pohon Kembang Merak di
Polybag 20 Liter</t>
  </si>
  <si>
    <t>Pohon Pandan Bali di
Polybag 20 Liter</t>
  </si>
  <si>
    <t>Pohon Yucca di Polybag
20 Liter</t>
  </si>
  <si>
    <t>Pohon Flamboyan di Polybag 50 Liter</t>
  </si>
  <si>
    <t>Pohon Flamboyan Kuning di Polybag 50 Liter</t>
  </si>
  <si>
    <t>Pohon Flamboyan di Polybag 75 Liter</t>
  </si>
  <si>
    <t>Pohon Flamboyan di Polybag 100 Liter</t>
  </si>
  <si>
    <t>Pohon Flamboyan di Polybag 150 Liter</t>
  </si>
  <si>
    <t>Pohon Flamboyan di Polybag 200 Liter</t>
  </si>
  <si>
    <t>Pohon Flamboyan Kuning di Polybag 75 Liter</t>
  </si>
  <si>
    <t>Pohon Janda Merana di Polybag 50 Liter</t>
  </si>
  <si>
    <t>Pohon Janda Merana di Polybag 75 Liter</t>
  </si>
  <si>
    <t>Pohon Ketapang kencana di Polybag 50 Liter</t>
  </si>
  <si>
    <t>Pohon Ketapang kencana di Polybag 75 Liter</t>
  </si>
  <si>
    <t>Pohon Ketapang kencana di Polybag 100 Liter</t>
  </si>
  <si>
    <t>Pohon Sosis di Polybag 50 Liter</t>
  </si>
  <si>
    <t>Pohon Sosis di Polybag 75 Liter</t>
  </si>
  <si>
    <t>Pohon Sosis di Polybag 100 Liter</t>
  </si>
  <si>
    <t>Pohon Sosis di Polybag 150 Liter</t>
  </si>
  <si>
    <t>Pohon Sosis di Polybag 200 Liter</t>
  </si>
  <si>
    <t>Pohon Sosis di Polybag 250
Liter</t>
  </si>
  <si>
    <t>Pohon Tabebuya di Polybag 50 Liter</t>
  </si>
  <si>
    <t>Pohon Tabebuya di Polybag 75 Liter</t>
  </si>
  <si>
    <t>Pohon Waru di Polybag 50 Liter</t>
  </si>
  <si>
    <t>Pohon Waru di Polybag 75 Liter</t>
  </si>
  <si>
    <t>Pohon Biola Cantik di Polybag 75 Liter</t>
  </si>
  <si>
    <t>Pohon Biola Cantik di Polybag 100 Liter</t>
  </si>
  <si>
    <t>Pohon Kamboja di Polybag 75 Liter</t>
  </si>
  <si>
    <t>Pohon Kamboja di Polybag 100 Liter</t>
  </si>
  <si>
    <t>Pohon Kamboja di Polybag 150 Liter</t>
  </si>
  <si>
    <t>Pohon Kamboja Fosil di Polybag 200 Liter</t>
  </si>
  <si>
    <t>Pohon Keben di Polybag 75 Liter</t>
  </si>
  <si>
    <t>Pohon Keben di Polybag 100 Liter</t>
  </si>
  <si>
    <t>Pohon Kecrutan di Polybag
75 Liter</t>
  </si>
  <si>
    <t>Pohon Kecrutan di Polybag 100 Liter</t>
  </si>
  <si>
    <t>Pohon Putat di Polybag 75
Liter</t>
  </si>
  <si>
    <t>Pohon Putat di Polybag 100 Liter</t>
  </si>
  <si>
    <t>Pohon Bodhi di Polybag 100 Liter</t>
  </si>
  <si>
    <t>Pohon Bodhi di Polybag 150 Liter</t>
  </si>
  <si>
    <t>Pohon Bodhi di Polybag 200 Liter</t>
  </si>
  <si>
    <t>Pohon Bodhi di Polybag 250
Liter</t>
  </si>
  <si>
    <t>Pohon Baobab di Polybag 250
Liter</t>
  </si>
  <si>
    <t>Palem ekor tupai di Polybag 100
Liter</t>
  </si>
  <si>
    <t>Sylvertris di Polybag 100 Liter</t>
  </si>
  <si>
    <t>Sylvertris di Polybag 150 Liter</t>
  </si>
  <si>
    <t>Sylvertris di Polybag 200 Liter</t>
  </si>
  <si>
    <t>Sylvertris di Polybag 250 Liter</t>
  </si>
  <si>
    <t>Palem Putri di Polybag 100 Liter</t>
  </si>
  <si>
    <t>Palem Putri di Polybag 150 Liter</t>
  </si>
  <si>
    <t>Palem Putri di Polybag 200 Liter</t>
  </si>
  <si>
    <t>Palem Putri di Polybag 250 Liter</t>
  </si>
  <si>
    <t>Palem raja di Polybag 100 Liter</t>
  </si>
  <si>
    <t>Palem raja di Polybag 150 Liter</t>
  </si>
  <si>
    <t>Palem raja di Polybag 200 Liter</t>
  </si>
  <si>
    <t>Palem raja di Polybag 250 Liter</t>
  </si>
  <si>
    <t>Palem sadeng di Polybag 100
Liter</t>
  </si>
  <si>
    <t>Palem sadeng di Polybag 150 Liter</t>
  </si>
  <si>
    <t>Palem sadeng di Polybag 200
Liter</t>
  </si>
  <si>
    <t>Palem Sadeng di Polybag 250
Liter</t>
  </si>
  <si>
    <t>Palem Kecil Palem Wregu</t>
  </si>
  <si>
    <t>Palem Kecil Palem Kuning</t>
  </si>
  <si>
    <t xml:space="preserve">Palem Besar Palem Ekor Tupai </t>
  </si>
  <si>
    <t>Palem ekor tupai di Polybag 150
Liter</t>
  </si>
  <si>
    <t>Palem ekor tupai di Polybag 200
Liter</t>
  </si>
  <si>
    <t>Palem ekor tupai di Polybag 250
Liter</t>
  </si>
  <si>
    <t xml:space="preserve">Palem Besar Kelapa </t>
  </si>
  <si>
    <t xml:space="preserve">Palem Besar Palem Botol </t>
  </si>
  <si>
    <t>Palem jepang di Polybag 50 Liter</t>
  </si>
  <si>
    <t>Palem jepang di Polybag 75
Liter</t>
  </si>
  <si>
    <t>Palem komodoria/
komodor/chamadorea di
Polybag 50 Liter</t>
  </si>
  <si>
    <t>Palem komodoria/
komodor/chamadorea di
Polybag 75 Liter</t>
  </si>
  <si>
    <t>Palem kuning di Polybag 50
Liter</t>
  </si>
  <si>
    <t>Palem kuning di Polybag 75
Liter</t>
  </si>
  <si>
    <t>Palem Merah/ Pinang Merah di
Polybag 50 Liter</t>
  </si>
  <si>
    <t>Palem waregu di Polybag 50
Liter</t>
  </si>
  <si>
    <t>Palem waregu di Polybag 75
Liter</t>
  </si>
  <si>
    <t>Sikas Halus/Mawar Jambe di
Polybag 50 Liter</t>
  </si>
  <si>
    <t>Sikas Halus/Mawar Jambe di
Polybag 75 Liter</t>
  </si>
  <si>
    <t>Palem Phoenix di Polybag 50
Liter</t>
  </si>
  <si>
    <t>Palem Phoenix di Polybag 75
Liter</t>
  </si>
  <si>
    <t>Palem Merah/ Pinang Merah di
Polybag 75 Liter</t>
  </si>
  <si>
    <t>Palem Besar Palem Sadeng</t>
  </si>
  <si>
    <t>Semak Alamanda di Polybag 5 Liter</t>
  </si>
  <si>
    <t xml:space="preserve">Polybag </t>
  </si>
  <si>
    <t>Semak Alamanda di Polybag 11 Liter</t>
  </si>
  <si>
    <t>Semak Alamanda di Polybag 20 Liter</t>
  </si>
  <si>
    <t>Semak Alamanda/Bunga
terompet emas di Polybag 5
Liter</t>
  </si>
  <si>
    <t>Semak Alamanda/Bunga
terompet emas di Polybag 11
Liter</t>
  </si>
  <si>
    <t>Semak Alamanda/Bunga
terompet emas di Polybag 20 Liter</t>
  </si>
  <si>
    <t>Semak Agave/lidah naga di
Polybag 11 Liter</t>
  </si>
  <si>
    <t>Semak Agave/lidah naga di
Polybag 20 Liter</t>
  </si>
  <si>
    <t>Semak Bakung Lele di Polybag
5 Liter</t>
  </si>
  <si>
    <t>Semak Bakung Lele di
Polybag 11 Liter</t>
  </si>
  <si>
    <t>Semak Bakung Jawa di
Polybag 11 Liter</t>
  </si>
  <si>
    <t>Semak Bakung Jawa di Polybag
20 Liter</t>
  </si>
  <si>
    <t>Semak Bromelia di Polybag
11 Liter</t>
  </si>
  <si>
    <t>Semak Bromelia di Polybag 20
Liter</t>
  </si>
  <si>
    <t>Semak Bugenvil/bunga kertas di
Polybag 20 Liter</t>
  </si>
  <si>
    <t>Semak Bunga Iris di Polybag 5
Liter</t>
  </si>
  <si>
    <t>Semak Bunga Terompet
Kuning di Polybag 11 Liter</t>
  </si>
  <si>
    <t>Semak Bunga Terompet Kuning di
Polybag 20 Liter</t>
  </si>
  <si>
    <t>Semak Calathea di Polybag 5
Liter</t>
  </si>
  <si>
    <t>Semak Canna di Polybag 20 Liter</t>
  </si>
  <si>
    <t>Semak Capit Udang</t>
  </si>
  <si>
    <t>Semak Cendrawasih di Polybag
5 Liter</t>
  </si>
  <si>
    <t>Semak Costus di Polybag 11
Liter</t>
  </si>
  <si>
    <t>Semak Dracaena ‘Song of
India’ di Polybag 11 Liter</t>
  </si>
  <si>
    <t>Semak Dracaena 'Song of
Jamaica' di Polybag 11 Liter</t>
  </si>
  <si>
    <t>Semak Dracaena ‘Song of India’ di
Polybag 20 Liter</t>
  </si>
  <si>
    <t>Semak Dracaena 'Song of
Jamaica' di Polybag 20 Liter</t>
  </si>
  <si>
    <t>Semak Helliconia di Polybag
11 Liter</t>
  </si>
  <si>
    <t>Semak Helliconia di Polybag 20
Liter</t>
  </si>
  <si>
    <t>Semak Honje/Kecombrang di
Polybag 11 Liter</t>
  </si>
  <si>
    <t>Semak Honje/Kecombrang di
Polybag 20 Liter</t>
  </si>
  <si>
    <t>Semak Hujan Mas di Polybag 5
Liter</t>
  </si>
  <si>
    <t>Semak Hujan Mas di Polybag
11 Liter</t>
  </si>
  <si>
    <t>Semak Hujan Mas di Polybag 20
Liter</t>
  </si>
  <si>
    <t>Semak Kacapiring
wangi/Gardenia di Polybag 5
Liter</t>
  </si>
  <si>
    <t>Semak Kaca piring di Polybag
11 Liter</t>
  </si>
  <si>
    <t>Semak Kacapiring
wangi/Gardenia di Polybag
11 Liter</t>
  </si>
  <si>
    <t>Semak Kacapiring
wangi/Gardenia di Polybag 20
Liter</t>
  </si>
  <si>
    <t>Semak Kembang sepatu di
Polybag 20 Liter</t>
  </si>
  <si>
    <t>Semak Kemuning di Polybag 5
Liter</t>
  </si>
  <si>
    <t>Semak Kana di Polybag 11
Liter</t>
  </si>
  <si>
    <t>Semak Lili Brazil di Polybag
11 Liter</t>
  </si>
  <si>
    <t>Semak Melati Putih di Polybag
5 Liter</t>
  </si>
  <si>
    <t>Semak Melati Putih di
Polybag 11 Liter</t>
  </si>
  <si>
    <t>Semak Nusa Indah di
Polybag 11 Liter</t>
  </si>
  <si>
    <t>Semak Oleander/Bunga
Mentega di Polybag 11 Liter</t>
  </si>
  <si>
    <t>Semak Oleander/Bunga Mentega
di Polybag 20 Liter</t>
  </si>
  <si>
    <t>Semak Pandan Kuning di
Polybag 5 Liter</t>
  </si>
  <si>
    <t>Semak Penda Emas di Polybag 20
Liter</t>
  </si>
  <si>
    <t>Semak Pretty Pink di Polybag 5
Liter</t>
  </si>
  <si>
    <t>Semak Pretty Pink di Polybag
11 Liter</t>
  </si>
  <si>
    <t>Semak Puring di Polybag 11
Liter</t>
  </si>
  <si>
    <t>Semak Puring di Polybag 20 Liter</t>
  </si>
  <si>
    <t>Semak Ruelia / Kencana
Ungu di Polybag 11 Liter</t>
  </si>
  <si>
    <t>Semak Sansevieria/Lidah
Mertua di Polybag 5 Liter</t>
  </si>
  <si>
    <t>Semak Sansevieria/Lidah
Mertua di Polybag 11 Liter</t>
  </si>
  <si>
    <t>Semak Soka di Polybag 11
Liter</t>
  </si>
  <si>
    <t>Semak Tabernae/Mondokaki di
Polybag 5 Liter</t>
  </si>
  <si>
    <t>Semak Tabernae di Polybag
11 Liter</t>
  </si>
  <si>
    <t>Semak Tabernac di Polybag 20
Liter</t>
  </si>
  <si>
    <t>Semak Walisongo/Umbrella
tree di Polybag 5 Liter</t>
  </si>
  <si>
    <t>Semak Walisongo/Umbrella
Tree di Polybag 11 Liter</t>
  </si>
  <si>
    <t>Semak Walisongo/Umbrella Tree
di Polybag 20 Liter</t>
  </si>
  <si>
    <t xml:space="preserve">Penutup Tanah Kacang Hias </t>
  </si>
  <si>
    <t>Penutup Tanah Kacang hias di
Polybag 0.5 Liter</t>
  </si>
  <si>
    <t>Penutup Tanah Kucai Mini di
Polybag 0.5 Liter</t>
  </si>
  <si>
    <t>Penutup Tanah Lantana di
Polybag 0.5 Liter</t>
  </si>
  <si>
    <t>Penutup Tanah Sutra bombay
di Polybag 0.5 Liter</t>
  </si>
  <si>
    <t>Penutup Tanah Widelia di
Polybag 0.5 Liter</t>
  </si>
  <si>
    <t>Rumput embun</t>
  </si>
  <si>
    <t>Rumput gajah</t>
  </si>
  <si>
    <t>Rumput Gajah Mini</t>
  </si>
  <si>
    <t>Rumput peking</t>
  </si>
  <si>
    <t xml:space="preserve">Matras Tipe I, Termasuk angkur / penguat matras </t>
  </si>
  <si>
    <t xml:space="preserve">Perekat Campuran Hydroseeding </t>
  </si>
  <si>
    <t>Bibit Vegetasi (Biji Rumput)</t>
  </si>
  <si>
    <t xml:space="preserve">Mulsa </t>
  </si>
  <si>
    <t>Pupuk anorganik *)</t>
  </si>
  <si>
    <t>Pupuk anorganik (ex: NPK)</t>
  </si>
  <si>
    <t>Pupuk anorganik cair (ex: NPK)</t>
  </si>
  <si>
    <t xml:space="preserve">Pupuk anorganik padat </t>
  </si>
  <si>
    <t>Perekat Matras
Perkuatan (Lem)</t>
  </si>
  <si>
    <t xml:space="preserve">Matras Tipe II, Termasuk angkur / penguat matras </t>
  </si>
  <si>
    <t xml:space="preserve">Matras Tipe III, Termasuk angkur / penguat matras </t>
  </si>
  <si>
    <t>Bibit Vegetasi (Biji Legume Crop Cover/LCC)</t>
  </si>
  <si>
    <t xml:space="preserve">Material Organik </t>
  </si>
  <si>
    <t xml:space="preserve">Kapur </t>
  </si>
  <si>
    <t xml:space="preserve">Pasir </t>
  </si>
  <si>
    <t xml:space="preserve">sulfur </t>
  </si>
  <si>
    <t>Air Bersih</t>
  </si>
  <si>
    <t xml:space="preserve">liter </t>
  </si>
  <si>
    <t>Fungisida/Insektisida</t>
  </si>
  <si>
    <t>Cat Minyak</t>
  </si>
  <si>
    <t>Tong Sampah 2 tabung</t>
  </si>
  <si>
    <t>Besi Hollow 30x60</t>
  </si>
  <si>
    <t xml:space="preserve">Bambu* dia. 3-5 cm </t>
  </si>
  <si>
    <t xml:space="preserve">Bambu* dia. 5-8 cm </t>
  </si>
  <si>
    <t xml:space="preserve">bambu* dia. 8-10 cm </t>
  </si>
  <si>
    <t xml:space="preserve">bambu* dia. 10-12 cm </t>
  </si>
  <si>
    <t xml:space="preserve">Tali/pengikat sejenisnya </t>
  </si>
  <si>
    <t>III</t>
  </si>
  <si>
    <t>SEWA PERALATAN</t>
  </si>
  <si>
    <t>Alat  bantu</t>
  </si>
  <si>
    <t>Asphalt Distributor</t>
  </si>
  <si>
    <t>jam</t>
  </si>
  <si>
    <t>Asphalt  finisher</t>
  </si>
  <si>
    <t>Asphalt  liquid mixer 1000 ℓ</t>
  </si>
  <si>
    <t>Asphalt  mixing plant</t>
  </si>
  <si>
    <t>Asphalt  sprayer 850 ℓ</t>
  </si>
  <si>
    <t>Bender baja beton</t>
  </si>
  <si>
    <t>Blending equipment</t>
  </si>
  <si>
    <t>Bore pile machine</t>
  </si>
  <si>
    <t>Bulldozer 100-150 HP</t>
  </si>
  <si>
    <t>Chain saw</t>
  </si>
  <si>
    <t>Chainsaw 20”; 5,5HP</t>
  </si>
  <si>
    <t>Chainsaw 30”; 7,5HP</t>
  </si>
  <si>
    <t>Cold milling machine</t>
  </si>
  <si>
    <t>Colt T-120 (D); R-Blk. 4; 12 m3</t>
  </si>
  <si>
    <t>Compressor 4000-6500 ℓ\m</t>
  </si>
  <si>
    <t>Compressor bor</t>
  </si>
  <si>
    <t>Concrete mixer 350 ℓ</t>
  </si>
  <si>
    <t>Concrete mixer 500 ℓ</t>
  </si>
  <si>
    <t>Concrete mixer truck 5 m³</t>
  </si>
  <si>
    <t>Concrete pan mixer</t>
  </si>
  <si>
    <t>Concrete pump</t>
  </si>
  <si>
    <t>Concrete slip form paver</t>
  </si>
  <si>
    <t>Concrete vibrator</t>
  </si>
  <si>
    <t>Crane on track 35 ton</t>
  </si>
  <si>
    <t>Crane Truck 3 ton; Winch 5 Ton</t>
  </si>
  <si>
    <t>Crane on wheel 10-15 ton</t>
  </si>
  <si>
    <t>Cutter baja beton</t>
  </si>
  <si>
    <t>Cutting machine</t>
  </si>
  <si>
    <t>Depresiasi alat  compressor</t>
  </si>
  <si>
    <t>Depresiasi mesin pompa uji</t>
  </si>
  <si>
    <t>Depresiasi peralatan pemboran</t>
  </si>
  <si>
    <t>Dump truck 1</t>
  </si>
  <si>
    <t>Dump truck 2</t>
  </si>
  <si>
    <t>Dump truck 3</t>
  </si>
  <si>
    <t>Dump truck 20 ton</t>
  </si>
  <si>
    <t>Dump truck 3,5 ton</t>
  </si>
  <si>
    <t>Dump truck 40 ton</t>
  </si>
  <si>
    <t>Dump truck 7,5 ton</t>
  </si>
  <si>
    <t>Pick up L300</t>
  </si>
  <si>
    <t>Fuso (D); R-Blk. 8; 35 m3</t>
  </si>
  <si>
    <t>Flat deck truck 7 ton</t>
  </si>
  <si>
    <t xml:space="preserve">Hoist 1 ton </t>
  </si>
  <si>
    <t>Excavator 95 HP</t>
  </si>
  <si>
    <t xml:space="preserve">Excavator </t>
  </si>
  <si>
    <t xml:space="preserve">Hari </t>
  </si>
  <si>
    <t>Excavator 80-140 HP</t>
  </si>
  <si>
    <t>Flat  bed truck 3-4 m³</t>
  </si>
  <si>
    <t>Generator set  135 KVA</t>
  </si>
  <si>
    <t>Jack hammer</t>
  </si>
  <si>
    <t>Jack hammer + genset</t>
  </si>
  <si>
    <t xml:space="preserve">Sewa Genset </t>
  </si>
  <si>
    <t>Logging</t>
  </si>
  <si>
    <t>Mata bor auger 20 cm</t>
  </si>
  <si>
    <t>Mata bor auger 30 cm</t>
  </si>
  <si>
    <t>Mata bor auger 40 cm</t>
  </si>
  <si>
    <t>Mata bor auger 50 cm</t>
  </si>
  <si>
    <t>Mesin bor</t>
  </si>
  <si>
    <t>Mesin gilas  2 roda 6 - 10 ton</t>
  </si>
  <si>
    <t>Mesin gilas  3 roda 6 - 10 ton</t>
  </si>
  <si>
    <t>Mesin gilas  roda karet  8 - 10 ton</t>
  </si>
  <si>
    <t>Mesin kerek</t>
  </si>
  <si>
    <t>Mesin poles</t>
  </si>
  <si>
    <t>Mesin trowel</t>
  </si>
  <si>
    <t>Mesin Gendong</t>
  </si>
  <si>
    <t xml:space="preserve">Jam </t>
  </si>
  <si>
    <t>Motor grader &gt;100 HP</t>
  </si>
  <si>
    <t>Pedestrian Roller</t>
  </si>
  <si>
    <t>Pile driver +  hammer 2,5 ton</t>
  </si>
  <si>
    <t>Pneumatic  tire roller 8-10 ton</t>
  </si>
  <si>
    <t>Pompa beton ∅ 2,5", 75KW; 120 bar, T= 50 m'/H=80 m’</t>
  </si>
  <si>
    <t>Pompa beton ∅ 2,5",20 KW; 20 bar, T = 18 m'</t>
  </si>
  <si>
    <t>Pompa beton ∅ 3",140KW; 180 bar, T = 75 m' / H=150 m'</t>
  </si>
  <si>
    <t>Pompa beton φ 1,5";5 KW; 8 bar; T = 5 m'</t>
  </si>
  <si>
    <t>Pompa injeksi</t>
  </si>
  <si>
    <t>Pompa tangan</t>
  </si>
  <si>
    <t>Road Marking Machine</t>
  </si>
  <si>
    <t>Sewa alat cutting machine</t>
  </si>
  <si>
    <t>Sewa alat las</t>
  </si>
  <si>
    <t xml:space="preserve">Alat las listrik </t>
  </si>
  <si>
    <t>Alat las listrik 150 A</t>
  </si>
  <si>
    <t>Alat las listrik 250 A</t>
  </si>
  <si>
    <t>Alat las listrik 350 A</t>
  </si>
  <si>
    <t>Alat las listrik 500 A</t>
  </si>
  <si>
    <t>Mesin Las Gotextile</t>
  </si>
  <si>
    <t xml:space="preserve">Kunci Momen </t>
  </si>
  <si>
    <t>Sewa bor horisontal</t>
  </si>
  <si>
    <t>Sewa Scaffolding :</t>
  </si>
  <si>
    <t>- ScaffoldingPipe brancing 3 m</t>
  </si>
  <si>
    <t>bulan</t>
  </si>
  <si>
    <t>- Scaffolding Pipe brancing 6 m</t>
  </si>
  <si>
    <t>Sewa Scaffolding</t>
  </si>
  <si>
    <t xml:space="preserve">Sewa Gondola </t>
  </si>
  <si>
    <t>Sewa Pipe Support</t>
  </si>
  <si>
    <t>Stamper</t>
  </si>
  <si>
    <t xml:space="preserve">Sprayer Gendong </t>
  </si>
  <si>
    <t xml:space="preserve">Stamper Kodok 150 kg </t>
  </si>
  <si>
    <t xml:space="preserve">Stamper Kuda </t>
  </si>
  <si>
    <t xml:space="preserve">Stamper D-Drum </t>
  </si>
  <si>
    <t>Stamper Smooth_Drum</t>
  </si>
  <si>
    <t>Stang bor, batang bor dia. 1-1/4"</t>
  </si>
  <si>
    <t>Stone crusher</t>
  </si>
  <si>
    <t>Tandem roller 6-8 ton</t>
  </si>
  <si>
    <t>Theodolit</t>
  </si>
  <si>
    <t>Three wheel roller</t>
  </si>
  <si>
    <t xml:space="preserve">P. Tyre Roller </t>
  </si>
  <si>
    <t>Tower crane arm 30 m</t>
  </si>
  <si>
    <t xml:space="preserve">Crane </t>
  </si>
  <si>
    <t xml:space="preserve">Sewa Crane kapasitas 1 ton </t>
  </si>
  <si>
    <t>Transportasi peralatan drailler</t>
  </si>
  <si>
    <t>Vibratory plate tamper</t>
  </si>
  <si>
    <t>Vibratory roller 1 ton</t>
  </si>
  <si>
    <t>Vibratory roller 5-8 ton</t>
  </si>
  <si>
    <t>Water pump 70-100 mm</t>
  </si>
  <si>
    <t>Water tanker truck 3000-4000 ℓ</t>
  </si>
  <si>
    <t xml:space="preserve">Water Truck </t>
  </si>
  <si>
    <t>Waterpass</t>
  </si>
  <si>
    <t>Wheel loader</t>
  </si>
  <si>
    <t xml:space="preserve">AMP </t>
  </si>
  <si>
    <t xml:space="preserve">Asphalt Finisher </t>
  </si>
  <si>
    <t>Wheel loader 1,0-1,6 m³</t>
  </si>
  <si>
    <t>Alat  pancang Hammer 0.5 ton</t>
  </si>
  <si>
    <t>Alat Pancang Mini Pile</t>
  </si>
  <si>
    <t>Alat pancang Hidraulik Pile Driver</t>
  </si>
  <si>
    <t>Alat  penyambung tiang pancang dolken</t>
  </si>
  <si>
    <t>Alat Penyambung Balok</t>
  </si>
  <si>
    <t xml:space="preserve">Alat Penyambung Beton </t>
  </si>
  <si>
    <t>Alat Penyambung Beton dia. 30 cm</t>
  </si>
  <si>
    <t>Alat Penyambung Beton dia. 35 cm</t>
  </si>
  <si>
    <t>Alat sambung kayu terbuat dari baja</t>
  </si>
  <si>
    <t>Sepatu pancang</t>
  </si>
  <si>
    <t>Sepatu pancang beton</t>
  </si>
  <si>
    <t>Sepatu Pancang dia. 30 cm</t>
  </si>
  <si>
    <t>Sepatu Pancang dia. 35 cm</t>
  </si>
  <si>
    <t>Crawler Crane 10 Ton + Ladder 14 ton</t>
  </si>
  <si>
    <t>Crawler Crane 20 Ton + Ladder 14 ton</t>
  </si>
  <si>
    <t>Driver Hammer</t>
  </si>
  <si>
    <t>Driver Hammer 2 ton</t>
  </si>
  <si>
    <t xml:space="preserve">Sewa Mesin Hydroseeding 2000L </t>
  </si>
  <si>
    <t>Angkur/mur/baut</t>
  </si>
  <si>
    <t xml:space="preserve">Angkur M16 </t>
  </si>
  <si>
    <t>Beton Neser</t>
  </si>
  <si>
    <t>BP (Biaya Penyambungan)</t>
  </si>
  <si>
    <t>VA</t>
  </si>
  <si>
    <t>Cutting stiker +  pasang</t>
  </si>
  <si>
    <t>Gergaji besi</t>
  </si>
  <si>
    <t>GIL  (Gambar Instalasi Langganan), administrasi pemasangan</t>
  </si>
  <si>
    <t>Linggis (baja keras)</t>
  </si>
  <si>
    <t>Mesin bor (jam)</t>
  </si>
  <si>
    <t>Molen beton mixer 350 liter</t>
  </si>
  <si>
    <t>Mesin Molen 1m3</t>
  </si>
  <si>
    <t>Pahat beton (baja keras)</t>
  </si>
  <si>
    <t>Palu/godam (baja keras)</t>
  </si>
  <si>
    <t>Perapian lokasi kerja</t>
  </si>
  <si>
    <t>ls</t>
  </si>
  <si>
    <t>Pisau Gerinda</t>
  </si>
  <si>
    <t>Pompa Air,   diesel 10 KW</t>
  </si>
  <si>
    <t>Pompa Air,   diesel 20 KW</t>
  </si>
  <si>
    <t>Pompa Air,   diesel 5 KW</t>
  </si>
  <si>
    <t>Pompa Sedot</t>
  </si>
  <si>
    <t xml:space="preserve">Pompa Sedot Pasir </t>
  </si>
  <si>
    <t xml:space="preserve">Pompa Lumpur </t>
  </si>
  <si>
    <t xml:space="preserve">Mobil Sedot Lumpur </t>
  </si>
  <si>
    <t>Jam</t>
  </si>
  <si>
    <t xml:space="preserve">Boom Lift </t>
  </si>
  <si>
    <t>Pompa submesible</t>
  </si>
  <si>
    <t>Pressure grout machine 30 KW; 60 -75 bar (D)</t>
  </si>
  <si>
    <t>Sewa alat  cutting machine</t>
  </si>
  <si>
    <t>Sewa bekisting</t>
  </si>
  <si>
    <t>Sewa bekisting rigid</t>
  </si>
  <si>
    <t>Sewa mobil crane</t>
  </si>
  <si>
    <t>Sewa mobil crane kapasitas  15 Ton</t>
  </si>
  <si>
    <t>Sewa mobil crane kapasitas  25 Ton</t>
  </si>
  <si>
    <t>Sewa mobil crane kapasitas  5 Ton</t>
  </si>
  <si>
    <t>Sewa tangga 7 meter</t>
  </si>
  <si>
    <t xml:space="preserve">Tandon Air kap. 2 m3 </t>
  </si>
  <si>
    <t xml:space="preserve">Tangga Service </t>
  </si>
  <si>
    <t>SLO (Sertifikat  Laik Operasi)</t>
  </si>
  <si>
    <t>Tripod tinggi 5 m</t>
  </si>
  <si>
    <t>Truck Crane 5 ton</t>
  </si>
  <si>
    <t>UJL  (Uang Jaminan Langganan)</t>
  </si>
  <si>
    <t>Sewa casing PVC dia. 20 cm</t>
  </si>
  <si>
    <t>Sewa casing pipa baja dia. 30 cm</t>
  </si>
  <si>
    <t>Sewa casing pipa baja dia. 40 cm</t>
  </si>
  <si>
    <t>Sewa casing pipa baja dia. 50 cm</t>
  </si>
  <si>
    <t>Pengelasan</t>
  </si>
  <si>
    <t>cm</t>
  </si>
  <si>
    <t xml:space="preserve">Baja Strip </t>
  </si>
  <si>
    <t>LAIN-LAIN</t>
  </si>
  <si>
    <t>Sewa Lahan</t>
  </si>
  <si>
    <t>FORM ANALISA HARGA SATUAN ALAT</t>
  </si>
  <si>
    <t>Uraian</t>
  </si>
  <si>
    <t>Koefisien/Rumus</t>
  </si>
  <si>
    <t>Nilai (Rp)</t>
  </si>
  <si>
    <t>Harga Pokok Alat</t>
  </si>
  <si>
    <t>A</t>
  </si>
  <si>
    <t>Rp</t>
  </si>
  <si>
    <t>Umur Ekonomis</t>
  </si>
  <si>
    <t>W</t>
  </si>
  <si>
    <t>Tahun</t>
  </si>
  <si>
    <t>Jam Kerja Per Tahun</t>
  </si>
  <si>
    <t>W_jam</t>
  </si>
  <si>
    <t>Biaya Pasti (Penyusutan)</t>
  </si>
  <si>
    <t>E</t>
  </si>
  <si>
    <t>Biaya Operasi (BBM, Pelumas, Perawatan)</t>
  </si>
  <si>
    <t>K</t>
  </si>
  <si>
    <t>Estimasi Manual</t>
  </si>
  <si>
    <t>Total Biaya Sewa per Jam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</si>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</sst>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;(&quot;-Rp&quot;#,##0);&quot;-&quot;"/>
  </numFmts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3542"/>
        <bgColor rgb="FF2F3542"/>
      </patternFill>
    </fill>
    <fill>
      <patternFill patternType="solid">
        <fgColor rgb="FFE8F0FE"/>
        <bgColor rgb="FFE8F0FE"/>
      </patternFill>
    </fill>
    <fill>
      <patternFill patternType="solid">
        <fgColor rgb="FF10AC84"/>
        <bgColor rgb="FF10AC84"/>
      </patternFill>
    </fill>
    <fill>
      <patternFill patternType="solid">
        <fgColor rgb="FFD2D7DF"/>
        <bgColor rgb="FFD2D7DF"/>
      </patternFill>
    </fill>
  </fills>
  <borders count="3">
    <border/>
    <border>
      <left style="thin">
        <color rgb="FFCED6E0"/>
      </left>
      <right style="thin">
        <color rgb="FFCED6E0"/>
      </right>
      <top style="thin">
        <color rgb="FFCED6E0"/>
      </top>
      <bottom style="thin">
        <color rgb="FFCED6E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0" fontId="4" numFmtId="0" xfId="0" applyBorder="1" applyFont="1"/>
    <xf borderId="1" fillId="3" fontId="4" numFmtId="0" xfId="0" applyBorder="1" applyFill="1" applyFont="1"/>
    <xf borderId="1" fillId="0" fontId="4" numFmtId="164" xfId="0" applyBorder="1" applyFont="1" applyNumberFormat="1"/>
    <xf borderId="0" fillId="0" fontId="5" numFmtId="0" xfId="0" applyAlignment="1" applyFont="1">
      <alignment horizontal="right"/>
    </xf>
    <xf borderId="2" fillId="4" fontId="5" numFmtId="164" xfId="0" applyBorder="1" applyFill="1" applyFont="1" applyNumberFormat="1"/>
    <xf borderId="1" fillId="5" fontId="4" numFmtId="0" xfId="0" applyBorder="1" applyFill="1" applyFont="1"/>
    <xf borderId="1" fillId="5" fontId="5" numFmtId="0" xfId="0" applyBorder="1" applyFont="1"/>
    <xf borderId="2" fillId="5" fontId="4" numFmtId="0" xfId="0" applyBorder="1" applyFont="1"/>
    <xf borderId="2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" width="45.0"/>
    <col customWidth="1" min="4" max="8" width="8.71"/>
    <col customWidth="1" min="9" max="9" width="18.0"/>
    <col customWidth="1" min="10" max="10" width="20.0"/>
    <col customWidth="1" min="11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>
        <v>1.0</v>
      </c>
      <c r="B5" s="5" t="s">
        <v>12</v>
      </c>
      <c r="C5" s="4" t="str">
        <f>IF(ISBLANK(B5),"",VLOOKUP(B5,Daftar_AHSP!$B$4:$H$2596,2,FALSE))</f>
        <v>Pembuatan 1 m’ pagar sementara dari kayu tinggi 2 meter</v>
      </c>
      <c r="D5" s="4" t="str">
        <f>IF(ISBLANK(B5),"",VLOOKUP(B5,Daftar_AHSP!$B$4:$H$2596,3,FALSE))</f>
        <v>m'</v>
      </c>
      <c r="E5" s="5">
        <v>100.0</v>
      </c>
      <c r="F5" s="6">
        <f>IF(ISBLANK(B5),0,VLOOKUP(B5,Daftar_AHSP!$B$4:$H$2596,4,FALSE)*E5)</f>
        <v>12760000</v>
      </c>
      <c r="G5" s="6">
        <f>IF(ISBLANK(B5),0,VLOOKUP(B5,Daftar_AHSP!$B$4:$H$2596,5,FALSE)*E5)</f>
        <v>58821563</v>
      </c>
      <c r="H5" s="6">
        <f>IF(ISBLANK(B5),0,VLOOKUP(B5,Daftar_AHSP!$B$4:$H$2596,6,FALSE)*E5)</f>
        <v>0</v>
      </c>
      <c r="I5" s="6">
        <f>IF(ISBLANK(B5),0,VLOOKUP(B5,Daftar_AHSP!$B$4:$H$2596,7,FALSE))</f>
        <v>787397</v>
      </c>
      <c r="J5" s="6">
        <f t="shared" ref="J5:J54" si="1">IF(ISNUMBER(E5),E5*I5,0)</f>
        <v>78739700</v>
      </c>
    </row>
    <row r="6">
      <c r="A6" s="4">
        <v>2.0</v>
      </c>
      <c r="B6" s="5" t="s">
        <v>13</v>
      </c>
      <c r="C6" s="4" t="str">
        <f>IF(ISBLANK(B6),"",VLOOKUP(B6,Daftar_AHSP!$B$4:$H$2596,2,FALSE))</f>
        <v>Penggalian 1 m3 tanah biasa sedalam 0 s.d. 1 m untuk volume s.d. 200 m3 secara manual</v>
      </c>
      <c r="D6" s="4" t="str">
        <f>IF(ISBLANK(B6),"",VLOOKUP(B6,Daftar_AHSP!$B$4:$H$2596,3,FALSE))</f>
        <v>m3</v>
      </c>
      <c r="E6" s="5">
        <v>45.0</v>
      </c>
      <c r="F6" s="6">
        <f>IF(ISBLANK(B6),0,VLOOKUP(B6,Daftar_AHSP!$B$4:$H$2596,4,FALSE)*E6)</f>
        <v>0</v>
      </c>
      <c r="G6" s="6">
        <f>IF(ISBLANK(B6),0,VLOOKUP(B6,Daftar_AHSP!$B$4:$H$2596,5,FALSE)*E6)</f>
        <v>0</v>
      </c>
      <c r="H6" s="6">
        <f>IF(ISBLANK(B6),0,VLOOKUP(B6,Daftar_AHSP!$B$4:$H$2596,6,FALSE)*E6)</f>
        <v>0</v>
      </c>
      <c r="I6" s="6">
        <f>IF(ISBLANK(B6),0,VLOOKUP(B6,Daftar_AHSP!$B$4:$H$2596,7,FALSE))</f>
        <v>90860</v>
      </c>
      <c r="J6" s="6">
        <f t="shared" si="1"/>
        <v>4088700</v>
      </c>
    </row>
    <row r="7">
      <c r="A7" s="4">
        <v>3.0</v>
      </c>
      <c r="B7" s="5"/>
      <c r="C7" s="4" t="str">
        <f>IF(ISBLANK(B7),"",VLOOKUP(B7,Daftar_AHSP!$B$4:$H$2596,2,FALSE))</f>
        <v/>
      </c>
      <c r="D7" s="4" t="str">
        <f>IF(ISBLANK(B7),"",VLOOKUP(B7,Daftar_AHSP!$B$4:$H$2596,3,FALSE))</f>
        <v/>
      </c>
      <c r="E7" s="5"/>
      <c r="F7" s="6">
        <f>IF(ISBLANK(B7),0,VLOOKUP(B7,Daftar_AHSP!$B$4:$H$2596,4,FALSE)*E7)</f>
        <v>0</v>
      </c>
      <c r="G7" s="6">
        <f>IF(ISBLANK(B7),0,VLOOKUP(B7,Daftar_AHSP!$B$4:$H$2596,5,FALSE)*E7)</f>
        <v>0</v>
      </c>
      <c r="H7" s="6">
        <f>IF(ISBLANK(B7),0,VLOOKUP(B7,Daftar_AHSP!$B$4:$H$2596,6,FALSE)*E7)</f>
        <v>0</v>
      </c>
      <c r="I7" s="6">
        <f>IF(ISBLANK(B7),0,VLOOKUP(B7,Daftar_AHSP!$B$4:$H$2596,7,FALSE))</f>
        <v>0</v>
      </c>
      <c r="J7" s="6">
        <f t="shared" si="1"/>
        <v>0</v>
      </c>
    </row>
    <row r="8">
      <c r="A8" s="4">
        <v>4.0</v>
      </c>
      <c r="B8" s="5"/>
      <c r="C8" s="4" t="str">
        <f>IF(ISBLANK(B8),"",VLOOKUP(B8,Daftar_AHSP!$B$4:$H$2596,2,FALSE))</f>
        <v/>
      </c>
      <c r="D8" s="4" t="str">
        <f>IF(ISBLANK(B8),"",VLOOKUP(B8,Daftar_AHSP!$B$4:$H$2596,3,FALSE))</f>
        <v/>
      </c>
      <c r="E8" s="5"/>
      <c r="F8" s="6">
        <f>IF(ISBLANK(B8),0,VLOOKUP(B8,Daftar_AHSP!$B$4:$H$2596,4,FALSE)*E8)</f>
        <v>0</v>
      </c>
      <c r="G8" s="6">
        <f>IF(ISBLANK(B8),0,VLOOKUP(B8,Daftar_AHSP!$B$4:$H$2596,5,FALSE)*E8)</f>
        <v>0</v>
      </c>
      <c r="H8" s="6">
        <f>IF(ISBLANK(B8),0,VLOOKUP(B8,Daftar_AHSP!$B$4:$H$2596,6,FALSE)*E8)</f>
        <v>0</v>
      </c>
      <c r="I8" s="6">
        <f>IF(ISBLANK(B8),0,VLOOKUP(B8,Daftar_AHSP!$B$4:$H$2596,7,FALSE))</f>
        <v>0</v>
      </c>
      <c r="J8" s="6">
        <f t="shared" si="1"/>
        <v>0</v>
      </c>
    </row>
    <row r="9">
      <c r="A9" s="4">
        <v>5.0</v>
      </c>
      <c r="B9" s="5"/>
      <c r="C9" s="4" t="str">
        <f>IF(ISBLANK(B9),"",VLOOKUP(B9,Daftar_AHSP!$B$4:$H$2596,2,FALSE))</f>
        <v/>
      </c>
      <c r="D9" s="4" t="str">
        <f>IF(ISBLANK(B9),"",VLOOKUP(B9,Daftar_AHSP!$B$4:$H$2596,3,FALSE))</f>
        <v/>
      </c>
      <c r="E9" s="5"/>
      <c r="F9" s="6">
        <f>IF(ISBLANK(B9),0,VLOOKUP(B9,Daftar_AHSP!$B$4:$H$2596,4,FALSE)*E9)</f>
        <v>0</v>
      </c>
      <c r="G9" s="6">
        <f>IF(ISBLANK(B9),0,VLOOKUP(B9,Daftar_AHSP!$B$4:$H$2596,5,FALSE)*E9)</f>
        <v>0</v>
      </c>
      <c r="H9" s="6">
        <f>IF(ISBLANK(B9),0,VLOOKUP(B9,Daftar_AHSP!$B$4:$H$2596,6,FALSE)*E9)</f>
        <v>0</v>
      </c>
      <c r="I9" s="6">
        <f>IF(ISBLANK(B9),0,VLOOKUP(B9,Daftar_AHSP!$B$4:$H$2596,7,FALSE))</f>
        <v>0</v>
      </c>
      <c r="J9" s="6">
        <f t="shared" si="1"/>
        <v>0</v>
      </c>
    </row>
    <row r="10">
      <c r="A10" s="4">
        <v>6.0</v>
      </c>
      <c r="B10" s="5"/>
      <c r="C10" s="4" t="str">
        <f>IF(ISBLANK(B10),"",VLOOKUP(B10,Daftar_AHSP!$B$4:$H$2596,2,FALSE))</f>
        <v/>
      </c>
      <c r="D10" s="4" t="str">
        <f>IF(ISBLANK(B10),"",VLOOKUP(B10,Daftar_AHSP!$B$4:$H$2596,3,FALSE))</f>
        <v/>
      </c>
      <c r="E10" s="5"/>
      <c r="F10" s="6">
        <f>IF(ISBLANK(B10),0,VLOOKUP(B10,Daftar_AHSP!$B$4:$H$2596,4,FALSE)*E10)</f>
        <v>0</v>
      </c>
      <c r="G10" s="6">
        <f>IF(ISBLANK(B10),0,VLOOKUP(B10,Daftar_AHSP!$B$4:$H$2596,5,FALSE)*E10)</f>
        <v>0</v>
      </c>
      <c r="H10" s="6">
        <f>IF(ISBLANK(B10),0,VLOOKUP(B10,Daftar_AHSP!$B$4:$H$2596,6,FALSE)*E10)</f>
        <v>0</v>
      </c>
      <c r="I10" s="6">
        <f>IF(ISBLANK(B10),0,VLOOKUP(B10,Daftar_AHSP!$B$4:$H$2596,7,FALSE))</f>
        <v>0</v>
      </c>
      <c r="J10" s="6">
        <f t="shared" si="1"/>
        <v>0</v>
      </c>
    </row>
    <row r="11">
      <c r="A11" s="4">
        <v>7.0</v>
      </c>
      <c r="B11" s="5"/>
      <c r="C11" s="4" t="str">
        <f>IF(ISBLANK(B11),"",VLOOKUP(B11,Daftar_AHSP!$B$4:$H$2596,2,FALSE))</f>
        <v/>
      </c>
      <c r="D11" s="4" t="str">
        <f>IF(ISBLANK(B11),"",VLOOKUP(B11,Daftar_AHSP!$B$4:$H$2596,3,FALSE))</f>
        <v/>
      </c>
      <c r="E11" s="5"/>
      <c r="F11" s="6">
        <f>IF(ISBLANK(B11),0,VLOOKUP(B11,Daftar_AHSP!$B$4:$H$2596,4,FALSE)*E11)</f>
        <v>0</v>
      </c>
      <c r="G11" s="6">
        <f>IF(ISBLANK(B11),0,VLOOKUP(B11,Daftar_AHSP!$B$4:$H$2596,5,FALSE)*E11)</f>
        <v>0</v>
      </c>
      <c r="H11" s="6">
        <f>IF(ISBLANK(B11),0,VLOOKUP(B11,Daftar_AHSP!$B$4:$H$2596,6,FALSE)*E11)</f>
        <v>0</v>
      </c>
      <c r="I11" s="6">
        <f>IF(ISBLANK(B11),0,VLOOKUP(B11,Daftar_AHSP!$B$4:$H$2596,7,FALSE))</f>
        <v>0</v>
      </c>
      <c r="J11" s="6">
        <f t="shared" si="1"/>
        <v>0</v>
      </c>
    </row>
    <row r="12">
      <c r="A12" s="4">
        <v>8.0</v>
      </c>
      <c r="B12" s="5"/>
      <c r="C12" s="4" t="str">
        <f>IF(ISBLANK(B12),"",VLOOKUP(B12,Daftar_AHSP!$B$4:$H$2596,2,FALSE))</f>
        <v/>
      </c>
      <c r="D12" s="4" t="str">
        <f>IF(ISBLANK(B12),"",VLOOKUP(B12,Daftar_AHSP!$B$4:$H$2596,3,FALSE))</f>
        <v/>
      </c>
      <c r="E12" s="5"/>
      <c r="F12" s="6">
        <f>IF(ISBLANK(B12),0,VLOOKUP(B12,Daftar_AHSP!$B$4:$H$2596,4,FALSE)*E12)</f>
        <v>0</v>
      </c>
      <c r="G12" s="6">
        <f>IF(ISBLANK(B12),0,VLOOKUP(B12,Daftar_AHSP!$B$4:$H$2596,5,FALSE)*E12)</f>
        <v>0</v>
      </c>
      <c r="H12" s="6">
        <f>IF(ISBLANK(B12),0,VLOOKUP(B12,Daftar_AHSP!$B$4:$H$2596,6,FALSE)*E12)</f>
        <v>0</v>
      </c>
      <c r="I12" s="6">
        <f>IF(ISBLANK(B12),0,VLOOKUP(B12,Daftar_AHSP!$B$4:$H$2596,7,FALSE))</f>
        <v>0</v>
      </c>
      <c r="J12" s="6">
        <f t="shared" si="1"/>
        <v>0</v>
      </c>
    </row>
    <row r="13">
      <c r="A13" s="4">
        <v>9.0</v>
      </c>
      <c r="B13" s="5"/>
      <c r="C13" s="4" t="str">
        <f>IF(ISBLANK(B13),"",VLOOKUP(B13,Daftar_AHSP!$B$4:$H$2596,2,FALSE))</f>
        <v/>
      </c>
      <c r="D13" s="4" t="str">
        <f>IF(ISBLANK(B13),"",VLOOKUP(B13,Daftar_AHSP!$B$4:$H$2596,3,FALSE))</f>
        <v/>
      </c>
      <c r="E13" s="5"/>
      <c r="F13" s="6">
        <f>IF(ISBLANK(B13),0,VLOOKUP(B13,Daftar_AHSP!$B$4:$H$2596,4,FALSE)*E13)</f>
        <v>0</v>
      </c>
      <c r="G13" s="6">
        <f>IF(ISBLANK(B13),0,VLOOKUP(B13,Daftar_AHSP!$B$4:$H$2596,5,FALSE)*E13)</f>
        <v>0</v>
      </c>
      <c r="H13" s="6">
        <f>IF(ISBLANK(B13),0,VLOOKUP(B13,Daftar_AHSP!$B$4:$H$2596,6,FALSE)*E13)</f>
        <v>0</v>
      </c>
      <c r="I13" s="6">
        <f>IF(ISBLANK(B13),0,VLOOKUP(B13,Daftar_AHSP!$B$4:$H$2596,7,FALSE))</f>
        <v>0</v>
      </c>
      <c r="J13" s="6">
        <f t="shared" si="1"/>
        <v>0</v>
      </c>
    </row>
    <row r="14">
      <c r="A14" s="4">
        <v>10.0</v>
      </c>
      <c r="B14" s="5"/>
      <c r="C14" s="4" t="str">
        <f>IF(ISBLANK(B14),"",VLOOKUP(B14,Daftar_AHSP!$B$4:$H$2596,2,FALSE))</f>
        <v/>
      </c>
      <c r="D14" s="4" t="str">
        <f>IF(ISBLANK(B14),"",VLOOKUP(B14,Daftar_AHSP!$B$4:$H$2596,3,FALSE))</f>
        <v/>
      </c>
      <c r="E14" s="5"/>
      <c r="F14" s="6">
        <f>IF(ISBLANK(B14),0,VLOOKUP(B14,Daftar_AHSP!$B$4:$H$2596,4,FALSE)*E14)</f>
        <v>0</v>
      </c>
      <c r="G14" s="6">
        <f>IF(ISBLANK(B14),0,VLOOKUP(B14,Daftar_AHSP!$B$4:$H$2596,5,FALSE)*E14)</f>
        <v>0</v>
      </c>
      <c r="H14" s="6">
        <f>IF(ISBLANK(B14),0,VLOOKUP(B14,Daftar_AHSP!$B$4:$H$2596,6,FALSE)*E14)</f>
        <v>0</v>
      </c>
      <c r="I14" s="6">
        <f>IF(ISBLANK(B14),0,VLOOKUP(B14,Daftar_AHSP!$B$4:$H$2596,7,FALSE))</f>
        <v>0</v>
      </c>
      <c r="J14" s="6">
        <f t="shared" si="1"/>
        <v>0</v>
      </c>
    </row>
    <row r="15">
      <c r="A15" s="4">
        <v>11.0</v>
      </c>
      <c r="B15" s="5"/>
      <c r="C15" s="4" t="str">
        <f>IF(ISBLANK(B15),"",VLOOKUP(B15,Daftar_AHSP!$B$4:$H$2596,2,FALSE))</f>
        <v/>
      </c>
      <c r="D15" s="4" t="str">
        <f>IF(ISBLANK(B15),"",VLOOKUP(B15,Daftar_AHSP!$B$4:$H$2596,3,FALSE))</f>
        <v/>
      </c>
      <c r="E15" s="5"/>
      <c r="F15" s="6">
        <f>IF(ISBLANK(B15),0,VLOOKUP(B15,Daftar_AHSP!$B$4:$H$2596,4,FALSE)*E15)</f>
        <v>0</v>
      </c>
      <c r="G15" s="6">
        <f>IF(ISBLANK(B15),0,VLOOKUP(B15,Daftar_AHSP!$B$4:$H$2596,5,FALSE)*E15)</f>
        <v>0</v>
      </c>
      <c r="H15" s="6">
        <f>IF(ISBLANK(B15),0,VLOOKUP(B15,Daftar_AHSP!$B$4:$H$2596,6,FALSE)*E15)</f>
        <v>0</v>
      </c>
      <c r="I15" s="6">
        <f>IF(ISBLANK(B15),0,VLOOKUP(B15,Daftar_AHSP!$B$4:$H$2596,7,FALSE))</f>
        <v>0</v>
      </c>
      <c r="J15" s="6">
        <f t="shared" si="1"/>
        <v>0</v>
      </c>
    </row>
    <row r="16">
      <c r="A16" s="4">
        <v>12.0</v>
      </c>
      <c r="B16" s="5"/>
      <c r="C16" s="4" t="str">
        <f>IF(ISBLANK(B16),"",VLOOKUP(B16,Daftar_AHSP!$B$4:$H$2596,2,FALSE))</f>
        <v/>
      </c>
      <c r="D16" s="4" t="str">
        <f>IF(ISBLANK(B16),"",VLOOKUP(B16,Daftar_AHSP!$B$4:$H$2596,3,FALSE))</f>
        <v/>
      </c>
      <c r="E16" s="5"/>
      <c r="F16" s="6">
        <f>IF(ISBLANK(B16),0,VLOOKUP(B16,Daftar_AHSP!$B$4:$H$2596,4,FALSE)*E16)</f>
        <v>0</v>
      </c>
      <c r="G16" s="6">
        <f>IF(ISBLANK(B16),0,VLOOKUP(B16,Daftar_AHSP!$B$4:$H$2596,5,FALSE)*E16)</f>
        <v>0</v>
      </c>
      <c r="H16" s="6">
        <f>IF(ISBLANK(B16),0,VLOOKUP(B16,Daftar_AHSP!$B$4:$H$2596,6,FALSE)*E16)</f>
        <v>0</v>
      </c>
      <c r="I16" s="6">
        <f>IF(ISBLANK(B16),0,VLOOKUP(B16,Daftar_AHSP!$B$4:$H$2596,7,FALSE))</f>
        <v>0</v>
      </c>
      <c r="J16" s="6">
        <f t="shared" si="1"/>
        <v>0</v>
      </c>
    </row>
    <row r="17">
      <c r="A17" s="4">
        <v>13.0</v>
      </c>
      <c r="B17" s="5"/>
      <c r="C17" s="4" t="str">
        <f>IF(ISBLANK(B17),"",VLOOKUP(B17,Daftar_AHSP!$B$4:$H$2596,2,FALSE))</f>
        <v/>
      </c>
      <c r="D17" s="4" t="str">
        <f>IF(ISBLANK(B17),"",VLOOKUP(B17,Daftar_AHSP!$B$4:$H$2596,3,FALSE))</f>
        <v/>
      </c>
      <c r="E17" s="5"/>
      <c r="F17" s="6">
        <f>IF(ISBLANK(B17),0,VLOOKUP(B17,Daftar_AHSP!$B$4:$H$2596,4,FALSE)*E17)</f>
        <v>0</v>
      </c>
      <c r="G17" s="6">
        <f>IF(ISBLANK(B17),0,VLOOKUP(B17,Daftar_AHSP!$B$4:$H$2596,5,FALSE)*E17)</f>
        <v>0</v>
      </c>
      <c r="H17" s="6">
        <f>IF(ISBLANK(B17),0,VLOOKUP(B17,Daftar_AHSP!$B$4:$H$2596,6,FALSE)*E17)</f>
        <v>0</v>
      </c>
      <c r="I17" s="6">
        <f>IF(ISBLANK(B17),0,VLOOKUP(B17,Daftar_AHSP!$B$4:$H$2596,7,FALSE))</f>
        <v>0</v>
      </c>
      <c r="J17" s="6">
        <f t="shared" si="1"/>
        <v>0</v>
      </c>
    </row>
    <row r="18">
      <c r="A18" s="4">
        <v>14.0</v>
      </c>
      <c r="B18" s="5"/>
      <c r="C18" s="4" t="str">
        <f>IF(ISBLANK(B18),"",VLOOKUP(B18,Daftar_AHSP!$B$4:$H$2596,2,FALSE))</f>
        <v/>
      </c>
      <c r="D18" s="4" t="str">
        <f>IF(ISBLANK(B18),"",VLOOKUP(B18,Daftar_AHSP!$B$4:$H$2596,3,FALSE))</f>
        <v/>
      </c>
      <c r="E18" s="5"/>
      <c r="F18" s="6">
        <f>IF(ISBLANK(B18),0,VLOOKUP(B18,Daftar_AHSP!$B$4:$H$2596,4,FALSE)*E18)</f>
        <v>0</v>
      </c>
      <c r="G18" s="6">
        <f>IF(ISBLANK(B18),0,VLOOKUP(B18,Daftar_AHSP!$B$4:$H$2596,5,FALSE)*E18)</f>
        <v>0</v>
      </c>
      <c r="H18" s="6">
        <f>IF(ISBLANK(B18),0,VLOOKUP(B18,Daftar_AHSP!$B$4:$H$2596,6,FALSE)*E18)</f>
        <v>0</v>
      </c>
      <c r="I18" s="6">
        <f>IF(ISBLANK(B18),0,VLOOKUP(B18,Daftar_AHSP!$B$4:$H$2596,7,FALSE))</f>
        <v>0</v>
      </c>
      <c r="J18" s="6">
        <f t="shared" si="1"/>
        <v>0</v>
      </c>
    </row>
    <row r="19">
      <c r="A19" s="4">
        <v>15.0</v>
      </c>
      <c r="B19" s="5"/>
      <c r="C19" s="4" t="str">
        <f>IF(ISBLANK(B19),"",VLOOKUP(B19,Daftar_AHSP!$B$4:$H$2596,2,FALSE))</f>
        <v/>
      </c>
      <c r="D19" s="4" t="str">
        <f>IF(ISBLANK(B19),"",VLOOKUP(B19,Daftar_AHSP!$B$4:$H$2596,3,FALSE))</f>
        <v/>
      </c>
      <c r="E19" s="5"/>
      <c r="F19" s="6">
        <f>IF(ISBLANK(B19),0,VLOOKUP(B19,Daftar_AHSP!$B$4:$H$2596,4,FALSE)*E19)</f>
        <v>0</v>
      </c>
      <c r="G19" s="6">
        <f>IF(ISBLANK(B19),0,VLOOKUP(B19,Daftar_AHSP!$B$4:$H$2596,5,FALSE)*E19)</f>
        <v>0</v>
      </c>
      <c r="H19" s="6">
        <f>IF(ISBLANK(B19),0,VLOOKUP(B19,Daftar_AHSP!$B$4:$H$2596,6,FALSE)*E19)</f>
        <v>0</v>
      </c>
      <c r="I19" s="6">
        <f>IF(ISBLANK(B19),0,VLOOKUP(B19,Daftar_AHSP!$B$4:$H$2596,7,FALSE))</f>
        <v>0</v>
      </c>
      <c r="J19" s="6">
        <f t="shared" si="1"/>
        <v>0</v>
      </c>
    </row>
    <row r="20">
      <c r="A20" s="4">
        <v>16.0</v>
      </c>
      <c r="B20" s="5"/>
      <c r="C20" s="4" t="str">
        <f>IF(ISBLANK(B20),"",VLOOKUP(B20,Daftar_AHSP!$B$4:$H$2596,2,FALSE))</f>
        <v/>
      </c>
      <c r="D20" s="4" t="str">
        <f>IF(ISBLANK(B20),"",VLOOKUP(B20,Daftar_AHSP!$B$4:$H$2596,3,FALSE))</f>
        <v/>
      </c>
      <c r="E20" s="5"/>
      <c r="F20" s="6">
        <f>IF(ISBLANK(B20),0,VLOOKUP(B20,Daftar_AHSP!$B$4:$H$2596,4,FALSE)*E20)</f>
        <v>0</v>
      </c>
      <c r="G20" s="6">
        <f>IF(ISBLANK(B20),0,VLOOKUP(B20,Daftar_AHSP!$B$4:$H$2596,5,FALSE)*E20)</f>
        <v>0</v>
      </c>
      <c r="H20" s="6">
        <f>IF(ISBLANK(B20),0,VLOOKUP(B20,Daftar_AHSP!$B$4:$H$2596,6,FALSE)*E20)</f>
        <v>0</v>
      </c>
      <c r="I20" s="6">
        <f>IF(ISBLANK(B20),0,VLOOKUP(B20,Daftar_AHSP!$B$4:$H$2596,7,FALSE))</f>
        <v>0</v>
      </c>
      <c r="J20" s="6">
        <f t="shared" si="1"/>
        <v>0</v>
      </c>
    </row>
    <row r="21" ht="15.75" customHeight="1">
      <c r="A21" s="4">
        <v>17.0</v>
      </c>
      <c r="B21" s="5"/>
      <c r="C21" s="4" t="str">
        <f>IF(ISBLANK(B21),"",VLOOKUP(B21,Daftar_AHSP!$B$4:$H$2596,2,FALSE))</f>
        <v/>
      </c>
      <c r="D21" s="4" t="str">
        <f>IF(ISBLANK(B21),"",VLOOKUP(B21,Daftar_AHSP!$B$4:$H$2596,3,FALSE))</f>
        <v/>
      </c>
      <c r="E21" s="5"/>
      <c r="F21" s="6">
        <f>IF(ISBLANK(B21),0,VLOOKUP(B21,Daftar_AHSP!$B$4:$H$2596,4,FALSE)*E21)</f>
        <v>0</v>
      </c>
      <c r="G21" s="6">
        <f>IF(ISBLANK(B21),0,VLOOKUP(B21,Daftar_AHSP!$B$4:$H$2596,5,FALSE)*E21)</f>
        <v>0</v>
      </c>
      <c r="H21" s="6">
        <f>IF(ISBLANK(B21),0,VLOOKUP(B21,Daftar_AHSP!$B$4:$H$2596,6,FALSE)*E21)</f>
        <v>0</v>
      </c>
      <c r="I21" s="6">
        <f>IF(ISBLANK(B21),0,VLOOKUP(B21,Daftar_AHSP!$B$4:$H$2596,7,FALSE))</f>
        <v>0</v>
      </c>
      <c r="J21" s="6">
        <f t="shared" si="1"/>
        <v>0</v>
      </c>
    </row>
    <row r="22" ht="15.75" customHeight="1">
      <c r="A22" s="4">
        <v>18.0</v>
      </c>
      <c r="B22" s="5"/>
      <c r="C22" s="4" t="str">
        <f>IF(ISBLANK(B22),"",VLOOKUP(B22,Daftar_AHSP!$B$4:$H$2596,2,FALSE))</f>
        <v/>
      </c>
      <c r="D22" s="4" t="str">
        <f>IF(ISBLANK(B22),"",VLOOKUP(B22,Daftar_AHSP!$B$4:$H$2596,3,FALSE))</f>
        <v/>
      </c>
      <c r="E22" s="5"/>
      <c r="F22" s="6">
        <f>IF(ISBLANK(B22),0,VLOOKUP(B22,Daftar_AHSP!$B$4:$H$2596,4,FALSE)*E22)</f>
        <v>0</v>
      </c>
      <c r="G22" s="6">
        <f>IF(ISBLANK(B22),0,VLOOKUP(B22,Daftar_AHSP!$B$4:$H$2596,5,FALSE)*E22)</f>
        <v>0</v>
      </c>
      <c r="H22" s="6">
        <f>IF(ISBLANK(B22),0,VLOOKUP(B22,Daftar_AHSP!$B$4:$H$2596,6,FALSE)*E22)</f>
        <v>0</v>
      </c>
      <c r="I22" s="6">
        <f>IF(ISBLANK(B22),0,VLOOKUP(B22,Daftar_AHSP!$B$4:$H$2596,7,FALSE))</f>
        <v>0</v>
      </c>
      <c r="J22" s="6">
        <f t="shared" si="1"/>
        <v>0</v>
      </c>
    </row>
    <row r="23" ht="15.75" customHeight="1">
      <c r="A23" s="4">
        <v>19.0</v>
      </c>
      <c r="B23" s="5"/>
      <c r="C23" s="4" t="str">
        <f>IF(ISBLANK(B23),"",VLOOKUP(B23,Daftar_AHSP!$B$4:$H$2596,2,FALSE))</f>
        <v/>
      </c>
      <c r="D23" s="4" t="str">
        <f>IF(ISBLANK(B23),"",VLOOKUP(B23,Daftar_AHSP!$B$4:$H$2596,3,FALSE))</f>
        <v/>
      </c>
      <c r="E23" s="5"/>
      <c r="F23" s="6">
        <f>IF(ISBLANK(B23),0,VLOOKUP(B23,Daftar_AHSP!$B$4:$H$2596,4,FALSE)*E23)</f>
        <v>0</v>
      </c>
      <c r="G23" s="6">
        <f>IF(ISBLANK(B23),0,VLOOKUP(B23,Daftar_AHSP!$B$4:$H$2596,5,FALSE)*E23)</f>
        <v>0</v>
      </c>
      <c r="H23" s="6">
        <f>IF(ISBLANK(B23),0,VLOOKUP(B23,Daftar_AHSP!$B$4:$H$2596,6,FALSE)*E23)</f>
        <v>0</v>
      </c>
      <c r="I23" s="6">
        <f>IF(ISBLANK(B23),0,VLOOKUP(B23,Daftar_AHSP!$B$4:$H$2596,7,FALSE))</f>
        <v>0</v>
      </c>
      <c r="J23" s="6">
        <f t="shared" si="1"/>
        <v>0</v>
      </c>
    </row>
    <row r="24" ht="15.75" customHeight="1">
      <c r="A24" s="4">
        <v>20.0</v>
      </c>
      <c r="B24" s="5"/>
      <c r="C24" s="4" t="str">
        <f>IF(ISBLANK(B24),"",VLOOKUP(B24,Daftar_AHSP!$B$4:$H$2596,2,FALSE))</f>
        <v/>
      </c>
      <c r="D24" s="4" t="str">
        <f>IF(ISBLANK(B24),"",VLOOKUP(B24,Daftar_AHSP!$B$4:$H$2596,3,FALSE))</f>
        <v/>
      </c>
      <c r="E24" s="5"/>
      <c r="F24" s="6">
        <f>IF(ISBLANK(B24),0,VLOOKUP(B24,Daftar_AHSP!$B$4:$H$2596,4,FALSE)*E24)</f>
        <v>0</v>
      </c>
      <c r="G24" s="6">
        <f>IF(ISBLANK(B24),0,VLOOKUP(B24,Daftar_AHSP!$B$4:$H$2596,5,FALSE)*E24)</f>
        <v>0</v>
      </c>
      <c r="H24" s="6">
        <f>IF(ISBLANK(B24),0,VLOOKUP(B24,Daftar_AHSP!$B$4:$H$2596,6,FALSE)*E24)</f>
        <v>0</v>
      </c>
      <c r="I24" s="6">
        <f>IF(ISBLANK(B24),0,VLOOKUP(B24,Daftar_AHSP!$B$4:$H$2596,7,FALSE))</f>
        <v>0</v>
      </c>
      <c r="J24" s="6">
        <f t="shared" si="1"/>
        <v>0</v>
      </c>
    </row>
    <row r="25" ht="15.75" customHeight="1">
      <c r="A25" s="4">
        <v>21.0</v>
      </c>
      <c r="B25" s="5"/>
      <c r="C25" s="4" t="str">
        <f>IF(ISBLANK(B25),"",VLOOKUP(B25,Daftar_AHSP!$B$4:$H$2596,2,FALSE))</f>
        <v/>
      </c>
      <c r="D25" s="4" t="str">
        <f>IF(ISBLANK(B25),"",VLOOKUP(B25,Daftar_AHSP!$B$4:$H$2596,3,FALSE))</f>
        <v/>
      </c>
      <c r="E25" s="5"/>
      <c r="F25" s="6">
        <f>IF(ISBLANK(B25),0,VLOOKUP(B25,Daftar_AHSP!$B$4:$H$2596,4,FALSE)*E25)</f>
        <v>0</v>
      </c>
      <c r="G25" s="6">
        <f>IF(ISBLANK(B25),0,VLOOKUP(B25,Daftar_AHSP!$B$4:$H$2596,5,FALSE)*E25)</f>
        <v>0</v>
      </c>
      <c r="H25" s="6">
        <f>IF(ISBLANK(B25),0,VLOOKUP(B25,Daftar_AHSP!$B$4:$H$2596,6,FALSE)*E25)</f>
        <v>0</v>
      </c>
      <c r="I25" s="6">
        <f>IF(ISBLANK(B25),0,VLOOKUP(B25,Daftar_AHSP!$B$4:$H$2596,7,FALSE))</f>
        <v>0</v>
      </c>
      <c r="J25" s="6">
        <f t="shared" si="1"/>
        <v>0</v>
      </c>
    </row>
    <row r="26" ht="15.75" customHeight="1">
      <c r="A26" s="4">
        <v>22.0</v>
      </c>
      <c r="B26" s="5"/>
      <c r="C26" s="4" t="str">
        <f>IF(ISBLANK(B26),"",VLOOKUP(B26,Daftar_AHSP!$B$4:$H$2596,2,FALSE))</f>
        <v/>
      </c>
      <c r="D26" s="4" t="str">
        <f>IF(ISBLANK(B26),"",VLOOKUP(B26,Daftar_AHSP!$B$4:$H$2596,3,FALSE))</f>
        <v/>
      </c>
      <c r="E26" s="5"/>
      <c r="F26" s="6">
        <f>IF(ISBLANK(B26),0,VLOOKUP(B26,Daftar_AHSP!$B$4:$H$2596,4,FALSE)*E26)</f>
        <v>0</v>
      </c>
      <c r="G26" s="6">
        <f>IF(ISBLANK(B26),0,VLOOKUP(B26,Daftar_AHSP!$B$4:$H$2596,5,FALSE)*E26)</f>
        <v>0</v>
      </c>
      <c r="H26" s="6">
        <f>IF(ISBLANK(B26),0,VLOOKUP(B26,Daftar_AHSP!$B$4:$H$2596,6,FALSE)*E26)</f>
        <v>0</v>
      </c>
      <c r="I26" s="6">
        <f>IF(ISBLANK(B26),0,VLOOKUP(B26,Daftar_AHSP!$B$4:$H$2596,7,FALSE))</f>
        <v>0</v>
      </c>
      <c r="J26" s="6">
        <f t="shared" si="1"/>
        <v>0</v>
      </c>
    </row>
    <row r="27" ht="15.75" customHeight="1">
      <c r="A27" s="4">
        <v>23.0</v>
      </c>
      <c r="B27" s="5"/>
      <c r="C27" s="4" t="str">
        <f>IF(ISBLANK(B27),"",VLOOKUP(B27,Daftar_AHSP!$B$4:$H$2596,2,FALSE))</f>
        <v/>
      </c>
      <c r="D27" s="4" t="str">
        <f>IF(ISBLANK(B27),"",VLOOKUP(B27,Daftar_AHSP!$B$4:$H$2596,3,FALSE))</f>
        <v/>
      </c>
      <c r="E27" s="5"/>
      <c r="F27" s="6">
        <f>IF(ISBLANK(B27),0,VLOOKUP(B27,Daftar_AHSP!$B$4:$H$2596,4,FALSE)*E27)</f>
        <v>0</v>
      </c>
      <c r="G27" s="6">
        <f>IF(ISBLANK(B27),0,VLOOKUP(B27,Daftar_AHSP!$B$4:$H$2596,5,FALSE)*E27)</f>
        <v>0</v>
      </c>
      <c r="H27" s="6">
        <f>IF(ISBLANK(B27),0,VLOOKUP(B27,Daftar_AHSP!$B$4:$H$2596,6,FALSE)*E27)</f>
        <v>0</v>
      </c>
      <c r="I27" s="6">
        <f>IF(ISBLANK(B27),0,VLOOKUP(B27,Daftar_AHSP!$B$4:$H$2596,7,FALSE))</f>
        <v>0</v>
      </c>
      <c r="J27" s="6">
        <f t="shared" si="1"/>
        <v>0</v>
      </c>
    </row>
    <row r="28" ht="15.75" customHeight="1">
      <c r="A28" s="4">
        <v>24.0</v>
      </c>
      <c r="B28" s="5"/>
      <c r="C28" s="4" t="str">
        <f>IF(ISBLANK(B28),"",VLOOKUP(B28,Daftar_AHSP!$B$4:$H$2596,2,FALSE))</f>
        <v/>
      </c>
      <c r="D28" s="4" t="str">
        <f>IF(ISBLANK(B28),"",VLOOKUP(B28,Daftar_AHSP!$B$4:$H$2596,3,FALSE))</f>
        <v/>
      </c>
      <c r="E28" s="5"/>
      <c r="F28" s="6">
        <f>IF(ISBLANK(B28),0,VLOOKUP(B28,Daftar_AHSP!$B$4:$H$2596,4,FALSE)*E28)</f>
        <v>0</v>
      </c>
      <c r="G28" s="6">
        <f>IF(ISBLANK(B28),0,VLOOKUP(B28,Daftar_AHSP!$B$4:$H$2596,5,FALSE)*E28)</f>
        <v>0</v>
      </c>
      <c r="H28" s="6">
        <f>IF(ISBLANK(B28),0,VLOOKUP(B28,Daftar_AHSP!$B$4:$H$2596,6,FALSE)*E28)</f>
        <v>0</v>
      </c>
      <c r="I28" s="6">
        <f>IF(ISBLANK(B28),0,VLOOKUP(B28,Daftar_AHSP!$B$4:$H$2596,7,FALSE))</f>
        <v>0</v>
      </c>
      <c r="J28" s="6">
        <f t="shared" si="1"/>
        <v>0</v>
      </c>
    </row>
    <row r="29" ht="15.75" customHeight="1">
      <c r="A29" s="4">
        <v>25.0</v>
      </c>
      <c r="B29" s="5"/>
      <c r="C29" s="4" t="str">
        <f>IF(ISBLANK(B29),"",VLOOKUP(B29,Daftar_AHSP!$B$4:$H$2596,2,FALSE))</f>
        <v/>
      </c>
      <c r="D29" s="4" t="str">
        <f>IF(ISBLANK(B29),"",VLOOKUP(B29,Daftar_AHSP!$B$4:$H$2596,3,FALSE))</f>
        <v/>
      </c>
      <c r="E29" s="5"/>
      <c r="F29" s="6">
        <f>IF(ISBLANK(B29),0,VLOOKUP(B29,Daftar_AHSP!$B$4:$H$2596,4,FALSE)*E29)</f>
        <v>0</v>
      </c>
      <c r="G29" s="6">
        <f>IF(ISBLANK(B29),0,VLOOKUP(B29,Daftar_AHSP!$B$4:$H$2596,5,FALSE)*E29)</f>
        <v>0</v>
      </c>
      <c r="H29" s="6">
        <f>IF(ISBLANK(B29),0,VLOOKUP(B29,Daftar_AHSP!$B$4:$H$2596,6,FALSE)*E29)</f>
        <v>0</v>
      </c>
      <c r="I29" s="6">
        <f>IF(ISBLANK(B29),0,VLOOKUP(B29,Daftar_AHSP!$B$4:$H$2596,7,FALSE))</f>
        <v>0</v>
      </c>
      <c r="J29" s="6">
        <f t="shared" si="1"/>
        <v>0</v>
      </c>
    </row>
    <row r="30" ht="15.75" customHeight="1">
      <c r="A30" s="4">
        <v>26.0</v>
      </c>
      <c r="B30" s="5"/>
      <c r="C30" s="4" t="str">
        <f>IF(ISBLANK(B30),"",VLOOKUP(B30,Daftar_AHSP!$B$4:$H$2596,2,FALSE))</f>
        <v/>
      </c>
      <c r="D30" s="4" t="str">
        <f>IF(ISBLANK(B30),"",VLOOKUP(B30,Daftar_AHSP!$B$4:$H$2596,3,FALSE))</f>
        <v/>
      </c>
      <c r="E30" s="5"/>
      <c r="F30" s="6">
        <f>IF(ISBLANK(B30),0,VLOOKUP(B30,Daftar_AHSP!$B$4:$H$2596,4,FALSE)*E30)</f>
        <v>0</v>
      </c>
      <c r="G30" s="6">
        <f>IF(ISBLANK(B30),0,VLOOKUP(B30,Daftar_AHSP!$B$4:$H$2596,5,FALSE)*E30)</f>
        <v>0</v>
      </c>
      <c r="H30" s="6">
        <f>IF(ISBLANK(B30),0,VLOOKUP(B30,Daftar_AHSP!$B$4:$H$2596,6,FALSE)*E30)</f>
        <v>0</v>
      </c>
      <c r="I30" s="6">
        <f>IF(ISBLANK(B30),0,VLOOKUP(B30,Daftar_AHSP!$B$4:$H$2596,7,FALSE))</f>
        <v>0</v>
      </c>
      <c r="J30" s="6">
        <f t="shared" si="1"/>
        <v>0</v>
      </c>
    </row>
    <row r="31" ht="15.75" customHeight="1">
      <c r="A31" s="4">
        <v>27.0</v>
      </c>
      <c r="B31" s="5"/>
      <c r="C31" s="4" t="str">
        <f>IF(ISBLANK(B31),"",VLOOKUP(B31,Daftar_AHSP!$B$4:$H$2596,2,FALSE))</f>
        <v/>
      </c>
      <c r="D31" s="4" t="str">
        <f>IF(ISBLANK(B31),"",VLOOKUP(B31,Daftar_AHSP!$B$4:$H$2596,3,FALSE))</f>
        <v/>
      </c>
      <c r="E31" s="5"/>
      <c r="F31" s="6">
        <f>IF(ISBLANK(B31),0,VLOOKUP(B31,Daftar_AHSP!$B$4:$H$2596,4,FALSE)*E31)</f>
        <v>0</v>
      </c>
      <c r="G31" s="6">
        <f>IF(ISBLANK(B31),0,VLOOKUP(B31,Daftar_AHSP!$B$4:$H$2596,5,FALSE)*E31)</f>
        <v>0</v>
      </c>
      <c r="H31" s="6">
        <f>IF(ISBLANK(B31),0,VLOOKUP(B31,Daftar_AHSP!$B$4:$H$2596,6,FALSE)*E31)</f>
        <v>0</v>
      </c>
      <c r="I31" s="6">
        <f>IF(ISBLANK(B31),0,VLOOKUP(B31,Daftar_AHSP!$B$4:$H$2596,7,FALSE))</f>
        <v>0</v>
      </c>
      <c r="J31" s="6">
        <f t="shared" si="1"/>
        <v>0</v>
      </c>
    </row>
    <row r="32" ht="15.75" customHeight="1">
      <c r="A32" s="4">
        <v>28.0</v>
      </c>
      <c r="B32" s="5"/>
      <c r="C32" s="4" t="str">
        <f>IF(ISBLANK(B32),"",VLOOKUP(B32,Daftar_AHSP!$B$4:$H$2596,2,FALSE))</f>
        <v/>
      </c>
      <c r="D32" s="4" t="str">
        <f>IF(ISBLANK(B32),"",VLOOKUP(B32,Daftar_AHSP!$B$4:$H$2596,3,FALSE))</f>
        <v/>
      </c>
      <c r="E32" s="5"/>
      <c r="F32" s="6">
        <f>IF(ISBLANK(B32),0,VLOOKUP(B32,Daftar_AHSP!$B$4:$H$2596,4,FALSE)*E32)</f>
        <v>0</v>
      </c>
      <c r="G32" s="6">
        <f>IF(ISBLANK(B32),0,VLOOKUP(B32,Daftar_AHSP!$B$4:$H$2596,5,FALSE)*E32)</f>
        <v>0</v>
      </c>
      <c r="H32" s="6">
        <f>IF(ISBLANK(B32),0,VLOOKUP(B32,Daftar_AHSP!$B$4:$H$2596,6,FALSE)*E32)</f>
        <v>0</v>
      </c>
      <c r="I32" s="6">
        <f>IF(ISBLANK(B32),0,VLOOKUP(B32,Daftar_AHSP!$B$4:$H$2596,7,FALSE))</f>
        <v>0</v>
      </c>
      <c r="J32" s="6">
        <f t="shared" si="1"/>
        <v>0</v>
      </c>
    </row>
    <row r="33" ht="15.75" customHeight="1">
      <c r="A33" s="4">
        <v>29.0</v>
      </c>
      <c r="B33" s="5"/>
      <c r="C33" s="4" t="str">
        <f>IF(ISBLANK(B33),"",VLOOKUP(B33,Daftar_AHSP!$B$4:$H$2596,2,FALSE))</f>
        <v/>
      </c>
      <c r="D33" s="4" t="str">
        <f>IF(ISBLANK(B33),"",VLOOKUP(B33,Daftar_AHSP!$B$4:$H$2596,3,FALSE))</f>
        <v/>
      </c>
      <c r="E33" s="5"/>
      <c r="F33" s="6">
        <f>IF(ISBLANK(B33),0,VLOOKUP(B33,Daftar_AHSP!$B$4:$H$2596,4,FALSE)*E33)</f>
        <v>0</v>
      </c>
      <c r="G33" s="6">
        <f>IF(ISBLANK(B33),0,VLOOKUP(B33,Daftar_AHSP!$B$4:$H$2596,5,FALSE)*E33)</f>
        <v>0</v>
      </c>
      <c r="H33" s="6">
        <f>IF(ISBLANK(B33),0,VLOOKUP(B33,Daftar_AHSP!$B$4:$H$2596,6,FALSE)*E33)</f>
        <v>0</v>
      </c>
      <c r="I33" s="6">
        <f>IF(ISBLANK(B33),0,VLOOKUP(B33,Daftar_AHSP!$B$4:$H$2596,7,FALSE))</f>
        <v>0</v>
      </c>
      <c r="J33" s="6">
        <f t="shared" si="1"/>
        <v>0</v>
      </c>
    </row>
    <row r="34" ht="15.75" customHeight="1">
      <c r="A34" s="4">
        <v>30.0</v>
      </c>
      <c r="B34" s="5"/>
      <c r="C34" s="4" t="str">
        <f>IF(ISBLANK(B34),"",VLOOKUP(B34,Daftar_AHSP!$B$4:$H$2596,2,FALSE))</f>
        <v/>
      </c>
      <c r="D34" s="4" t="str">
        <f>IF(ISBLANK(B34),"",VLOOKUP(B34,Daftar_AHSP!$B$4:$H$2596,3,FALSE))</f>
        <v/>
      </c>
      <c r="E34" s="5"/>
      <c r="F34" s="6">
        <f>IF(ISBLANK(B34),0,VLOOKUP(B34,Daftar_AHSP!$B$4:$H$2596,4,FALSE)*E34)</f>
        <v>0</v>
      </c>
      <c r="G34" s="6">
        <f>IF(ISBLANK(B34),0,VLOOKUP(B34,Daftar_AHSP!$B$4:$H$2596,5,FALSE)*E34)</f>
        <v>0</v>
      </c>
      <c r="H34" s="6">
        <f>IF(ISBLANK(B34),0,VLOOKUP(B34,Daftar_AHSP!$B$4:$H$2596,6,FALSE)*E34)</f>
        <v>0</v>
      </c>
      <c r="I34" s="6">
        <f>IF(ISBLANK(B34),0,VLOOKUP(B34,Daftar_AHSP!$B$4:$H$2596,7,FALSE))</f>
        <v>0</v>
      </c>
      <c r="J34" s="6">
        <f t="shared" si="1"/>
        <v>0</v>
      </c>
    </row>
    <row r="35" ht="15.75" customHeight="1">
      <c r="A35" s="4">
        <v>31.0</v>
      </c>
      <c r="B35" s="5"/>
      <c r="C35" s="4" t="str">
        <f>IF(ISBLANK(B35),"",VLOOKUP(B35,Daftar_AHSP!$B$4:$H$2596,2,FALSE))</f>
        <v/>
      </c>
      <c r="D35" s="4" t="str">
        <f>IF(ISBLANK(B35),"",VLOOKUP(B35,Daftar_AHSP!$B$4:$H$2596,3,FALSE))</f>
        <v/>
      </c>
      <c r="E35" s="5"/>
      <c r="F35" s="6">
        <f>IF(ISBLANK(B35),0,VLOOKUP(B35,Daftar_AHSP!$B$4:$H$2596,4,FALSE)*E35)</f>
        <v>0</v>
      </c>
      <c r="G35" s="6">
        <f>IF(ISBLANK(B35),0,VLOOKUP(B35,Daftar_AHSP!$B$4:$H$2596,5,FALSE)*E35)</f>
        <v>0</v>
      </c>
      <c r="H35" s="6">
        <f>IF(ISBLANK(B35),0,VLOOKUP(B35,Daftar_AHSP!$B$4:$H$2596,6,FALSE)*E35)</f>
        <v>0</v>
      </c>
      <c r="I35" s="6">
        <f>IF(ISBLANK(B35),0,VLOOKUP(B35,Daftar_AHSP!$B$4:$H$2596,7,FALSE))</f>
        <v>0</v>
      </c>
      <c r="J35" s="6">
        <f t="shared" si="1"/>
        <v>0</v>
      </c>
    </row>
    <row r="36" ht="15.75" customHeight="1">
      <c r="A36" s="4">
        <v>32.0</v>
      </c>
      <c r="B36" s="5"/>
      <c r="C36" s="4" t="str">
        <f>IF(ISBLANK(B36),"",VLOOKUP(B36,Daftar_AHSP!$B$4:$H$2596,2,FALSE))</f>
        <v/>
      </c>
      <c r="D36" s="4" t="str">
        <f>IF(ISBLANK(B36),"",VLOOKUP(B36,Daftar_AHSP!$B$4:$H$2596,3,FALSE))</f>
        <v/>
      </c>
      <c r="E36" s="5"/>
      <c r="F36" s="6">
        <f>IF(ISBLANK(B36),0,VLOOKUP(B36,Daftar_AHSP!$B$4:$H$2596,4,FALSE)*E36)</f>
        <v>0</v>
      </c>
      <c r="G36" s="6">
        <f>IF(ISBLANK(B36),0,VLOOKUP(B36,Daftar_AHSP!$B$4:$H$2596,5,FALSE)*E36)</f>
        <v>0</v>
      </c>
      <c r="H36" s="6">
        <f>IF(ISBLANK(B36),0,VLOOKUP(B36,Daftar_AHSP!$B$4:$H$2596,6,FALSE)*E36)</f>
        <v>0</v>
      </c>
      <c r="I36" s="6">
        <f>IF(ISBLANK(B36),0,VLOOKUP(B36,Daftar_AHSP!$B$4:$H$2596,7,FALSE))</f>
        <v>0</v>
      </c>
      <c r="J36" s="6">
        <f t="shared" si="1"/>
        <v>0</v>
      </c>
    </row>
    <row r="37" ht="15.75" customHeight="1">
      <c r="A37" s="4">
        <v>33.0</v>
      </c>
      <c r="B37" s="5"/>
      <c r="C37" s="4" t="str">
        <f>IF(ISBLANK(B37),"",VLOOKUP(B37,Daftar_AHSP!$B$4:$H$2596,2,FALSE))</f>
        <v/>
      </c>
      <c r="D37" s="4" t="str">
        <f>IF(ISBLANK(B37),"",VLOOKUP(B37,Daftar_AHSP!$B$4:$H$2596,3,FALSE))</f>
        <v/>
      </c>
      <c r="E37" s="5"/>
      <c r="F37" s="6">
        <f>IF(ISBLANK(B37),0,VLOOKUP(B37,Daftar_AHSP!$B$4:$H$2596,4,FALSE)*E37)</f>
        <v>0</v>
      </c>
      <c r="G37" s="6">
        <f>IF(ISBLANK(B37),0,VLOOKUP(B37,Daftar_AHSP!$B$4:$H$2596,5,FALSE)*E37)</f>
        <v>0</v>
      </c>
      <c r="H37" s="6">
        <f>IF(ISBLANK(B37),0,VLOOKUP(B37,Daftar_AHSP!$B$4:$H$2596,6,FALSE)*E37)</f>
        <v>0</v>
      </c>
      <c r="I37" s="6">
        <f>IF(ISBLANK(B37),0,VLOOKUP(B37,Daftar_AHSP!$B$4:$H$2596,7,FALSE))</f>
        <v>0</v>
      </c>
      <c r="J37" s="6">
        <f t="shared" si="1"/>
        <v>0</v>
      </c>
    </row>
    <row r="38" ht="15.75" customHeight="1">
      <c r="A38" s="4">
        <v>34.0</v>
      </c>
      <c r="B38" s="5"/>
      <c r="C38" s="4" t="str">
        <f>IF(ISBLANK(B38),"",VLOOKUP(B38,Daftar_AHSP!$B$4:$H$2596,2,FALSE))</f>
        <v/>
      </c>
      <c r="D38" s="4" t="str">
        <f>IF(ISBLANK(B38),"",VLOOKUP(B38,Daftar_AHSP!$B$4:$H$2596,3,FALSE))</f>
        <v/>
      </c>
      <c r="E38" s="5"/>
      <c r="F38" s="6">
        <f>IF(ISBLANK(B38),0,VLOOKUP(B38,Daftar_AHSP!$B$4:$H$2596,4,FALSE)*E38)</f>
        <v>0</v>
      </c>
      <c r="G38" s="6">
        <f>IF(ISBLANK(B38),0,VLOOKUP(B38,Daftar_AHSP!$B$4:$H$2596,5,FALSE)*E38)</f>
        <v>0</v>
      </c>
      <c r="H38" s="6">
        <f>IF(ISBLANK(B38),0,VLOOKUP(B38,Daftar_AHSP!$B$4:$H$2596,6,FALSE)*E38)</f>
        <v>0</v>
      </c>
      <c r="I38" s="6">
        <f>IF(ISBLANK(B38),0,VLOOKUP(B38,Daftar_AHSP!$B$4:$H$2596,7,FALSE))</f>
        <v>0</v>
      </c>
      <c r="J38" s="6">
        <f t="shared" si="1"/>
        <v>0</v>
      </c>
    </row>
    <row r="39" ht="15.75" customHeight="1">
      <c r="A39" s="4">
        <v>35.0</v>
      </c>
      <c r="B39" s="5"/>
      <c r="C39" s="4" t="str">
        <f>IF(ISBLANK(B39),"",VLOOKUP(B39,Daftar_AHSP!$B$4:$H$2596,2,FALSE))</f>
        <v/>
      </c>
      <c r="D39" s="4" t="str">
        <f>IF(ISBLANK(B39),"",VLOOKUP(B39,Daftar_AHSP!$B$4:$H$2596,3,FALSE))</f>
        <v/>
      </c>
      <c r="E39" s="5"/>
      <c r="F39" s="6">
        <f>IF(ISBLANK(B39),0,VLOOKUP(B39,Daftar_AHSP!$B$4:$H$2596,4,FALSE)*E39)</f>
        <v>0</v>
      </c>
      <c r="G39" s="6">
        <f>IF(ISBLANK(B39),0,VLOOKUP(B39,Daftar_AHSP!$B$4:$H$2596,5,FALSE)*E39)</f>
        <v>0</v>
      </c>
      <c r="H39" s="6">
        <f>IF(ISBLANK(B39),0,VLOOKUP(B39,Daftar_AHSP!$B$4:$H$2596,6,FALSE)*E39)</f>
        <v>0</v>
      </c>
      <c r="I39" s="6">
        <f>IF(ISBLANK(B39),0,VLOOKUP(B39,Daftar_AHSP!$B$4:$H$2596,7,FALSE))</f>
        <v>0</v>
      </c>
      <c r="J39" s="6">
        <f t="shared" si="1"/>
        <v>0</v>
      </c>
    </row>
    <row r="40" ht="15.75" customHeight="1">
      <c r="A40" s="4">
        <v>36.0</v>
      </c>
      <c r="B40" s="5"/>
      <c r="C40" s="4" t="str">
        <f>IF(ISBLANK(B40),"",VLOOKUP(B40,Daftar_AHSP!$B$4:$H$2596,2,FALSE))</f>
        <v/>
      </c>
      <c r="D40" s="4" t="str">
        <f>IF(ISBLANK(B40),"",VLOOKUP(B40,Daftar_AHSP!$B$4:$H$2596,3,FALSE))</f>
        <v/>
      </c>
      <c r="E40" s="5"/>
      <c r="F40" s="6">
        <f>IF(ISBLANK(B40),0,VLOOKUP(B40,Daftar_AHSP!$B$4:$H$2596,4,FALSE)*E40)</f>
        <v>0</v>
      </c>
      <c r="G40" s="6">
        <f>IF(ISBLANK(B40),0,VLOOKUP(B40,Daftar_AHSP!$B$4:$H$2596,5,FALSE)*E40)</f>
        <v>0</v>
      </c>
      <c r="H40" s="6">
        <f>IF(ISBLANK(B40),0,VLOOKUP(B40,Daftar_AHSP!$B$4:$H$2596,6,FALSE)*E40)</f>
        <v>0</v>
      </c>
      <c r="I40" s="6">
        <f>IF(ISBLANK(B40),0,VLOOKUP(B40,Daftar_AHSP!$B$4:$H$2596,7,FALSE))</f>
        <v>0</v>
      </c>
      <c r="J40" s="6">
        <f t="shared" si="1"/>
        <v>0</v>
      </c>
    </row>
    <row r="41" ht="15.75" customHeight="1">
      <c r="A41" s="4">
        <v>37.0</v>
      </c>
      <c r="B41" s="5"/>
      <c r="C41" s="4" t="str">
        <f>IF(ISBLANK(B41),"",VLOOKUP(B41,Daftar_AHSP!$B$4:$H$2596,2,FALSE))</f>
        <v/>
      </c>
      <c r="D41" s="4" t="str">
        <f>IF(ISBLANK(B41),"",VLOOKUP(B41,Daftar_AHSP!$B$4:$H$2596,3,FALSE))</f>
        <v/>
      </c>
      <c r="E41" s="5"/>
      <c r="F41" s="6">
        <f>IF(ISBLANK(B41),0,VLOOKUP(B41,Daftar_AHSP!$B$4:$H$2596,4,FALSE)*E41)</f>
        <v>0</v>
      </c>
      <c r="G41" s="6">
        <f>IF(ISBLANK(B41),0,VLOOKUP(B41,Daftar_AHSP!$B$4:$H$2596,5,FALSE)*E41)</f>
        <v>0</v>
      </c>
      <c r="H41" s="6">
        <f>IF(ISBLANK(B41),0,VLOOKUP(B41,Daftar_AHSP!$B$4:$H$2596,6,FALSE)*E41)</f>
        <v>0</v>
      </c>
      <c r="I41" s="6">
        <f>IF(ISBLANK(B41),0,VLOOKUP(B41,Daftar_AHSP!$B$4:$H$2596,7,FALSE))</f>
        <v>0</v>
      </c>
      <c r="J41" s="6">
        <f t="shared" si="1"/>
        <v>0</v>
      </c>
    </row>
    <row r="42" ht="15.75" customHeight="1">
      <c r="A42" s="4">
        <v>38.0</v>
      </c>
      <c r="B42" s="5"/>
      <c r="C42" s="4" t="str">
        <f>IF(ISBLANK(B42),"",VLOOKUP(B42,Daftar_AHSP!$B$4:$H$2596,2,FALSE))</f>
        <v/>
      </c>
      <c r="D42" s="4" t="str">
        <f>IF(ISBLANK(B42),"",VLOOKUP(B42,Daftar_AHSP!$B$4:$H$2596,3,FALSE))</f>
        <v/>
      </c>
      <c r="E42" s="5"/>
      <c r="F42" s="6">
        <f>IF(ISBLANK(B42),0,VLOOKUP(B42,Daftar_AHSP!$B$4:$H$2596,4,FALSE)*E42)</f>
        <v>0</v>
      </c>
      <c r="G42" s="6">
        <f>IF(ISBLANK(B42),0,VLOOKUP(B42,Daftar_AHSP!$B$4:$H$2596,5,FALSE)*E42)</f>
        <v>0</v>
      </c>
      <c r="H42" s="6">
        <f>IF(ISBLANK(B42),0,VLOOKUP(B42,Daftar_AHSP!$B$4:$H$2596,6,FALSE)*E42)</f>
        <v>0</v>
      </c>
      <c r="I42" s="6">
        <f>IF(ISBLANK(B42),0,VLOOKUP(B42,Daftar_AHSP!$B$4:$H$2596,7,FALSE))</f>
        <v>0</v>
      </c>
      <c r="J42" s="6">
        <f t="shared" si="1"/>
        <v>0</v>
      </c>
    </row>
    <row r="43" ht="15.75" customHeight="1">
      <c r="A43" s="4">
        <v>39.0</v>
      </c>
      <c r="B43" s="5"/>
      <c r="C43" s="4" t="str">
        <f>IF(ISBLANK(B43),"",VLOOKUP(B43,Daftar_AHSP!$B$4:$H$2596,2,FALSE))</f>
        <v/>
      </c>
      <c r="D43" s="4" t="str">
        <f>IF(ISBLANK(B43),"",VLOOKUP(B43,Daftar_AHSP!$B$4:$H$2596,3,FALSE))</f>
        <v/>
      </c>
      <c r="E43" s="5"/>
      <c r="F43" s="6">
        <f>IF(ISBLANK(B43),0,VLOOKUP(B43,Daftar_AHSP!$B$4:$H$2596,4,FALSE)*E43)</f>
        <v>0</v>
      </c>
      <c r="G43" s="6">
        <f>IF(ISBLANK(B43),0,VLOOKUP(B43,Daftar_AHSP!$B$4:$H$2596,5,FALSE)*E43)</f>
        <v>0</v>
      </c>
      <c r="H43" s="6">
        <f>IF(ISBLANK(B43),0,VLOOKUP(B43,Daftar_AHSP!$B$4:$H$2596,6,FALSE)*E43)</f>
        <v>0</v>
      </c>
      <c r="I43" s="6">
        <f>IF(ISBLANK(B43),0,VLOOKUP(B43,Daftar_AHSP!$B$4:$H$2596,7,FALSE))</f>
        <v>0</v>
      </c>
      <c r="J43" s="6">
        <f t="shared" si="1"/>
        <v>0</v>
      </c>
    </row>
    <row r="44" ht="15.75" customHeight="1">
      <c r="A44" s="4">
        <v>40.0</v>
      </c>
      <c r="B44" s="5"/>
      <c r="C44" s="4" t="str">
        <f>IF(ISBLANK(B44),"",VLOOKUP(B44,Daftar_AHSP!$B$4:$H$2596,2,FALSE))</f>
        <v/>
      </c>
      <c r="D44" s="4" t="str">
        <f>IF(ISBLANK(B44),"",VLOOKUP(B44,Daftar_AHSP!$B$4:$H$2596,3,FALSE))</f>
        <v/>
      </c>
      <c r="E44" s="5"/>
      <c r="F44" s="6">
        <f>IF(ISBLANK(B44),0,VLOOKUP(B44,Daftar_AHSP!$B$4:$H$2596,4,FALSE)*E44)</f>
        <v>0</v>
      </c>
      <c r="G44" s="6">
        <f>IF(ISBLANK(B44),0,VLOOKUP(B44,Daftar_AHSP!$B$4:$H$2596,5,FALSE)*E44)</f>
        <v>0</v>
      </c>
      <c r="H44" s="6">
        <f>IF(ISBLANK(B44),0,VLOOKUP(B44,Daftar_AHSP!$B$4:$H$2596,6,FALSE)*E44)</f>
        <v>0</v>
      </c>
      <c r="I44" s="6">
        <f>IF(ISBLANK(B44),0,VLOOKUP(B44,Daftar_AHSP!$B$4:$H$2596,7,FALSE))</f>
        <v>0</v>
      </c>
      <c r="J44" s="6">
        <f t="shared" si="1"/>
        <v>0</v>
      </c>
    </row>
    <row r="45" ht="15.75" customHeight="1">
      <c r="A45" s="4">
        <v>41.0</v>
      </c>
      <c r="B45" s="5"/>
      <c r="C45" s="4" t="str">
        <f>IF(ISBLANK(B45),"",VLOOKUP(B45,Daftar_AHSP!$B$4:$H$2596,2,FALSE))</f>
        <v/>
      </c>
      <c r="D45" s="4" t="str">
        <f>IF(ISBLANK(B45),"",VLOOKUP(B45,Daftar_AHSP!$B$4:$H$2596,3,FALSE))</f>
        <v/>
      </c>
      <c r="E45" s="5"/>
      <c r="F45" s="6">
        <f>IF(ISBLANK(B45),0,VLOOKUP(B45,Daftar_AHSP!$B$4:$H$2596,4,FALSE)*E45)</f>
        <v>0</v>
      </c>
      <c r="G45" s="6">
        <f>IF(ISBLANK(B45),0,VLOOKUP(B45,Daftar_AHSP!$B$4:$H$2596,5,FALSE)*E45)</f>
        <v>0</v>
      </c>
      <c r="H45" s="6">
        <f>IF(ISBLANK(B45),0,VLOOKUP(B45,Daftar_AHSP!$B$4:$H$2596,6,FALSE)*E45)</f>
        <v>0</v>
      </c>
      <c r="I45" s="6">
        <f>IF(ISBLANK(B45),0,VLOOKUP(B45,Daftar_AHSP!$B$4:$H$2596,7,FALSE))</f>
        <v>0</v>
      </c>
      <c r="J45" s="6">
        <f t="shared" si="1"/>
        <v>0</v>
      </c>
    </row>
    <row r="46" ht="15.75" customHeight="1">
      <c r="A46" s="4">
        <v>42.0</v>
      </c>
      <c r="B46" s="5"/>
      <c r="C46" s="4" t="str">
        <f>IF(ISBLANK(B46),"",VLOOKUP(B46,Daftar_AHSP!$B$4:$H$2596,2,FALSE))</f>
        <v/>
      </c>
      <c r="D46" s="4" t="str">
        <f>IF(ISBLANK(B46),"",VLOOKUP(B46,Daftar_AHSP!$B$4:$H$2596,3,FALSE))</f>
        <v/>
      </c>
      <c r="E46" s="5"/>
      <c r="F46" s="6">
        <f>IF(ISBLANK(B46),0,VLOOKUP(B46,Daftar_AHSP!$B$4:$H$2596,4,FALSE)*E46)</f>
        <v>0</v>
      </c>
      <c r="G46" s="6">
        <f>IF(ISBLANK(B46),0,VLOOKUP(B46,Daftar_AHSP!$B$4:$H$2596,5,FALSE)*E46)</f>
        <v>0</v>
      </c>
      <c r="H46" s="6">
        <f>IF(ISBLANK(B46),0,VLOOKUP(B46,Daftar_AHSP!$B$4:$H$2596,6,FALSE)*E46)</f>
        <v>0</v>
      </c>
      <c r="I46" s="6">
        <f>IF(ISBLANK(B46),0,VLOOKUP(B46,Daftar_AHSP!$B$4:$H$2596,7,FALSE))</f>
        <v>0</v>
      </c>
      <c r="J46" s="6">
        <f t="shared" si="1"/>
        <v>0</v>
      </c>
    </row>
    <row r="47" ht="15.75" customHeight="1">
      <c r="A47" s="4">
        <v>43.0</v>
      </c>
      <c r="B47" s="5"/>
      <c r="C47" s="4" t="str">
        <f>IF(ISBLANK(B47),"",VLOOKUP(B47,Daftar_AHSP!$B$4:$H$2596,2,FALSE))</f>
        <v/>
      </c>
      <c r="D47" s="4" t="str">
        <f>IF(ISBLANK(B47),"",VLOOKUP(B47,Daftar_AHSP!$B$4:$H$2596,3,FALSE))</f>
        <v/>
      </c>
      <c r="E47" s="5"/>
      <c r="F47" s="6">
        <f>IF(ISBLANK(B47),0,VLOOKUP(B47,Daftar_AHSP!$B$4:$H$2596,4,FALSE)*E47)</f>
        <v>0</v>
      </c>
      <c r="G47" s="6">
        <f>IF(ISBLANK(B47),0,VLOOKUP(B47,Daftar_AHSP!$B$4:$H$2596,5,FALSE)*E47)</f>
        <v>0</v>
      </c>
      <c r="H47" s="6">
        <f>IF(ISBLANK(B47),0,VLOOKUP(B47,Daftar_AHSP!$B$4:$H$2596,6,FALSE)*E47)</f>
        <v>0</v>
      </c>
      <c r="I47" s="6">
        <f>IF(ISBLANK(B47),0,VLOOKUP(B47,Daftar_AHSP!$B$4:$H$2596,7,FALSE))</f>
        <v>0</v>
      </c>
      <c r="J47" s="6">
        <f t="shared" si="1"/>
        <v>0</v>
      </c>
    </row>
    <row r="48" ht="15.75" customHeight="1">
      <c r="A48" s="4">
        <v>44.0</v>
      </c>
      <c r="B48" s="5"/>
      <c r="C48" s="4" t="str">
        <f>IF(ISBLANK(B48),"",VLOOKUP(B48,Daftar_AHSP!$B$4:$H$2596,2,FALSE))</f>
        <v/>
      </c>
      <c r="D48" s="4" t="str">
        <f>IF(ISBLANK(B48),"",VLOOKUP(B48,Daftar_AHSP!$B$4:$H$2596,3,FALSE))</f>
        <v/>
      </c>
      <c r="E48" s="5"/>
      <c r="F48" s="6">
        <f>IF(ISBLANK(B48),0,VLOOKUP(B48,Daftar_AHSP!$B$4:$H$2596,4,FALSE)*E48)</f>
        <v>0</v>
      </c>
      <c r="G48" s="6">
        <f>IF(ISBLANK(B48),0,VLOOKUP(B48,Daftar_AHSP!$B$4:$H$2596,5,FALSE)*E48)</f>
        <v>0</v>
      </c>
      <c r="H48" s="6">
        <f>IF(ISBLANK(B48),0,VLOOKUP(B48,Daftar_AHSP!$B$4:$H$2596,6,FALSE)*E48)</f>
        <v>0</v>
      </c>
      <c r="I48" s="6">
        <f>IF(ISBLANK(B48),0,VLOOKUP(B48,Daftar_AHSP!$B$4:$H$2596,7,FALSE))</f>
        <v>0</v>
      </c>
      <c r="J48" s="6">
        <f t="shared" si="1"/>
        <v>0</v>
      </c>
    </row>
    <row r="49" ht="15.75" customHeight="1">
      <c r="A49" s="4">
        <v>45.0</v>
      </c>
      <c r="B49" s="5"/>
      <c r="C49" s="4" t="str">
        <f>IF(ISBLANK(B49),"",VLOOKUP(B49,Daftar_AHSP!$B$4:$H$2596,2,FALSE))</f>
        <v/>
      </c>
      <c r="D49" s="4" t="str">
        <f>IF(ISBLANK(B49),"",VLOOKUP(B49,Daftar_AHSP!$B$4:$H$2596,3,FALSE))</f>
        <v/>
      </c>
      <c r="E49" s="5"/>
      <c r="F49" s="6">
        <f>IF(ISBLANK(B49),0,VLOOKUP(B49,Daftar_AHSP!$B$4:$H$2596,4,FALSE)*E49)</f>
        <v>0</v>
      </c>
      <c r="G49" s="6">
        <f>IF(ISBLANK(B49),0,VLOOKUP(B49,Daftar_AHSP!$B$4:$H$2596,5,FALSE)*E49)</f>
        <v>0</v>
      </c>
      <c r="H49" s="6">
        <f>IF(ISBLANK(B49),0,VLOOKUP(B49,Daftar_AHSP!$B$4:$H$2596,6,FALSE)*E49)</f>
        <v>0</v>
      </c>
      <c r="I49" s="6">
        <f>IF(ISBLANK(B49),0,VLOOKUP(B49,Daftar_AHSP!$B$4:$H$2596,7,FALSE))</f>
        <v>0</v>
      </c>
      <c r="J49" s="6">
        <f t="shared" si="1"/>
        <v>0</v>
      </c>
    </row>
    <row r="50" ht="15.75" customHeight="1">
      <c r="A50" s="4">
        <v>46.0</v>
      </c>
      <c r="B50" s="5"/>
      <c r="C50" s="4" t="str">
        <f>IF(ISBLANK(B50),"",VLOOKUP(B50,Daftar_AHSP!$B$4:$H$2596,2,FALSE))</f>
        <v/>
      </c>
      <c r="D50" s="4" t="str">
        <f>IF(ISBLANK(B50),"",VLOOKUP(B50,Daftar_AHSP!$B$4:$H$2596,3,FALSE))</f>
        <v/>
      </c>
      <c r="E50" s="5"/>
      <c r="F50" s="6">
        <f>IF(ISBLANK(B50),0,VLOOKUP(B50,Daftar_AHSP!$B$4:$H$2596,4,FALSE)*E50)</f>
        <v>0</v>
      </c>
      <c r="G50" s="6">
        <f>IF(ISBLANK(B50),0,VLOOKUP(B50,Daftar_AHSP!$B$4:$H$2596,5,FALSE)*E50)</f>
        <v>0</v>
      </c>
      <c r="H50" s="6">
        <f>IF(ISBLANK(B50),0,VLOOKUP(B50,Daftar_AHSP!$B$4:$H$2596,6,FALSE)*E50)</f>
        <v>0</v>
      </c>
      <c r="I50" s="6">
        <f>IF(ISBLANK(B50),0,VLOOKUP(B50,Daftar_AHSP!$B$4:$H$2596,7,FALSE))</f>
        <v>0</v>
      </c>
      <c r="J50" s="6">
        <f t="shared" si="1"/>
        <v>0</v>
      </c>
    </row>
    <row r="51" ht="15.75" customHeight="1">
      <c r="A51" s="4">
        <v>47.0</v>
      </c>
      <c r="B51" s="5"/>
      <c r="C51" s="4" t="str">
        <f>IF(ISBLANK(B51),"",VLOOKUP(B51,Daftar_AHSP!$B$4:$H$2596,2,FALSE))</f>
        <v/>
      </c>
      <c r="D51" s="4" t="str">
        <f>IF(ISBLANK(B51),"",VLOOKUP(B51,Daftar_AHSP!$B$4:$H$2596,3,FALSE))</f>
        <v/>
      </c>
      <c r="E51" s="5"/>
      <c r="F51" s="6">
        <f>IF(ISBLANK(B51),0,VLOOKUP(B51,Daftar_AHSP!$B$4:$H$2596,4,FALSE)*E51)</f>
        <v>0</v>
      </c>
      <c r="G51" s="6">
        <f>IF(ISBLANK(B51),0,VLOOKUP(B51,Daftar_AHSP!$B$4:$H$2596,5,FALSE)*E51)</f>
        <v>0</v>
      </c>
      <c r="H51" s="6">
        <f>IF(ISBLANK(B51),0,VLOOKUP(B51,Daftar_AHSP!$B$4:$H$2596,6,FALSE)*E51)</f>
        <v>0</v>
      </c>
      <c r="I51" s="6">
        <f>IF(ISBLANK(B51),0,VLOOKUP(B51,Daftar_AHSP!$B$4:$H$2596,7,FALSE))</f>
        <v>0</v>
      </c>
      <c r="J51" s="6">
        <f t="shared" si="1"/>
        <v>0</v>
      </c>
    </row>
    <row r="52" ht="15.75" customHeight="1">
      <c r="A52" s="4">
        <v>48.0</v>
      </c>
      <c r="B52" s="5"/>
      <c r="C52" s="4" t="str">
        <f>IF(ISBLANK(B52),"",VLOOKUP(B52,Daftar_AHSP!$B$4:$H$2596,2,FALSE))</f>
        <v/>
      </c>
      <c r="D52" s="4" t="str">
        <f>IF(ISBLANK(B52),"",VLOOKUP(B52,Daftar_AHSP!$B$4:$H$2596,3,FALSE))</f>
        <v/>
      </c>
      <c r="E52" s="5"/>
      <c r="F52" s="6">
        <f>IF(ISBLANK(B52),0,VLOOKUP(B52,Daftar_AHSP!$B$4:$H$2596,4,FALSE)*E52)</f>
        <v>0</v>
      </c>
      <c r="G52" s="6">
        <f>IF(ISBLANK(B52),0,VLOOKUP(B52,Daftar_AHSP!$B$4:$H$2596,5,FALSE)*E52)</f>
        <v>0</v>
      </c>
      <c r="H52" s="6">
        <f>IF(ISBLANK(B52),0,VLOOKUP(B52,Daftar_AHSP!$B$4:$H$2596,6,FALSE)*E52)</f>
        <v>0</v>
      </c>
      <c r="I52" s="6">
        <f>IF(ISBLANK(B52),0,VLOOKUP(B52,Daftar_AHSP!$B$4:$H$2596,7,FALSE))</f>
        <v>0</v>
      </c>
      <c r="J52" s="6">
        <f t="shared" si="1"/>
        <v>0</v>
      </c>
    </row>
    <row r="53" ht="15.75" customHeight="1">
      <c r="A53" s="4">
        <v>49.0</v>
      </c>
      <c r="B53" s="5"/>
      <c r="C53" s="4" t="str">
        <f>IF(ISBLANK(B53),"",VLOOKUP(B53,Daftar_AHSP!$B$4:$H$2596,2,FALSE))</f>
        <v/>
      </c>
      <c r="D53" s="4" t="str">
        <f>IF(ISBLANK(B53),"",VLOOKUP(B53,Daftar_AHSP!$B$4:$H$2596,3,FALSE))</f>
        <v/>
      </c>
      <c r="E53" s="5"/>
      <c r="F53" s="6">
        <f>IF(ISBLANK(B53),0,VLOOKUP(B53,Daftar_AHSP!$B$4:$H$2596,4,FALSE)*E53)</f>
        <v>0</v>
      </c>
      <c r="G53" s="6">
        <f>IF(ISBLANK(B53),0,VLOOKUP(B53,Daftar_AHSP!$B$4:$H$2596,5,FALSE)*E53)</f>
        <v>0</v>
      </c>
      <c r="H53" s="6">
        <f>IF(ISBLANK(B53),0,VLOOKUP(B53,Daftar_AHSP!$B$4:$H$2596,6,FALSE)*E53)</f>
        <v>0</v>
      </c>
      <c r="I53" s="6">
        <f>IF(ISBLANK(B53),0,VLOOKUP(B53,Daftar_AHSP!$B$4:$H$2596,7,FALSE))</f>
        <v>0</v>
      </c>
      <c r="J53" s="6">
        <f t="shared" si="1"/>
        <v>0</v>
      </c>
    </row>
    <row r="54" ht="15.75" customHeight="1">
      <c r="A54" s="4">
        <v>50.0</v>
      </c>
      <c r="B54" s="5"/>
      <c r="C54" s="4" t="str">
        <f>IF(ISBLANK(B54),"",VLOOKUP(B54,Daftar_AHSP!$B$4:$H$2596,2,FALSE))</f>
        <v/>
      </c>
      <c r="D54" s="4" t="str">
        <f>IF(ISBLANK(B54),"",VLOOKUP(B54,Daftar_AHSP!$B$4:$H$2596,3,FALSE))</f>
        <v/>
      </c>
      <c r="E54" s="5"/>
      <c r="F54" s="6">
        <f>IF(ISBLANK(B54),0,VLOOKUP(B54,Daftar_AHSP!$B$4:$H$2596,4,FALSE)*E54)</f>
        <v>0</v>
      </c>
      <c r="G54" s="6">
        <f>IF(ISBLANK(B54),0,VLOOKUP(B54,Daftar_AHSP!$B$4:$H$2596,5,FALSE)*E54)</f>
        <v>0</v>
      </c>
      <c r="H54" s="6">
        <f>IF(ISBLANK(B54),0,VLOOKUP(B54,Daftar_AHSP!$B$4:$H$2596,6,FALSE)*E54)</f>
        <v>0</v>
      </c>
      <c r="I54" s="6">
        <f>IF(ISBLANK(B54),0,VLOOKUP(B54,Daftar_AHSP!$B$4:$H$2596,7,FALSE))</f>
        <v>0</v>
      </c>
      <c r="J54" s="6">
        <f t="shared" si="1"/>
        <v>0</v>
      </c>
    </row>
    <row r="55" ht="15.75" customHeight="1">
      <c r="A55" s="7" t="s">
        <v>14</v>
      </c>
      <c r="J55" s="8">
        <f>SUM(J5:J54)</f>
        <v>82828400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5:I55"/>
  </mergeCells>
  <dataValidations>
    <dataValidation type="list" allowBlank="1" sqref="B5:B54">
      <formula1>Daftar_AHSP!$B$4:$B$2596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3" width="60.0"/>
    <col customWidth="1" min="4" max="4" width="8.71"/>
    <col customWidth="1" min="5" max="7" width="18.0"/>
    <col customWidth="1" min="8" max="8" width="20.0"/>
    <col customWidth="1" min="9" max="26" width="8.71"/>
  </cols>
  <sheetData>
    <row r="1">
      <c r="A1" s="1" t="s">
        <v>15</v>
      </c>
    </row>
    <row r="3">
      <c r="A3" s="3" t="s">
        <v>2</v>
      </c>
      <c r="B3" s="3" t="s">
        <v>16</v>
      </c>
      <c r="C3" s="3" t="s">
        <v>4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>
      <c r="A4" s="9">
        <v>1.0</v>
      </c>
      <c r="B4" s="9" t="s">
        <v>22</v>
      </c>
      <c r="C4" s="10" t="s">
        <v>23</v>
      </c>
      <c r="D4" s="9"/>
      <c r="E4" s="11"/>
      <c r="F4" s="11"/>
      <c r="G4" s="11"/>
      <c r="H4" s="11"/>
    </row>
    <row r="5">
      <c r="A5" s="9">
        <v>2.0</v>
      </c>
      <c r="B5" s="9" t="s">
        <v>24</v>
      </c>
      <c r="C5" s="10" t="s">
        <v>25</v>
      </c>
      <c r="D5" s="9"/>
      <c r="E5" s="11"/>
      <c r="F5" s="11"/>
      <c r="G5" s="11"/>
      <c r="H5" s="11"/>
    </row>
    <row r="6">
      <c r="A6" s="4">
        <v>3.0</v>
      </c>
      <c r="B6" s="4" t="s">
        <v>12</v>
      </c>
      <c r="C6" s="4" t="s">
        <v>26</v>
      </c>
      <c r="D6" s="4" t="s">
        <v>27</v>
      </c>
      <c r="E6" s="6">
        <v>127600.0</v>
      </c>
      <c r="F6" s="6">
        <v>588215.63</v>
      </c>
      <c r="G6" s="6">
        <v>0.0</v>
      </c>
      <c r="H6" s="6">
        <v>787397.0</v>
      </c>
    </row>
    <row r="7">
      <c r="A7" s="4">
        <v>4.0</v>
      </c>
      <c r="B7" s="4" t="s">
        <v>28</v>
      </c>
      <c r="C7" s="4" t="s">
        <v>29</v>
      </c>
      <c r="D7" s="4" t="s">
        <v>27</v>
      </c>
      <c r="E7" s="6">
        <v>67225.0</v>
      </c>
      <c r="F7" s="6">
        <v>510526.79</v>
      </c>
      <c r="G7" s="6">
        <v>0.0</v>
      </c>
      <c r="H7" s="6">
        <v>635526.0</v>
      </c>
    </row>
    <row r="8">
      <c r="A8" s="4">
        <v>5.0</v>
      </c>
      <c r="B8" s="4" t="s">
        <v>30</v>
      </c>
      <c r="C8" s="4" t="s">
        <v>31</v>
      </c>
      <c r="D8" s="4" t="s">
        <v>27</v>
      </c>
      <c r="E8" s="6">
        <v>82885.0</v>
      </c>
      <c r="F8" s="6">
        <v>260969.445</v>
      </c>
      <c r="G8" s="6">
        <v>0.0</v>
      </c>
      <c r="H8" s="6">
        <v>378239.0</v>
      </c>
    </row>
    <row r="9">
      <c r="A9" s="4">
        <v>6.0</v>
      </c>
      <c r="B9" s="4" t="s">
        <v>32</v>
      </c>
      <c r="C9" s="4" t="s">
        <v>33</v>
      </c>
      <c r="D9" s="4" t="s">
        <v>27</v>
      </c>
      <c r="E9" s="6">
        <v>53000.0</v>
      </c>
      <c r="F9" s="6">
        <v>336915.0</v>
      </c>
      <c r="G9" s="6">
        <v>0.0</v>
      </c>
      <c r="H9" s="6">
        <v>428906.0</v>
      </c>
    </row>
    <row r="10">
      <c r="A10" s="4">
        <v>7.0</v>
      </c>
      <c r="B10" s="4" t="s">
        <v>34</v>
      </c>
      <c r="C10" s="4" t="s">
        <v>35</v>
      </c>
      <c r="D10" s="4" t="s">
        <v>36</v>
      </c>
      <c r="E10" s="6">
        <v>10900.0</v>
      </c>
      <c r="F10" s="6">
        <v>4947.0</v>
      </c>
      <c r="G10" s="6">
        <v>0.0</v>
      </c>
      <c r="H10" s="6">
        <v>17431.0</v>
      </c>
    </row>
    <row r="11">
      <c r="A11" s="4">
        <v>8.0</v>
      </c>
      <c r="B11" s="4" t="s">
        <v>37</v>
      </c>
      <c r="C11" s="4" t="s">
        <v>38</v>
      </c>
      <c r="D11" s="4" t="s">
        <v>36</v>
      </c>
      <c r="E11" s="6">
        <v>0.0</v>
      </c>
      <c r="F11" s="6">
        <v>0.0</v>
      </c>
      <c r="G11" s="6">
        <v>0.0</v>
      </c>
      <c r="H11" s="6">
        <v>484982.0</v>
      </c>
    </row>
    <row r="12">
      <c r="A12" s="9">
        <v>9.0</v>
      </c>
      <c r="B12" s="9" t="s">
        <v>39</v>
      </c>
      <c r="C12" s="10" t="s">
        <v>40</v>
      </c>
      <c r="D12" s="9"/>
      <c r="E12" s="11"/>
      <c r="F12" s="11"/>
      <c r="G12" s="11"/>
      <c r="H12" s="11"/>
    </row>
    <row r="13">
      <c r="A13" s="4">
        <v>10.0</v>
      </c>
      <c r="B13" s="4" t="s">
        <v>41</v>
      </c>
      <c r="C13" s="4" t="s">
        <v>42</v>
      </c>
      <c r="D13" s="4" t="s">
        <v>43</v>
      </c>
      <c r="E13" s="6">
        <v>0.0</v>
      </c>
      <c r="F13" s="6">
        <v>0.0</v>
      </c>
      <c r="G13" s="6">
        <v>0.0</v>
      </c>
      <c r="H13" s="6">
        <v>1909085.0</v>
      </c>
    </row>
    <row r="14">
      <c r="A14" s="4">
        <v>11.0</v>
      </c>
      <c r="B14" s="4" t="s">
        <v>44</v>
      </c>
      <c r="C14" s="4" t="s">
        <v>45</v>
      </c>
      <c r="D14" s="4" t="s">
        <v>43</v>
      </c>
      <c r="E14" s="6">
        <v>0.0</v>
      </c>
      <c r="F14" s="6">
        <v>0.0</v>
      </c>
      <c r="G14" s="6">
        <v>0.0</v>
      </c>
      <c r="H14" s="6">
        <v>702576.0</v>
      </c>
    </row>
    <row r="15">
      <c r="A15" s="4">
        <v>12.0</v>
      </c>
      <c r="B15" s="4" t="s">
        <v>46</v>
      </c>
      <c r="C15" s="4" t="s">
        <v>47</v>
      </c>
      <c r="D15" s="4" t="s">
        <v>36</v>
      </c>
      <c r="E15" s="6">
        <v>707500.0</v>
      </c>
      <c r="F15" s="6">
        <v>2475485.0</v>
      </c>
      <c r="G15" s="6">
        <v>0.0</v>
      </c>
      <c r="H15" s="6">
        <v>3501283.0</v>
      </c>
    </row>
    <row r="16">
      <c r="A16" s="4">
        <v>13.0</v>
      </c>
      <c r="B16" s="4" t="s">
        <v>48</v>
      </c>
      <c r="C16" s="4" t="s">
        <v>49</v>
      </c>
      <c r="D16" s="4" t="s">
        <v>36</v>
      </c>
      <c r="E16" s="6">
        <v>209000.0</v>
      </c>
      <c r="F16" s="6">
        <v>4972535.0</v>
      </c>
      <c r="G16" s="6">
        <v>0.0</v>
      </c>
      <c r="H16" s="6">
        <v>5699688.0</v>
      </c>
    </row>
    <row r="17">
      <c r="A17" s="4">
        <v>14.0</v>
      </c>
      <c r="B17" s="4" t="s">
        <v>50</v>
      </c>
      <c r="C17" s="4" t="s">
        <v>51</v>
      </c>
      <c r="D17" s="4" t="s">
        <v>36</v>
      </c>
      <c r="E17" s="6">
        <v>28642.5</v>
      </c>
      <c r="F17" s="6">
        <v>654584.0</v>
      </c>
      <c r="G17" s="6">
        <v>560772.3800000001</v>
      </c>
      <c r="H17" s="6">
        <v>1368398.0</v>
      </c>
    </row>
    <row r="18">
      <c r="A18" s="4">
        <v>15.0</v>
      </c>
      <c r="B18" s="4" t="s">
        <v>52</v>
      </c>
      <c r="C18" s="4" t="s">
        <v>53</v>
      </c>
      <c r="D18" s="4" t="s">
        <v>36</v>
      </c>
      <c r="E18" s="6">
        <v>0.0</v>
      </c>
      <c r="F18" s="6">
        <v>0.0</v>
      </c>
      <c r="G18" s="6">
        <v>0.0</v>
      </c>
      <c r="H18" s="6">
        <v>1281336.0</v>
      </c>
    </row>
    <row r="19">
      <c r="A19" s="4">
        <v>16.0</v>
      </c>
      <c r="B19" s="4" t="s">
        <v>54</v>
      </c>
      <c r="C19" s="4" t="s">
        <v>55</v>
      </c>
      <c r="D19" s="4" t="s">
        <v>36</v>
      </c>
      <c r="E19" s="6">
        <v>0.0</v>
      </c>
      <c r="F19" s="6">
        <v>0.0</v>
      </c>
      <c r="G19" s="6">
        <v>0.0</v>
      </c>
      <c r="H19" s="6">
        <v>1343259.0</v>
      </c>
    </row>
    <row r="20">
      <c r="A20" s="9">
        <v>17.0</v>
      </c>
      <c r="B20" s="9" t="s">
        <v>56</v>
      </c>
      <c r="C20" s="10" t="s">
        <v>57</v>
      </c>
      <c r="D20" s="9"/>
      <c r="E20" s="11"/>
      <c r="F20" s="11"/>
      <c r="G20" s="11"/>
      <c r="H20" s="11"/>
    </row>
    <row r="21" ht="15.75" customHeight="1">
      <c r="A21" s="4">
        <v>18.0</v>
      </c>
      <c r="B21" s="4" t="s">
        <v>58</v>
      </c>
      <c r="C21" s="4" t="s">
        <v>59</v>
      </c>
      <c r="D21" s="4" t="s">
        <v>36</v>
      </c>
      <c r="E21" s="6">
        <v>0.0</v>
      </c>
      <c r="F21" s="6">
        <v>0.0</v>
      </c>
      <c r="G21" s="6">
        <v>0.0</v>
      </c>
      <c r="H21" s="6">
        <v>12100.0</v>
      </c>
    </row>
    <row r="22" ht="15.75" customHeight="1">
      <c r="A22" s="4">
        <v>19.0</v>
      </c>
      <c r="B22" s="4" t="s">
        <v>60</v>
      </c>
      <c r="C22" s="4" t="s">
        <v>61</v>
      </c>
      <c r="D22" s="4" t="s">
        <v>36</v>
      </c>
      <c r="E22" s="6">
        <v>3600.0</v>
      </c>
      <c r="F22" s="6">
        <v>0.0</v>
      </c>
      <c r="G22" s="6">
        <v>0.0</v>
      </c>
      <c r="H22" s="6">
        <v>3960.0</v>
      </c>
    </row>
    <row r="23" ht="15.75" customHeight="1">
      <c r="A23" s="4">
        <v>20.0</v>
      </c>
      <c r="B23" s="4" t="s">
        <v>62</v>
      </c>
      <c r="C23" s="4" t="s">
        <v>63</v>
      </c>
      <c r="D23" s="4" t="s">
        <v>36</v>
      </c>
      <c r="E23" s="6">
        <v>0.0</v>
      </c>
      <c r="F23" s="6">
        <v>0.0</v>
      </c>
      <c r="G23" s="6">
        <v>0.0</v>
      </c>
      <c r="H23" s="6">
        <v>6600.0</v>
      </c>
    </row>
    <row r="24" ht="15.75" customHeight="1">
      <c r="A24" s="4">
        <v>21.0</v>
      </c>
      <c r="B24" s="4" t="s">
        <v>64</v>
      </c>
      <c r="C24" s="4" t="s">
        <v>65</v>
      </c>
      <c r="D24" s="4" t="s">
        <v>66</v>
      </c>
      <c r="E24" s="6">
        <v>0.0</v>
      </c>
      <c r="F24" s="6">
        <v>0.0</v>
      </c>
      <c r="G24" s="6">
        <v>0.0</v>
      </c>
      <c r="H24" s="6">
        <v>22341.0</v>
      </c>
    </row>
    <row r="25" ht="15.75" customHeight="1">
      <c r="A25" s="4">
        <v>22.0</v>
      </c>
      <c r="B25" s="4" t="s">
        <v>67</v>
      </c>
      <c r="C25" s="4" t="s">
        <v>68</v>
      </c>
      <c r="D25" s="4" t="s">
        <v>66</v>
      </c>
      <c r="E25" s="6">
        <v>1440.0</v>
      </c>
      <c r="F25" s="6">
        <v>0.0</v>
      </c>
      <c r="G25" s="6">
        <v>18750.0</v>
      </c>
      <c r="H25" s="6">
        <v>22209.0</v>
      </c>
    </row>
    <row r="26" ht="15.75" customHeight="1">
      <c r="A26" s="4">
        <v>23.0</v>
      </c>
      <c r="B26" s="4" t="s">
        <v>69</v>
      </c>
      <c r="C26" s="4" t="s">
        <v>70</v>
      </c>
      <c r="D26" s="4" t="s">
        <v>66</v>
      </c>
      <c r="E26" s="6">
        <v>0.0</v>
      </c>
      <c r="F26" s="6">
        <v>0.0</v>
      </c>
      <c r="G26" s="6">
        <v>0.0</v>
      </c>
      <c r="H26" s="6">
        <v>48840.0</v>
      </c>
    </row>
    <row r="27" ht="15.75" customHeight="1">
      <c r="A27" s="4">
        <v>24.0</v>
      </c>
      <c r="B27" s="4" t="s">
        <v>71</v>
      </c>
      <c r="C27" s="4" t="s">
        <v>72</v>
      </c>
      <c r="D27" s="4" t="s">
        <v>66</v>
      </c>
      <c r="E27" s="6">
        <v>30000.0</v>
      </c>
      <c r="F27" s="6">
        <v>0.0</v>
      </c>
      <c r="G27" s="6">
        <v>27000.0</v>
      </c>
      <c r="H27" s="6">
        <v>62700.0</v>
      </c>
    </row>
    <row r="28" ht="15.75" customHeight="1">
      <c r="A28" s="4">
        <v>25.0</v>
      </c>
      <c r="B28" s="4" t="s">
        <v>73</v>
      </c>
      <c r="C28" s="4" t="s">
        <v>74</v>
      </c>
      <c r="D28" s="4" t="s">
        <v>75</v>
      </c>
      <c r="E28" s="6">
        <v>17150.0</v>
      </c>
      <c r="F28" s="6">
        <v>0.0</v>
      </c>
      <c r="G28" s="6">
        <v>27000.0</v>
      </c>
      <c r="H28" s="6">
        <v>48565.0</v>
      </c>
    </row>
    <row r="29" ht="15.75" customHeight="1">
      <c r="A29" s="4">
        <v>26.0</v>
      </c>
      <c r="B29" s="4" t="s">
        <v>76</v>
      </c>
      <c r="C29" s="4" t="s">
        <v>77</v>
      </c>
      <c r="D29" s="4" t="s">
        <v>75</v>
      </c>
      <c r="E29" s="6">
        <v>20110.0</v>
      </c>
      <c r="F29" s="6">
        <v>0.0</v>
      </c>
      <c r="G29" s="6">
        <v>42000.00000000001</v>
      </c>
      <c r="H29" s="6">
        <v>68321.0</v>
      </c>
    </row>
    <row r="30" ht="15.75" customHeight="1">
      <c r="A30" s="4">
        <v>27.0</v>
      </c>
      <c r="B30" s="4" t="s">
        <v>78</v>
      </c>
      <c r="C30" s="4" t="s">
        <v>79</v>
      </c>
      <c r="D30" s="4" t="s">
        <v>75</v>
      </c>
      <c r="E30" s="6">
        <v>21890.0</v>
      </c>
      <c r="F30" s="6">
        <v>0.0</v>
      </c>
      <c r="G30" s="6">
        <v>66000.0</v>
      </c>
      <c r="H30" s="6">
        <v>96679.0</v>
      </c>
    </row>
    <row r="31" ht="15.75" customHeight="1">
      <c r="A31" s="4">
        <v>28.0</v>
      </c>
      <c r="B31" s="4" t="s">
        <v>80</v>
      </c>
      <c r="C31" s="4" t="s">
        <v>81</v>
      </c>
      <c r="D31" s="4" t="s">
        <v>75</v>
      </c>
      <c r="E31" s="6">
        <v>0.0</v>
      </c>
      <c r="F31" s="6">
        <v>0.0</v>
      </c>
      <c r="G31" s="6">
        <v>0.0</v>
      </c>
      <c r="H31" s="6">
        <v>149985.0</v>
      </c>
    </row>
    <row r="32" ht="15.75" customHeight="1">
      <c r="A32" s="4">
        <v>29.0</v>
      </c>
      <c r="B32" s="4" t="s">
        <v>82</v>
      </c>
      <c r="C32" s="4" t="s">
        <v>83</v>
      </c>
      <c r="D32" s="4" t="s">
        <v>75</v>
      </c>
      <c r="E32" s="6">
        <v>41190.0</v>
      </c>
      <c r="F32" s="6">
        <v>0.0</v>
      </c>
      <c r="G32" s="6">
        <v>157200.0</v>
      </c>
      <c r="H32" s="6">
        <v>218229.0</v>
      </c>
    </row>
    <row r="33" ht="15.75" customHeight="1">
      <c r="A33" s="4">
        <v>30.0</v>
      </c>
      <c r="B33" s="4" t="s">
        <v>84</v>
      </c>
      <c r="C33" s="4" t="s">
        <v>85</v>
      </c>
      <c r="D33" s="4" t="s">
        <v>75</v>
      </c>
      <c r="E33" s="6">
        <v>18090.0</v>
      </c>
      <c r="F33" s="6">
        <v>0.0</v>
      </c>
      <c r="G33" s="6">
        <v>27000.0</v>
      </c>
      <c r="H33" s="6">
        <v>49599.0</v>
      </c>
    </row>
    <row r="34" ht="15.75" customHeight="1">
      <c r="A34" s="4">
        <v>31.0</v>
      </c>
      <c r="B34" s="4" t="s">
        <v>86</v>
      </c>
      <c r="C34" s="4" t="s">
        <v>87</v>
      </c>
      <c r="D34" s="4" t="s">
        <v>75</v>
      </c>
      <c r="E34" s="6">
        <v>29950.0</v>
      </c>
      <c r="F34" s="6">
        <v>0.0</v>
      </c>
      <c r="G34" s="6">
        <v>42000.00000000001</v>
      </c>
      <c r="H34" s="6">
        <v>79145.0</v>
      </c>
    </row>
    <row r="35" ht="15.75" customHeight="1">
      <c r="A35" s="4">
        <v>32.0</v>
      </c>
      <c r="B35" s="4" t="s">
        <v>88</v>
      </c>
      <c r="C35" s="4" t="s">
        <v>89</v>
      </c>
      <c r="D35" s="4" t="s">
        <v>90</v>
      </c>
      <c r="E35" s="6">
        <v>36990.0</v>
      </c>
      <c r="F35" s="6">
        <v>0.0</v>
      </c>
      <c r="G35" s="6">
        <v>66000.0</v>
      </c>
      <c r="H35" s="6">
        <v>113289.0</v>
      </c>
    </row>
    <row r="36" ht="15.75" customHeight="1">
      <c r="A36" s="4">
        <v>33.0</v>
      </c>
      <c r="B36" s="4" t="s">
        <v>91</v>
      </c>
      <c r="C36" s="4" t="s">
        <v>92</v>
      </c>
      <c r="D36" s="4" t="s">
        <v>27</v>
      </c>
      <c r="E36" s="6">
        <v>56550.0</v>
      </c>
      <c r="F36" s="6">
        <v>0.0</v>
      </c>
      <c r="G36" s="6">
        <v>105000.0</v>
      </c>
      <c r="H36" s="6">
        <v>177705.0</v>
      </c>
    </row>
    <row r="37" ht="15.75" customHeight="1">
      <c r="A37" s="4">
        <v>34.0</v>
      </c>
      <c r="B37" s="4" t="s">
        <v>93</v>
      </c>
      <c r="C37" s="4" t="s">
        <v>94</v>
      </c>
      <c r="D37" s="4" t="s">
        <v>27</v>
      </c>
      <c r="E37" s="6">
        <v>90000.0</v>
      </c>
      <c r="F37" s="6">
        <v>0.0</v>
      </c>
      <c r="G37" s="6">
        <v>157200.0</v>
      </c>
      <c r="H37" s="6">
        <v>271920.0</v>
      </c>
    </row>
    <row r="38" ht="15.75" customHeight="1">
      <c r="A38" s="9">
        <v>35.0</v>
      </c>
      <c r="B38" s="9" t="s">
        <v>95</v>
      </c>
      <c r="C38" s="10" t="s">
        <v>96</v>
      </c>
      <c r="D38" s="9"/>
      <c r="E38" s="11"/>
      <c r="F38" s="11"/>
      <c r="G38" s="11"/>
      <c r="H38" s="11"/>
    </row>
    <row r="39" ht="15.75" customHeight="1">
      <c r="A39" s="4">
        <v>36.0</v>
      </c>
      <c r="B39" s="4" t="s">
        <v>97</v>
      </c>
      <c r="C39" s="4" t="s">
        <v>98</v>
      </c>
      <c r="D39" s="4" t="s">
        <v>90</v>
      </c>
      <c r="E39" s="6">
        <v>1193750.0</v>
      </c>
      <c r="F39" s="6">
        <v>1560423.92</v>
      </c>
      <c r="G39" s="6">
        <v>225000.0</v>
      </c>
      <c r="H39" s="6">
        <v>3277091.0</v>
      </c>
    </row>
    <row r="40" ht="15.75" customHeight="1">
      <c r="A40" s="4">
        <v>37.0</v>
      </c>
      <c r="B40" s="4" t="s">
        <v>99</v>
      </c>
      <c r="C40" s="4" t="s">
        <v>100</v>
      </c>
      <c r="D40" s="4" t="s">
        <v>27</v>
      </c>
      <c r="E40" s="6">
        <v>2415.0</v>
      </c>
      <c r="F40" s="6">
        <v>152919.6</v>
      </c>
      <c r="G40" s="6">
        <v>600.0</v>
      </c>
      <c r="H40" s="6">
        <v>171528.0</v>
      </c>
    </row>
    <row r="41" ht="15.75" customHeight="1">
      <c r="A41" s="4">
        <v>38.0</v>
      </c>
      <c r="B41" s="4" t="s">
        <v>101</v>
      </c>
      <c r="C41" s="4" t="s">
        <v>102</v>
      </c>
      <c r="D41" s="4" t="s">
        <v>27</v>
      </c>
      <c r="E41" s="6">
        <v>1610.0</v>
      </c>
      <c r="F41" s="6">
        <v>171933.6</v>
      </c>
      <c r="G41" s="6">
        <v>400.0</v>
      </c>
      <c r="H41" s="6">
        <v>191337.0</v>
      </c>
    </row>
    <row r="42" ht="15.75" customHeight="1">
      <c r="A42" s="4">
        <v>39.0</v>
      </c>
      <c r="B42" s="4" t="s">
        <v>103</v>
      </c>
      <c r="C42" s="4" t="s">
        <v>104</v>
      </c>
      <c r="D42" s="4" t="s">
        <v>27</v>
      </c>
      <c r="E42" s="6">
        <v>2415.0</v>
      </c>
      <c r="F42" s="6">
        <v>74898.70000000001</v>
      </c>
      <c r="G42" s="6">
        <v>450.0</v>
      </c>
      <c r="H42" s="6">
        <v>85540.0</v>
      </c>
    </row>
    <row r="43" ht="15.75" customHeight="1">
      <c r="A43" s="4">
        <v>40.0</v>
      </c>
      <c r="B43" s="4" t="s">
        <v>105</v>
      </c>
      <c r="C43" s="4" t="s">
        <v>106</v>
      </c>
      <c r="D43" s="4" t="s">
        <v>27</v>
      </c>
      <c r="E43" s="6">
        <v>81797.6128037037</v>
      </c>
      <c r="F43" s="6">
        <v>49350.0</v>
      </c>
      <c r="G43" s="6">
        <v>0.0</v>
      </c>
      <c r="H43" s="6">
        <v>144262.0</v>
      </c>
    </row>
    <row r="44" ht="15.75" customHeight="1">
      <c r="A44" s="4">
        <v>41.0</v>
      </c>
      <c r="B44" s="4" t="s">
        <v>107</v>
      </c>
      <c r="C44" s="4" t="s">
        <v>108</v>
      </c>
      <c r="D44" s="4" t="s">
        <v>27</v>
      </c>
      <c r="E44" s="6">
        <v>168621.2786296296</v>
      </c>
      <c r="F44" s="6">
        <v>27594.5</v>
      </c>
      <c r="G44" s="6">
        <v>0.0</v>
      </c>
      <c r="H44" s="6">
        <v>215837.0</v>
      </c>
    </row>
    <row r="45" ht="15.75" customHeight="1">
      <c r="A45" s="9">
        <v>42.0</v>
      </c>
      <c r="B45" s="9" t="s">
        <v>109</v>
      </c>
      <c r="C45" s="10" t="s">
        <v>110</v>
      </c>
      <c r="D45" s="9"/>
      <c r="E45" s="11"/>
      <c r="F45" s="11"/>
      <c r="G45" s="11"/>
      <c r="H45" s="11"/>
    </row>
    <row r="46" ht="15.75" customHeight="1">
      <c r="A46" s="9">
        <v>43.0</v>
      </c>
      <c r="B46" s="9" t="s">
        <v>111</v>
      </c>
      <c r="C46" s="10" t="s">
        <v>112</v>
      </c>
      <c r="D46" s="9"/>
      <c r="E46" s="11"/>
      <c r="F46" s="11"/>
      <c r="G46" s="11"/>
      <c r="H46" s="11"/>
    </row>
    <row r="47" ht="15.75" customHeight="1">
      <c r="A47" s="9">
        <v>44.0</v>
      </c>
      <c r="B47" s="9" t="s">
        <v>113</v>
      </c>
      <c r="C47" s="10" t="s">
        <v>114</v>
      </c>
      <c r="D47" s="9"/>
      <c r="E47" s="11"/>
      <c r="F47" s="11"/>
      <c r="G47" s="11"/>
      <c r="H47" s="11"/>
    </row>
    <row r="48" ht="15.75" customHeight="1">
      <c r="A48" s="4">
        <v>45.0</v>
      </c>
      <c r="B48" s="4" t="s">
        <v>13</v>
      </c>
      <c r="C48" s="4" t="s">
        <v>115</v>
      </c>
      <c r="D48" s="4" t="s">
        <v>116</v>
      </c>
      <c r="E48" s="6">
        <v>0.0</v>
      </c>
      <c r="F48" s="6">
        <v>0.0</v>
      </c>
      <c r="G48" s="6">
        <v>0.0</v>
      </c>
      <c r="H48" s="6">
        <v>90860.0</v>
      </c>
    </row>
    <row r="49" ht="15.75" customHeight="1">
      <c r="A49" s="4">
        <v>46.0</v>
      </c>
      <c r="B49" s="4" t="s">
        <v>117</v>
      </c>
      <c r="C49" s="4" t="s">
        <v>118</v>
      </c>
      <c r="D49" s="4" t="s">
        <v>116</v>
      </c>
      <c r="E49" s="6">
        <v>0.0</v>
      </c>
      <c r="F49" s="6">
        <v>0.0</v>
      </c>
      <c r="G49" s="6">
        <v>0.0</v>
      </c>
      <c r="H49" s="6">
        <v>74316.0</v>
      </c>
    </row>
    <row r="50" ht="15.75" customHeight="1">
      <c r="A50" s="4">
        <v>47.0</v>
      </c>
      <c r="B50" s="4" t="s">
        <v>119</v>
      </c>
      <c r="C50" s="4" t="s">
        <v>120</v>
      </c>
      <c r="D50" s="4" t="s">
        <v>116</v>
      </c>
      <c r="E50" s="6">
        <v>0.0</v>
      </c>
      <c r="F50" s="6">
        <v>0.0</v>
      </c>
      <c r="G50" s="6">
        <v>0.0</v>
      </c>
      <c r="H50" s="6">
        <v>52800.0</v>
      </c>
    </row>
    <row r="51" ht="15.75" customHeight="1">
      <c r="A51" s="4">
        <v>48.0</v>
      </c>
      <c r="B51" s="4" t="s">
        <v>121</v>
      </c>
      <c r="C51" s="4" t="s">
        <v>122</v>
      </c>
      <c r="D51" s="4" t="s">
        <v>116</v>
      </c>
      <c r="E51" s="6">
        <v>0.0</v>
      </c>
      <c r="F51" s="6">
        <v>0.0</v>
      </c>
      <c r="G51" s="6">
        <v>0.0</v>
      </c>
      <c r="H51" s="6">
        <v>108900.0</v>
      </c>
    </row>
    <row r="52" ht="15.75" customHeight="1">
      <c r="A52" s="4">
        <v>49.0</v>
      </c>
      <c r="B52" s="4" t="s">
        <v>123</v>
      </c>
      <c r="C52" s="4" t="s">
        <v>124</v>
      </c>
      <c r="D52" s="4" t="s">
        <v>116</v>
      </c>
      <c r="E52" s="6">
        <v>0.0</v>
      </c>
      <c r="F52" s="6">
        <v>0.0</v>
      </c>
      <c r="G52" s="6">
        <v>0.0</v>
      </c>
      <c r="H52" s="6">
        <v>89100.0</v>
      </c>
    </row>
    <row r="53" ht="15.75" customHeight="1">
      <c r="A53" s="4">
        <v>50.0</v>
      </c>
      <c r="B53" s="4" t="s">
        <v>125</v>
      </c>
      <c r="C53" s="4" t="s">
        <v>126</v>
      </c>
      <c r="D53" s="4" t="s">
        <v>116</v>
      </c>
      <c r="E53" s="6">
        <v>0.0</v>
      </c>
      <c r="F53" s="6">
        <v>0.0</v>
      </c>
      <c r="G53" s="6">
        <v>0.0</v>
      </c>
      <c r="H53" s="6">
        <v>130240.0</v>
      </c>
    </row>
    <row r="54" ht="15.75" customHeight="1">
      <c r="A54" s="4">
        <v>51.0</v>
      </c>
      <c r="B54" s="4" t="s">
        <v>127</v>
      </c>
      <c r="C54" s="4" t="s">
        <v>128</v>
      </c>
      <c r="D54" s="4" t="s">
        <v>116</v>
      </c>
      <c r="E54" s="6">
        <v>0.0</v>
      </c>
      <c r="F54" s="6">
        <v>0.0</v>
      </c>
      <c r="G54" s="6">
        <v>0.0</v>
      </c>
      <c r="H54" s="6">
        <v>100320.0</v>
      </c>
    </row>
    <row r="55" ht="15.75" customHeight="1">
      <c r="A55" s="4">
        <v>52.0</v>
      </c>
      <c r="B55" s="4" t="s">
        <v>129</v>
      </c>
      <c r="C55" s="4" t="s">
        <v>130</v>
      </c>
      <c r="D55" s="4" t="s">
        <v>116</v>
      </c>
      <c r="E55" s="6">
        <v>0.0</v>
      </c>
      <c r="F55" s="6">
        <v>0.0</v>
      </c>
      <c r="G55" s="6">
        <v>0.0</v>
      </c>
      <c r="H55" s="6">
        <v>9900.0</v>
      </c>
    </row>
    <row r="56" ht="15.75" customHeight="1">
      <c r="A56" s="9">
        <v>53.0</v>
      </c>
      <c r="B56" s="9" t="s">
        <v>131</v>
      </c>
      <c r="C56" s="10" t="s">
        <v>132</v>
      </c>
      <c r="D56" s="9"/>
      <c r="E56" s="11"/>
      <c r="F56" s="11"/>
      <c r="G56" s="11"/>
      <c r="H56" s="11"/>
    </row>
    <row r="57" ht="15.75" customHeight="1">
      <c r="A57" s="4">
        <v>54.0</v>
      </c>
      <c r="B57" s="4" t="s">
        <v>133</v>
      </c>
      <c r="C57" s="4" t="s">
        <v>134</v>
      </c>
      <c r="D57" s="4" t="s">
        <v>116</v>
      </c>
      <c r="E57" s="6">
        <v>0.0</v>
      </c>
      <c r="F57" s="6">
        <v>0.0</v>
      </c>
      <c r="G57" s="6">
        <v>0.0</v>
      </c>
      <c r="H57" s="6">
        <v>131670.0</v>
      </c>
    </row>
    <row r="58" ht="15.75" customHeight="1">
      <c r="A58" s="4">
        <v>55.0</v>
      </c>
      <c r="B58" s="4" t="s">
        <v>135</v>
      </c>
      <c r="C58" s="4" t="s">
        <v>136</v>
      </c>
      <c r="D58" s="4" t="s">
        <v>116</v>
      </c>
      <c r="E58" s="6">
        <v>0.0</v>
      </c>
      <c r="F58" s="6">
        <v>0.0</v>
      </c>
      <c r="G58" s="6">
        <v>0.0</v>
      </c>
      <c r="H58" s="6">
        <v>143726.0</v>
      </c>
    </row>
    <row r="59" ht="15.75" customHeight="1">
      <c r="A59" s="4">
        <v>56.0</v>
      </c>
      <c r="B59" s="4" t="s">
        <v>137</v>
      </c>
      <c r="C59" s="4" t="s">
        <v>138</v>
      </c>
      <c r="D59" s="4" t="s">
        <v>116</v>
      </c>
      <c r="E59" s="6">
        <v>0.0</v>
      </c>
      <c r="F59" s="6">
        <v>0.0</v>
      </c>
      <c r="G59" s="6">
        <v>0.0</v>
      </c>
      <c r="H59" s="6">
        <v>159500.0</v>
      </c>
    </row>
    <row r="60" ht="15.75" customHeight="1">
      <c r="A60" s="4">
        <v>57.0</v>
      </c>
      <c r="B60" s="4" t="s">
        <v>139</v>
      </c>
      <c r="C60" s="4" t="s">
        <v>140</v>
      </c>
      <c r="D60" s="4" t="s">
        <v>116</v>
      </c>
      <c r="E60" s="6">
        <v>0.0</v>
      </c>
      <c r="F60" s="6">
        <v>0.0</v>
      </c>
      <c r="G60" s="6">
        <v>0.0</v>
      </c>
      <c r="H60" s="6">
        <v>17490.0</v>
      </c>
    </row>
    <row r="61" ht="15.75" customHeight="1">
      <c r="A61" s="9">
        <v>58.0</v>
      </c>
      <c r="B61" s="9" t="s">
        <v>141</v>
      </c>
      <c r="C61" s="10" t="s">
        <v>142</v>
      </c>
      <c r="D61" s="9"/>
      <c r="E61" s="11"/>
      <c r="F61" s="11"/>
      <c r="G61" s="11"/>
      <c r="H61" s="11"/>
    </row>
    <row r="62" ht="15.75" customHeight="1">
      <c r="A62" s="9">
        <v>59.0</v>
      </c>
      <c r="B62" s="9" t="s">
        <v>143</v>
      </c>
      <c r="C62" s="10" t="s">
        <v>114</v>
      </c>
      <c r="D62" s="9"/>
      <c r="E62" s="11"/>
      <c r="F62" s="11"/>
      <c r="G62" s="11"/>
      <c r="H62" s="11"/>
    </row>
    <row r="63" ht="15.75" customHeight="1">
      <c r="A63" s="4">
        <v>60.0</v>
      </c>
      <c r="B63" s="4" t="s">
        <v>144</v>
      </c>
      <c r="C63" s="4" t="s">
        <v>145</v>
      </c>
      <c r="D63" s="4" t="s">
        <v>116</v>
      </c>
      <c r="E63" s="6">
        <v>0.0</v>
      </c>
      <c r="F63" s="6">
        <v>0.0</v>
      </c>
      <c r="G63" s="6">
        <v>0.0</v>
      </c>
      <c r="H63" s="6">
        <v>87120.0</v>
      </c>
    </row>
    <row r="64" ht="15.75" customHeight="1">
      <c r="A64" s="4">
        <v>61.0</v>
      </c>
      <c r="B64" s="4" t="s">
        <v>146</v>
      </c>
      <c r="C64" s="4" t="s">
        <v>147</v>
      </c>
      <c r="D64" s="4" t="s">
        <v>116</v>
      </c>
      <c r="E64" s="6">
        <v>0.0</v>
      </c>
      <c r="F64" s="6">
        <v>0.0</v>
      </c>
      <c r="G64" s="6">
        <v>0.0</v>
      </c>
      <c r="H64" s="6">
        <v>89760.0</v>
      </c>
    </row>
    <row r="65" ht="15.75" customHeight="1">
      <c r="A65" s="4">
        <v>62.0</v>
      </c>
      <c r="B65" s="4" t="s">
        <v>148</v>
      </c>
      <c r="C65" s="4" t="s">
        <v>149</v>
      </c>
      <c r="D65" s="4" t="s">
        <v>116</v>
      </c>
      <c r="E65" s="6">
        <v>0.0</v>
      </c>
      <c r="F65" s="6">
        <v>0.0</v>
      </c>
      <c r="G65" s="6">
        <v>0.0</v>
      </c>
      <c r="H65" s="6">
        <v>121440.0</v>
      </c>
    </row>
    <row r="66" ht="15.75" customHeight="1">
      <c r="A66" s="4">
        <v>63.0</v>
      </c>
      <c r="B66" s="4" t="s">
        <v>150</v>
      </c>
      <c r="C66" s="4" t="s">
        <v>151</v>
      </c>
      <c r="D66" s="4" t="s">
        <v>116</v>
      </c>
      <c r="E66" s="6">
        <v>0.0</v>
      </c>
      <c r="F66" s="6">
        <v>0.0</v>
      </c>
      <c r="G66" s="6">
        <v>0.0</v>
      </c>
      <c r="H66" s="6">
        <v>13200.0</v>
      </c>
    </row>
    <row r="67" ht="15.75" customHeight="1">
      <c r="A67" s="9">
        <v>64.0</v>
      </c>
      <c r="B67" s="9" t="s">
        <v>152</v>
      </c>
      <c r="C67" s="10" t="s">
        <v>132</v>
      </c>
      <c r="D67" s="9"/>
      <c r="E67" s="11"/>
      <c r="F67" s="11"/>
      <c r="G67" s="11"/>
      <c r="H67" s="11"/>
    </row>
    <row r="68" ht="15.75" customHeight="1">
      <c r="A68" s="4">
        <v>65.0</v>
      </c>
      <c r="B68" s="4" t="s">
        <v>153</v>
      </c>
      <c r="C68" s="4" t="s">
        <v>154</v>
      </c>
      <c r="D68" s="4" t="s">
        <v>116</v>
      </c>
      <c r="E68" s="6">
        <v>0.0</v>
      </c>
      <c r="F68" s="6">
        <v>0.0</v>
      </c>
      <c r="G68" s="6">
        <v>0.0</v>
      </c>
      <c r="H68" s="6">
        <v>45320.0</v>
      </c>
    </row>
    <row r="69" ht="15.75" customHeight="1">
      <c r="A69" s="4">
        <v>66.0</v>
      </c>
      <c r="B69" s="4" t="s">
        <v>155</v>
      </c>
      <c r="C69" s="4" t="s">
        <v>156</v>
      </c>
      <c r="D69" s="4" t="s">
        <v>116</v>
      </c>
      <c r="E69" s="6">
        <v>0.0</v>
      </c>
      <c r="F69" s="6">
        <v>0.0</v>
      </c>
      <c r="G69" s="6">
        <v>0.0</v>
      </c>
      <c r="H69" s="6">
        <v>51920.0</v>
      </c>
    </row>
    <row r="70" ht="15.75" customHeight="1">
      <c r="A70" s="4">
        <v>67.0</v>
      </c>
      <c r="B70" s="4" t="s">
        <v>157</v>
      </c>
      <c r="C70" s="4" t="s">
        <v>158</v>
      </c>
      <c r="D70" s="4" t="s">
        <v>116</v>
      </c>
      <c r="E70" s="6">
        <v>0.0</v>
      </c>
      <c r="F70" s="6">
        <v>0.0</v>
      </c>
      <c r="G70" s="6">
        <v>0.0</v>
      </c>
      <c r="H70" s="6">
        <v>59136.0</v>
      </c>
    </row>
    <row r="71" ht="15.75" customHeight="1">
      <c r="A71" s="4">
        <v>68.0</v>
      </c>
      <c r="B71" s="4" t="s">
        <v>159</v>
      </c>
      <c r="C71" s="4" t="s">
        <v>160</v>
      </c>
      <c r="D71" s="4" t="s">
        <v>116</v>
      </c>
      <c r="E71" s="6">
        <v>0.0</v>
      </c>
      <c r="F71" s="6">
        <v>0.0</v>
      </c>
      <c r="G71" s="6">
        <v>0.0</v>
      </c>
      <c r="H71" s="6">
        <v>8756.0</v>
      </c>
    </row>
    <row r="72" ht="15.75" customHeight="1">
      <c r="A72" s="9">
        <v>69.0</v>
      </c>
      <c r="B72" s="9" t="s">
        <v>161</v>
      </c>
      <c r="C72" s="10" t="s">
        <v>162</v>
      </c>
      <c r="D72" s="9"/>
      <c r="E72" s="11"/>
      <c r="F72" s="11"/>
      <c r="G72" s="11"/>
      <c r="H72" s="11"/>
    </row>
    <row r="73" ht="15.75" customHeight="1">
      <c r="A73" s="9">
        <v>70.0</v>
      </c>
      <c r="B73" s="9" t="s">
        <v>163</v>
      </c>
      <c r="C73" s="10" t="s">
        <v>114</v>
      </c>
      <c r="D73" s="9"/>
      <c r="E73" s="11"/>
      <c r="F73" s="11"/>
      <c r="G73" s="11"/>
      <c r="H73" s="11"/>
    </row>
    <row r="74" ht="15.75" customHeight="1">
      <c r="A74" s="4">
        <v>71.0</v>
      </c>
      <c r="B74" s="4" t="s">
        <v>164</v>
      </c>
      <c r="C74" s="4" t="s">
        <v>165</v>
      </c>
      <c r="D74" s="4" t="s">
        <v>116</v>
      </c>
      <c r="E74" s="6">
        <v>0.0</v>
      </c>
      <c r="F74" s="6">
        <v>0.0</v>
      </c>
      <c r="G74" s="6">
        <v>0.0</v>
      </c>
      <c r="H74" s="6">
        <v>151582.0</v>
      </c>
    </row>
    <row r="75" ht="15.75" customHeight="1">
      <c r="A75" s="4">
        <v>72.0</v>
      </c>
      <c r="B75" s="4" t="s">
        <v>166</v>
      </c>
      <c r="C75" s="4" t="s">
        <v>167</v>
      </c>
      <c r="D75" s="4" t="s">
        <v>116</v>
      </c>
      <c r="E75" s="6">
        <v>0.0</v>
      </c>
      <c r="F75" s="6">
        <v>0.0</v>
      </c>
      <c r="G75" s="6">
        <v>0.0</v>
      </c>
      <c r="H75" s="6">
        <v>198000.0</v>
      </c>
    </row>
    <row r="76" ht="15.75" customHeight="1">
      <c r="A76" s="4">
        <v>73.0</v>
      </c>
      <c r="B76" s="4" t="s">
        <v>168</v>
      </c>
      <c r="C76" s="4" t="s">
        <v>169</v>
      </c>
      <c r="D76" s="4" t="s">
        <v>116</v>
      </c>
      <c r="E76" s="6">
        <v>0.0</v>
      </c>
      <c r="F76" s="6">
        <v>0.0</v>
      </c>
      <c r="G76" s="6">
        <v>0.0</v>
      </c>
      <c r="H76" s="6">
        <v>217800.0</v>
      </c>
    </row>
    <row r="77" ht="15.75" customHeight="1">
      <c r="A77" s="4">
        <v>74.0</v>
      </c>
      <c r="B77" s="4" t="s">
        <v>170</v>
      </c>
      <c r="C77" s="4" t="s">
        <v>171</v>
      </c>
      <c r="D77" s="4" t="s">
        <v>116</v>
      </c>
      <c r="E77" s="6">
        <v>0.0</v>
      </c>
      <c r="F77" s="6">
        <v>0.0</v>
      </c>
      <c r="G77" s="6">
        <v>0.0</v>
      </c>
      <c r="H77" s="6">
        <v>18480.0</v>
      </c>
    </row>
    <row r="78" ht="15.75" customHeight="1">
      <c r="A78" s="9">
        <v>75.0</v>
      </c>
      <c r="B78" s="9" t="s">
        <v>172</v>
      </c>
      <c r="C78" s="10" t="s">
        <v>132</v>
      </c>
      <c r="D78" s="9"/>
      <c r="E78" s="11"/>
      <c r="F78" s="11"/>
      <c r="G78" s="11"/>
      <c r="H78" s="11"/>
    </row>
    <row r="79" ht="15.75" customHeight="1">
      <c r="A79" s="4">
        <v>76.0</v>
      </c>
      <c r="B79" s="4" t="s">
        <v>173</v>
      </c>
      <c r="C79" s="4" t="s">
        <v>174</v>
      </c>
      <c r="D79" s="4" t="s">
        <v>116</v>
      </c>
      <c r="E79" s="6">
        <v>0.0</v>
      </c>
      <c r="F79" s="6">
        <v>0.0</v>
      </c>
      <c r="G79" s="6">
        <v>0.0</v>
      </c>
      <c r="H79" s="6">
        <v>231176.0</v>
      </c>
    </row>
    <row r="80" ht="15.75" customHeight="1">
      <c r="A80" s="4">
        <v>77.0</v>
      </c>
      <c r="B80" s="4" t="s">
        <v>175</v>
      </c>
      <c r="C80" s="4" t="s">
        <v>176</v>
      </c>
      <c r="D80" s="4" t="s">
        <v>116</v>
      </c>
      <c r="E80" s="6">
        <v>0.0</v>
      </c>
      <c r="F80" s="6">
        <v>0.0</v>
      </c>
      <c r="G80" s="6">
        <v>0.0</v>
      </c>
      <c r="H80" s="6">
        <v>252010.0</v>
      </c>
    </row>
    <row r="81" ht="15.75" customHeight="1">
      <c r="A81" s="4">
        <v>78.0</v>
      </c>
      <c r="B81" s="4" t="s">
        <v>177</v>
      </c>
      <c r="C81" s="4" t="s">
        <v>178</v>
      </c>
      <c r="D81" s="4" t="s">
        <v>116</v>
      </c>
      <c r="E81" s="6">
        <v>0.0</v>
      </c>
      <c r="F81" s="6">
        <v>0.0</v>
      </c>
      <c r="G81" s="6">
        <v>0.0</v>
      </c>
      <c r="H81" s="6">
        <v>279048.0</v>
      </c>
    </row>
    <row r="82" ht="15.75" customHeight="1">
      <c r="A82" s="4">
        <v>79.0</v>
      </c>
      <c r="B82" s="4" t="s">
        <v>179</v>
      </c>
      <c r="C82" s="4" t="s">
        <v>180</v>
      </c>
      <c r="D82" s="4" t="s">
        <v>116</v>
      </c>
      <c r="E82" s="6">
        <v>0.0</v>
      </c>
      <c r="F82" s="6">
        <v>0.0</v>
      </c>
      <c r="G82" s="6">
        <v>0.0</v>
      </c>
      <c r="H82" s="6">
        <v>31130.0</v>
      </c>
    </row>
    <row r="83" ht="15.75" customHeight="1">
      <c r="A83" s="9">
        <v>80.0</v>
      </c>
      <c r="B83" s="9" t="s">
        <v>181</v>
      </c>
      <c r="C83" s="10" t="s">
        <v>182</v>
      </c>
      <c r="D83" s="9"/>
      <c r="E83" s="11"/>
      <c r="F83" s="11"/>
      <c r="G83" s="11"/>
      <c r="H83" s="11"/>
    </row>
    <row r="84" ht="15.75" customHeight="1">
      <c r="A84" s="9">
        <v>81.0</v>
      </c>
      <c r="B84" s="9" t="s">
        <v>183</v>
      </c>
      <c r="C84" s="10" t="s">
        <v>114</v>
      </c>
      <c r="D84" s="9"/>
      <c r="E84" s="11"/>
      <c r="F84" s="11"/>
      <c r="G84" s="11"/>
      <c r="H84" s="11"/>
    </row>
    <row r="85" ht="15.75" customHeight="1">
      <c r="A85" s="4">
        <v>82.0</v>
      </c>
      <c r="B85" s="4" t="s">
        <v>184</v>
      </c>
      <c r="C85" s="4" t="s">
        <v>185</v>
      </c>
      <c r="D85" s="4" t="s">
        <v>116</v>
      </c>
      <c r="E85" s="6">
        <v>0.0</v>
      </c>
      <c r="F85" s="6">
        <v>0.0</v>
      </c>
      <c r="G85" s="6">
        <v>0.0</v>
      </c>
      <c r="H85" s="6">
        <v>181500.0</v>
      </c>
    </row>
    <row r="86" ht="15.75" customHeight="1">
      <c r="A86" s="4">
        <v>83.0</v>
      </c>
      <c r="B86" s="4" t="s">
        <v>186</v>
      </c>
      <c r="C86" s="4" t="s">
        <v>187</v>
      </c>
      <c r="D86" s="4" t="s">
        <v>116</v>
      </c>
      <c r="E86" s="6">
        <v>0.0</v>
      </c>
      <c r="F86" s="6">
        <v>0.0</v>
      </c>
      <c r="G86" s="6">
        <v>0.0</v>
      </c>
      <c r="H86" s="6">
        <v>140250.0</v>
      </c>
    </row>
    <row r="87" ht="15.75" customHeight="1">
      <c r="A87" s="4">
        <v>84.0</v>
      </c>
      <c r="B87" s="4" t="s">
        <v>188</v>
      </c>
      <c r="C87" s="4" t="s">
        <v>189</v>
      </c>
      <c r="D87" s="4" t="s">
        <v>116</v>
      </c>
      <c r="E87" s="6">
        <v>0.0</v>
      </c>
      <c r="F87" s="6">
        <v>0.0</v>
      </c>
      <c r="G87" s="6">
        <v>0.0</v>
      </c>
      <c r="H87" s="6">
        <v>178200.0</v>
      </c>
    </row>
    <row r="88" ht="15.75" customHeight="1">
      <c r="A88" s="4">
        <v>85.0</v>
      </c>
      <c r="B88" s="4" t="s">
        <v>190</v>
      </c>
      <c r="C88" s="4" t="s">
        <v>191</v>
      </c>
      <c r="D88" s="4" t="s">
        <v>116</v>
      </c>
      <c r="E88" s="6">
        <v>0.0</v>
      </c>
      <c r="F88" s="6">
        <v>0.0</v>
      </c>
      <c r="G88" s="6">
        <v>0.0</v>
      </c>
      <c r="H88" s="6">
        <v>183744.0</v>
      </c>
    </row>
    <row r="89" ht="15.75" customHeight="1">
      <c r="A89" s="4">
        <v>86.0</v>
      </c>
      <c r="B89" s="4" t="s">
        <v>192</v>
      </c>
      <c r="C89" s="4" t="s">
        <v>193</v>
      </c>
      <c r="D89" s="4" t="s">
        <v>116</v>
      </c>
      <c r="E89" s="6">
        <v>0.0</v>
      </c>
      <c r="F89" s="6">
        <v>0.0</v>
      </c>
      <c r="G89" s="6">
        <v>0.0</v>
      </c>
      <c r="H89" s="6">
        <v>198000.0</v>
      </c>
    </row>
    <row r="90" ht="15.75" customHeight="1">
      <c r="A90" s="4">
        <v>87.0</v>
      </c>
      <c r="B90" s="4" t="s">
        <v>194</v>
      </c>
      <c r="C90" s="4" t="s">
        <v>195</v>
      </c>
      <c r="D90" s="4" t="s">
        <v>116</v>
      </c>
      <c r="E90" s="6">
        <v>0.0</v>
      </c>
      <c r="F90" s="6">
        <v>0.0</v>
      </c>
      <c r="G90" s="6">
        <v>0.0</v>
      </c>
      <c r="H90" s="6">
        <v>13200.0</v>
      </c>
    </row>
    <row r="91" ht="15.75" customHeight="1">
      <c r="A91" s="9">
        <v>88.0</v>
      </c>
      <c r="B91" s="9" t="s">
        <v>196</v>
      </c>
      <c r="C91" s="10" t="s">
        <v>132</v>
      </c>
      <c r="D91" s="9"/>
      <c r="E91" s="11"/>
      <c r="F91" s="11"/>
      <c r="G91" s="11"/>
      <c r="H91" s="11"/>
    </row>
    <row r="92" ht="15.75" customHeight="1">
      <c r="A92" s="4">
        <v>89.0</v>
      </c>
      <c r="B92" s="4" t="s">
        <v>197</v>
      </c>
      <c r="C92" s="4" t="s">
        <v>198</v>
      </c>
      <c r="D92" s="4" t="s">
        <v>116</v>
      </c>
      <c r="E92" s="6">
        <v>0.0</v>
      </c>
      <c r="F92" s="6">
        <v>0.0</v>
      </c>
      <c r="G92" s="6">
        <v>0.0</v>
      </c>
      <c r="H92" s="6">
        <v>189332.0</v>
      </c>
    </row>
    <row r="93" ht="15.75" customHeight="1">
      <c r="A93" s="4">
        <v>90.0</v>
      </c>
      <c r="B93" s="4" t="s">
        <v>199</v>
      </c>
      <c r="C93" s="4" t="s">
        <v>200</v>
      </c>
      <c r="D93" s="4" t="s">
        <v>116</v>
      </c>
      <c r="E93" s="6">
        <v>0.0</v>
      </c>
      <c r="F93" s="6">
        <v>0.0</v>
      </c>
      <c r="G93" s="6">
        <v>0.0</v>
      </c>
      <c r="H93" s="6">
        <v>206437.0</v>
      </c>
    </row>
    <row r="94" ht="15.75" customHeight="1">
      <c r="A94" s="4">
        <v>91.0</v>
      </c>
      <c r="B94" s="4" t="s">
        <v>201</v>
      </c>
      <c r="C94" s="4" t="s">
        <v>202</v>
      </c>
      <c r="D94" s="4" t="s">
        <v>116</v>
      </c>
      <c r="E94" s="6">
        <v>0.0</v>
      </c>
      <c r="F94" s="6">
        <v>0.0</v>
      </c>
      <c r="G94" s="6">
        <v>0.0</v>
      </c>
      <c r="H94" s="6">
        <v>228844.0</v>
      </c>
    </row>
    <row r="95" ht="15.75" customHeight="1">
      <c r="A95" s="4">
        <v>92.0</v>
      </c>
      <c r="B95" s="4" t="s">
        <v>203</v>
      </c>
      <c r="C95" s="4" t="s">
        <v>204</v>
      </c>
      <c r="D95" s="4" t="s">
        <v>116</v>
      </c>
      <c r="E95" s="6">
        <v>0.0</v>
      </c>
      <c r="F95" s="6">
        <v>0.0</v>
      </c>
      <c r="G95" s="6">
        <v>0.0</v>
      </c>
      <c r="H95" s="6">
        <v>23320.0</v>
      </c>
    </row>
    <row r="96" ht="15.75" customHeight="1">
      <c r="A96" s="9">
        <v>93.0</v>
      </c>
      <c r="B96" s="9" t="s">
        <v>205</v>
      </c>
      <c r="C96" s="10" t="s">
        <v>206</v>
      </c>
      <c r="D96" s="9"/>
      <c r="E96" s="11"/>
      <c r="F96" s="11"/>
      <c r="G96" s="11"/>
      <c r="H96" s="11"/>
    </row>
    <row r="97" ht="15.75" customHeight="1">
      <c r="A97" s="9">
        <v>94.0</v>
      </c>
      <c r="B97" s="9" t="s">
        <v>207</v>
      </c>
      <c r="C97" s="10" t="s">
        <v>114</v>
      </c>
      <c r="D97" s="9"/>
      <c r="E97" s="11"/>
      <c r="F97" s="11"/>
      <c r="G97" s="11"/>
      <c r="H97" s="11"/>
    </row>
    <row r="98" ht="15.75" customHeight="1">
      <c r="A98" s="4">
        <v>95.0</v>
      </c>
      <c r="B98" s="4" t="s">
        <v>208</v>
      </c>
      <c r="C98" s="4" t="s">
        <v>209</v>
      </c>
      <c r="D98" s="4" t="s">
        <v>116</v>
      </c>
      <c r="E98" s="6">
        <v>0.0</v>
      </c>
      <c r="F98" s="6">
        <v>0.0</v>
      </c>
      <c r="G98" s="6">
        <v>0.0</v>
      </c>
      <c r="H98" s="6">
        <v>145200.0</v>
      </c>
    </row>
    <row r="99" ht="15.75" customHeight="1">
      <c r="A99" s="4">
        <v>96.0</v>
      </c>
      <c r="B99" s="4" t="s">
        <v>210</v>
      </c>
      <c r="C99" s="4" t="s">
        <v>211</v>
      </c>
      <c r="D99" s="4" t="s">
        <v>116</v>
      </c>
      <c r="E99" s="6">
        <v>0.0</v>
      </c>
      <c r="F99" s="6">
        <v>0.0</v>
      </c>
      <c r="G99" s="6">
        <v>0.0</v>
      </c>
      <c r="H99" s="6">
        <v>109560.0</v>
      </c>
    </row>
    <row r="100" ht="15.75" customHeight="1">
      <c r="A100" s="4">
        <v>97.0</v>
      </c>
      <c r="B100" s="4" t="s">
        <v>212</v>
      </c>
      <c r="C100" s="4" t="s">
        <v>213</v>
      </c>
      <c r="D100" s="4" t="s">
        <v>116</v>
      </c>
      <c r="E100" s="6">
        <v>0.0</v>
      </c>
      <c r="F100" s="6">
        <v>0.0</v>
      </c>
      <c r="G100" s="6">
        <v>0.0</v>
      </c>
      <c r="H100" s="6">
        <v>174240.0</v>
      </c>
    </row>
    <row r="101" ht="15.75" customHeight="1">
      <c r="A101" s="4">
        <v>98.0</v>
      </c>
      <c r="B101" s="4" t="s">
        <v>214</v>
      </c>
      <c r="C101" s="4" t="s">
        <v>215</v>
      </c>
      <c r="D101" s="4" t="s">
        <v>116</v>
      </c>
      <c r="E101" s="6">
        <v>0.0</v>
      </c>
      <c r="F101" s="6">
        <v>0.0</v>
      </c>
      <c r="G101" s="6">
        <v>0.0</v>
      </c>
      <c r="H101" s="6">
        <v>132000.0</v>
      </c>
    </row>
    <row r="102" ht="15.75" customHeight="1">
      <c r="A102" s="4">
        <v>99.0</v>
      </c>
      <c r="B102" s="4" t="s">
        <v>216</v>
      </c>
      <c r="C102" s="4" t="s">
        <v>217</v>
      </c>
      <c r="D102" s="4" t="s">
        <v>116</v>
      </c>
      <c r="E102" s="6">
        <v>0.0</v>
      </c>
      <c r="F102" s="6">
        <v>0.0</v>
      </c>
      <c r="G102" s="6">
        <v>0.0</v>
      </c>
      <c r="H102" s="6">
        <v>151800.0</v>
      </c>
    </row>
    <row r="103" ht="15.75" customHeight="1">
      <c r="A103" s="4">
        <v>100.0</v>
      </c>
      <c r="B103" s="4" t="s">
        <v>218</v>
      </c>
      <c r="C103" s="4" t="s">
        <v>219</v>
      </c>
      <c r="D103" s="4" t="s">
        <v>116</v>
      </c>
      <c r="E103" s="6">
        <v>0.0</v>
      </c>
      <c r="F103" s="6">
        <v>0.0</v>
      </c>
      <c r="G103" s="6">
        <v>0.0</v>
      </c>
      <c r="H103" s="6">
        <v>19800.0</v>
      </c>
    </row>
    <row r="104" ht="15.75" customHeight="1">
      <c r="A104" s="9">
        <v>101.0</v>
      </c>
      <c r="B104" s="9" t="s">
        <v>220</v>
      </c>
      <c r="C104" s="10" t="s">
        <v>132</v>
      </c>
      <c r="D104" s="9"/>
      <c r="E104" s="11"/>
      <c r="F104" s="11"/>
      <c r="G104" s="11"/>
      <c r="H104" s="11"/>
    </row>
    <row r="105" ht="15.75" customHeight="1">
      <c r="A105" s="4">
        <v>102.0</v>
      </c>
      <c r="B105" s="4" t="s">
        <v>221</v>
      </c>
      <c r="C105" s="4" t="s">
        <v>222</v>
      </c>
      <c r="D105" s="4" t="s">
        <v>116</v>
      </c>
      <c r="E105" s="6">
        <v>0.0</v>
      </c>
      <c r="F105" s="6">
        <v>0.0</v>
      </c>
      <c r="G105" s="6">
        <v>0.0</v>
      </c>
      <c r="H105" s="6">
        <v>38830.0</v>
      </c>
    </row>
    <row r="106" ht="15.75" customHeight="1">
      <c r="A106" s="4">
        <v>103.0</v>
      </c>
      <c r="B106" s="4" t="s">
        <v>223</v>
      </c>
      <c r="C106" s="4" t="s">
        <v>224</v>
      </c>
      <c r="D106" s="4" t="s">
        <v>116</v>
      </c>
      <c r="E106" s="6">
        <v>0.0</v>
      </c>
      <c r="F106" s="6">
        <v>0.0</v>
      </c>
      <c r="G106" s="6">
        <v>0.0</v>
      </c>
      <c r="H106" s="6">
        <v>64240.0</v>
      </c>
    </row>
    <row r="107" ht="15.75" customHeight="1">
      <c r="A107" s="4">
        <v>104.0</v>
      </c>
      <c r="B107" s="4" t="s">
        <v>225</v>
      </c>
      <c r="C107" s="4" t="s">
        <v>226</v>
      </c>
      <c r="D107" s="4" t="s">
        <v>116</v>
      </c>
      <c r="E107" s="6">
        <v>0.0</v>
      </c>
      <c r="F107" s="6">
        <v>0.0</v>
      </c>
      <c r="G107" s="6">
        <v>0.0</v>
      </c>
      <c r="H107" s="6">
        <v>51810.0</v>
      </c>
    </row>
    <row r="108" ht="15.75" customHeight="1">
      <c r="A108" s="4">
        <v>105.0</v>
      </c>
      <c r="B108" s="4" t="s">
        <v>227</v>
      </c>
      <c r="C108" s="4" t="s">
        <v>228</v>
      </c>
      <c r="D108" s="4" t="s">
        <v>116</v>
      </c>
      <c r="E108" s="6">
        <v>0.0</v>
      </c>
      <c r="F108" s="6">
        <v>0.0</v>
      </c>
      <c r="G108" s="6">
        <v>0.0</v>
      </c>
      <c r="H108" s="6">
        <v>5500.0</v>
      </c>
    </row>
    <row r="109" ht="15.75" customHeight="1">
      <c r="A109" s="9">
        <v>106.0</v>
      </c>
      <c r="B109" s="9" t="s">
        <v>229</v>
      </c>
      <c r="C109" s="10" t="s">
        <v>230</v>
      </c>
      <c r="D109" s="9"/>
      <c r="E109" s="11"/>
      <c r="F109" s="11"/>
      <c r="G109" s="11"/>
      <c r="H109" s="11"/>
    </row>
    <row r="110" ht="15.75" customHeight="1">
      <c r="A110" s="9">
        <v>107.0</v>
      </c>
      <c r="B110" s="9" t="s">
        <v>231</v>
      </c>
      <c r="C110" s="10" t="s">
        <v>232</v>
      </c>
      <c r="D110" s="9"/>
      <c r="E110" s="11"/>
      <c r="F110" s="11"/>
      <c r="G110" s="11"/>
      <c r="H110" s="11"/>
    </row>
    <row r="111" ht="15.75" customHeight="1">
      <c r="A111" s="4">
        <v>108.0</v>
      </c>
      <c r="B111" s="4" t="s">
        <v>233</v>
      </c>
      <c r="C111" s="4" t="s">
        <v>234</v>
      </c>
      <c r="D111" s="4" t="s">
        <v>116</v>
      </c>
      <c r="E111" s="6">
        <v>55000.0</v>
      </c>
      <c r="F111" s="6">
        <v>0.0</v>
      </c>
      <c r="G111" s="6">
        <v>0.0</v>
      </c>
      <c r="H111" s="6">
        <v>60500.0</v>
      </c>
    </row>
    <row r="112" ht="15.75" customHeight="1">
      <c r="A112" s="4">
        <v>109.0</v>
      </c>
      <c r="B112" s="4" t="s">
        <v>235</v>
      </c>
      <c r="C112" s="4" t="s">
        <v>236</v>
      </c>
      <c r="D112" s="4" t="s">
        <v>116</v>
      </c>
      <c r="E112" s="6">
        <v>33000.0</v>
      </c>
      <c r="F112" s="6">
        <v>305640.0</v>
      </c>
      <c r="G112" s="6">
        <v>0.0</v>
      </c>
      <c r="H112" s="6">
        <v>372504.0</v>
      </c>
    </row>
    <row r="113" ht="15.75" customHeight="1">
      <c r="A113" s="4">
        <v>110.0</v>
      </c>
      <c r="B113" s="4" t="s">
        <v>237</v>
      </c>
      <c r="C113" s="4" t="s">
        <v>238</v>
      </c>
      <c r="D113" s="4" t="s">
        <v>116</v>
      </c>
      <c r="E113" s="6">
        <v>0.0</v>
      </c>
      <c r="F113" s="6">
        <v>0.0</v>
      </c>
      <c r="G113" s="6">
        <v>0.0</v>
      </c>
      <c r="H113" s="6">
        <v>344784.0</v>
      </c>
    </row>
    <row r="114" ht="15.75" customHeight="1">
      <c r="A114" s="4">
        <v>111.0</v>
      </c>
      <c r="B114" s="4" t="s">
        <v>239</v>
      </c>
      <c r="C114" s="4" t="s">
        <v>240</v>
      </c>
      <c r="D114" s="4" t="s">
        <v>116</v>
      </c>
      <c r="E114" s="6">
        <v>0.0</v>
      </c>
      <c r="F114" s="6">
        <v>0.0</v>
      </c>
      <c r="G114" s="6">
        <v>0.0</v>
      </c>
      <c r="H114" s="6">
        <v>239426.0</v>
      </c>
    </row>
    <row r="115" ht="15.75" customHeight="1">
      <c r="A115" s="4">
        <v>112.0</v>
      </c>
      <c r="B115" s="4" t="s">
        <v>241</v>
      </c>
      <c r="C115" s="4" t="s">
        <v>242</v>
      </c>
      <c r="D115" s="4" t="s">
        <v>116</v>
      </c>
      <c r="E115" s="6">
        <v>0.0</v>
      </c>
      <c r="F115" s="6">
        <v>0.0</v>
      </c>
      <c r="G115" s="6">
        <v>0.0</v>
      </c>
      <c r="H115" s="6">
        <v>262900.0</v>
      </c>
    </row>
    <row r="116" ht="15.75" customHeight="1">
      <c r="A116" s="4">
        <v>113.0</v>
      </c>
      <c r="B116" s="4" t="s">
        <v>243</v>
      </c>
      <c r="C116" s="4" t="s">
        <v>244</v>
      </c>
      <c r="D116" s="4" t="s">
        <v>116</v>
      </c>
      <c r="E116" s="6">
        <v>0.0</v>
      </c>
      <c r="F116" s="6">
        <v>0.0</v>
      </c>
      <c r="G116" s="6">
        <v>0.0</v>
      </c>
      <c r="H116" s="6">
        <v>578842.0</v>
      </c>
    </row>
    <row r="117" ht="15.75" customHeight="1">
      <c r="A117" s="4">
        <v>114.0</v>
      </c>
      <c r="B117" s="4" t="s">
        <v>245</v>
      </c>
      <c r="C117" s="4" t="s">
        <v>246</v>
      </c>
      <c r="D117" s="4" t="s">
        <v>116</v>
      </c>
      <c r="E117" s="6">
        <v>33000.0</v>
      </c>
      <c r="F117" s="6">
        <v>165000.0</v>
      </c>
      <c r="G117" s="6">
        <v>0.0</v>
      </c>
      <c r="H117" s="6">
        <v>217800.0</v>
      </c>
    </row>
    <row r="118" ht="15.75" customHeight="1">
      <c r="A118" s="9">
        <v>115.0</v>
      </c>
      <c r="B118" s="9" t="s">
        <v>247</v>
      </c>
      <c r="C118" s="10" t="s">
        <v>248</v>
      </c>
      <c r="D118" s="9"/>
      <c r="E118" s="11"/>
      <c r="F118" s="11"/>
      <c r="G118" s="11"/>
      <c r="H118" s="11"/>
    </row>
    <row r="119" ht="15.75" customHeight="1">
      <c r="A119" s="4">
        <v>116.0</v>
      </c>
      <c r="B119" s="4" t="s">
        <v>249</v>
      </c>
      <c r="C119" s="4" t="s">
        <v>250</v>
      </c>
      <c r="D119" s="4" t="s">
        <v>116</v>
      </c>
      <c r="E119" s="6">
        <v>0.0</v>
      </c>
      <c r="F119" s="6">
        <v>0.0</v>
      </c>
      <c r="G119" s="6">
        <v>0.0</v>
      </c>
      <c r="H119" s="6">
        <v>60500.0</v>
      </c>
    </row>
    <row r="120" ht="15.75" customHeight="1">
      <c r="A120" s="4">
        <v>117.0</v>
      </c>
      <c r="B120" s="4" t="s">
        <v>251</v>
      </c>
      <c r="C120" s="4" t="s">
        <v>252</v>
      </c>
      <c r="D120" s="4" t="s">
        <v>116</v>
      </c>
      <c r="E120" s="6">
        <v>0.0</v>
      </c>
      <c r="F120" s="6">
        <v>0.0</v>
      </c>
      <c r="G120" s="6">
        <v>0.0</v>
      </c>
      <c r="H120" s="6">
        <v>375936.0</v>
      </c>
    </row>
    <row r="121" ht="15.75" customHeight="1">
      <c r="A121" s="9">
        <v>118.0</v>
      </c>
      <c r="B121" s="9" t="s">
        <v>253</v>
      </c>
      <c r="C121" s="10" t="s">
        <v>254</v>
      </c>
      <c r="D121" s="9"/>
      <c r="E121" s="11"/>
      <c r="F121" s="11"/>
      <c r="G121" s="11"/>
      <c r="H121" s="11"/>
    </row>
    <row r="122" ht="15.75" customHeight="1">
      <c r="A122" s="4">
        <v>119.0</v>
      </c>
      <c r="B122" s="4" t="s">
        <v>255</v>
      </c>
      <c r="C122" s="4" t="s">
        <v>256</v>
      </c>
      <c r="D122" s="4" t="s">
        <v>116</v>
      </c>
      <c r="E122" s="6">
        <v>0.0</v>
      </c>
      <c r="F122" s="6">
        <v>0.0</v>
      </c>
      <c r="G122" s="6">
        <v>0.0</v>
      </c>
      <c r="H122" s="6">
        <v>24563.0</v>
      </c>
    </row>
    <row r="123" ht="15.75" customHeight="1">
      <c r="A123" s="4">
        <v>120.0</v>
      </c>
      <c r="B123" s="4" t="s">
        <v>257</v>
      </c>
      <c r="C123" s="4" t="s">
        <v>258</v>
      </c>
      <c r="D123" s="4" t="s">
        <v>116</v>
      </c>
      <c r="E123" s="6">
        <v>0.0</v>
      </c>
      <c r="F123" s="6">
        <v>0.0</v>
      </c>
      <c r="G123" s="6">
        <v>20090.0</v>
      </c>
      <c r="H123" s="6">
        <v>22099.0</v>
      </c>
    </row>
    <row r="124" ht="15.75" customHeight="1">
      <c r="A124" s="4">
        <v>121.0</v>
      </c>
      <c r="B124" s="4" t="s">
        <v>259</v>
      </c>
      <c r="C124" s="4" t="s">
        <v>260</v>
      </c>
      <c r="D124" s="4" t="s">
        <v>116</v>
      </c>
      <c r="E124" s="6">
        <v>0.0</v>
      </c>
      <c r="F124" s="6">
        <v>0.0</v>
      </c>
      <c r="G124" s="6">
        <v>5673.0</v>
      </c>
      <c r="H124" s="6">
        <v>6240.0</v>
      </c>
    </row>
    <row r="125" ht="15.75" customHeight="1">
      <c r="A125" s="4">
        <v>122.0</v>
      </c>
      <c r="B125" s="4" t="s">
        <v>261</v>
      </c>
      <c r="C125" s="4" t="s">
        <v>262</v>
      </c>
      <c r="D125" s="4" t="s">
        <v>116</v>
      </c>
      <c r="E125" s="6">
        <v>0.0</v>
      </c>
      <c r="F125" s="6">
        <v>0.0</v>
      </c>
      <c r="G125" s="6">
        <v>3115.0</v>
      </c>
      <c r="H125" s="6">
        <v>3426.0</v>
      </c>
    </row>
    <row r="126" ht="15.75" customHeight="1">
      <c r="A126" s="4">
        <v>123.0</v>
      </c>
      <c r="B126" s="4" t="s">
        <v>263</v>
      </c>
      <c r="C126" s="4" t="s">
        <v>264</v>
      </c>
      <c r="D126" s="4" t="s">
        <v>116</v>
      </c>
      <c r="E126" s="6">
        <v>33000.0</v>
      </c>
      <c r="F126" s="6">
        <v>398098.9999999999</v>
      </c>
      <c r="G126" s="6">
        <v>20090.0</v>
      </c>
      <c r="H126" s="6">
        <v>496307.0</v>
      </c>
    </row>
    <row r="127" ht="15.75" customHeight="1">
      <c r="A127" s="4">
        <v>124.0</v>
      </c>
      <c r="B127" s="4" t="s">
        <v>265</v>
      </c>
      <c r="C127" s="4" t="s">
        <v>266</v>
      </c>
      <c r="D127" s="4" t="s">
        <v>116</v>
      </c>
      <c r="E127" s="6">
        <v>44000.0</v>
      </c>
      <c r="F127" s="6">
        <v>397533.9999999999</v>
      </c>
      <c r="G127" s="6">
        <v>20090.0</v>
      </c>
      <c r="H127" s="6">
        <v>507786.0</v>
      </c>
    </row>
    <row r="128" ht="15.75" customHeight="1">
      <c r="A128" s="9">
        <v>125.0</v>
      </c>
      <c r="B128" s="9" t="s">
        <v>267</v>
      </c>
      <c r="C128" s="10" t="s">
        <v>268</v>
      </c>
      <c r="D128" s="9"/>
      <c r="E128" s="11"/>
      <c r="F128" s="11"/>
      <c r="G128" s="11"/>
      <c r="H128" s="11"/>
    </row>
    <row r="129" ht="15.75" customHeight="1">
      <c r="A129" s="9">
        <v>126.0</v>
      </c>
      <c r="B129" s="9" t="s">
        <v>269</v>
      </c>
      <c r="C129" s="10" t="s">
        <v>270</v>
      </c>
      <c r="D129" s="9"/>
      <c r="E129" s="11"/>
      <c r="F129" s="11"/>
      <c r="G129" s="11"/>
      <c r="H129" s="11"/>
    </row>
    <row r="130" ht="15.75" customHeight="1">
      <c r="A130" s="4">
        <v>127.0</v>
      </c>
      <c r="B130" s="4" t="s">
        <v>271</v>
      </c>
      <c r="C130" s="4" t="s">
        <v>272</v>
      </c>
      <c r="D130" s="4" t="s">
        <v>116</v>
      </c>
      <c r="E130" s="6">
        <v>0.0</v>
      </c>
      <c r="F130" s="6">
        <v>0.0</v>
      </c>
      <c r="G130" s="6">
        <v>0.0</v>
      </c>
      <c r="H130" s="6">
        <v>25454.0</v>
      </c>
    </row>
    <row r="131" ht="15.75" customHeight="1">
      <c r="A131" s="4">
        <v>128.0</v>
      </c>
      <c r="B131" s="4" t="s">
        <v>273</v>
      </c>
      <c r="C131" s="4" t="s">
        <v>274</v>
      </c>
      <c r="D131" s="4" t="s">
        <v>116</v>
      </c>
      <c r="E131" s="6">
        <v>24780.0</v>
      </c>
      <c r="F131" s="6">
        <v>0.0</v>
      </c>
      <c r="G131" s="6">
        <v>0.0</v>
      </c>
      <c r="H131" s="6">
        <v>27258.0</v>
      </c>
    </row>
    <row r="132" ht="15.75" customHeight="1">
      <c r="A132" s="4">
        <v>129.0</v>
      </c>
      <c r="B132" s="4" t="s">
        <v>275</v>
      </c>
      <c r="C132" s="4" t="s">
        <v>276</v>
      </c>
      <c r="D132" s="4" t="s">
        <v>116</v>
      </c>
      <c r="E132" s="6">
        <v>27230.0</v>
      </c>
      <c r="F132" s="6">
        <v>0.0</v>
      </c>
      <c r="G132" s="6">
        <v>0.0</v>
      </c>
      <c r="H132" s="6">
        <v>29953.0</v>
      </c>
    </row>
    <row r="133" ht="15.75" customHeight="1">
      <c r="A133" s="4">
        <v>130.0</v>
      </c>
      <c r="B133" s="4" t="s">
        <v>277</v>
      </c>
      <c r="C133" s="4" t="s">
        <v>278</v>
      </c>
      <c r="D133" s="4" t="s">
        <v>116</v>
      </c>
      <c r="E133" s="6">
        <v>27550.0</v>
      </c>
      <c r="F133" s="6">
        <v>0.0</v>
      </c>
      <c r="G133" s="6">
        <v>0.0</v>
      </c>
      <c r="H133" s="6">
        <v>30305.0</v>
      </c>
    </row>
    <row r="134" ht="15.75" customHeight="1">
      <c r="A134" s="4">
        <v>131.0</v>
      </c>
      <c r="B134" s="4" t="s">
        <v>279</v>
      </c>
      <c r="C134" s="4" t="s">
        <v>280</v>
      </c>
      <c r="D134" s="4" t="s">
        <v>116</v>
      </c>
      <c r="E134" s="6">
        <v>29940.0</v>
      </c>
      <c r="F134" s="6">
        <v>0.0</v>
      </c>
      <c r="G134" s="6">
        <v>0.0</v>
      </c>
      <c r="H134" s="6">
        <v>32934.0</v>
      </c>
    </row>
    <row r="135" ht="15.75" customHeight="1">
      <c r="A135" s="4">
        <v>132.0</v>
      </c>
      <c r="B135" s="4" t="s">
        <v>281</v>
      </c>
      <c r="C135" s="4" t="s">
        <v>282</v>
      </c>
      <c r="D135" s="4" t="s">
        <v>116</v>
      </c>
      <c r="E135" s="6">
        <v>37840.0</v>
      </c>
      <c r="F135" s="6">
        <v>0.0</v>
      </c>
      <c r="G135" s="6">
        <v>0.0</v>
      </c>
      <c r="H135" s="6">
        <v>41624.0</v>
      </c>
    </row>
    <row r="136" ht="15.75" customHeight="1">
      <c r="A136" s="4">
        <v>133.0</v>
      </c>
      <c r="B136" s="4" t="s">
        <v>283</v>
      </c>
      <c r="C136" s="4" t="s">
        <v>284</v>
      </c>
      <c r="D136" s="4" t="s">
        <v>116</v>
      </c>
      <c r="E136" s="6">
        <v>53270.0</v>
      </c>
      <c r="F136" s="6">
        <v>0.0</v>
      </c>
      <c r="G136" s="6">
        <v>0.0</v>
      </c>
      <c r="H136" s="6">
        <v>58597.0</v>
      </c>
    </row>
    <row r="137" ht="15.75" customHeight="1">
      <c r="A137" s="4">
        <v>134.0</v>
      </c>
      <c r="B137" s="4" t="s">
        <v>285</v>
      </c>
      <c r="C137" s="4" t="s">
        <v>286</v>
      </c>
      <c r="D137" s="4" t="s">
        <v>116</v>
      </c>
      <c r="E137" s="6">
        <v>71630.0</v>
      </c>
      <c r="F137" s="6">
        <v>0.0</v>
      </c>
      <c r="G137" s="6">
        <v>0.0</v>
      </c>
      <c r="H137" s="6">
        <v>78793.0</v>
      </c>
    </row>
    <row r="138" ht="15.75" customHeight="1">
      <c r="A138" s="4">
        <v>135.0</v>
      </c>
      <c r="B138" s="4" t="s">
        <v>287</v>
      </c>
      <c r="C138" s="4" t="s">
        <v>288</v>
      </c>
      <c r="D138" s="4" t="s">
        <v>116</v>
      </c>
      <c r="E138" s="6">
        <v>93210.0</v>
      </c>
      <c r="F138" s="6">
        <v>0.0</v>
      </c>
      <c r="G138" s="6">
        <v>0.0</v>
      </c>
      <c r="H138" s="6">
        <v>102531.0</v>
      </c>
    </row>
    <row r="139" ht="15.75" customHeight="1">
      <c r="A139" s="4">
        <v>136.0</v>
      </c>
      <c r="B139" s="4" t="s">
        <v>289</v>
      </c>
      <c r="C139" s="4" t="s">
        <v>290</v>
      </c>
      <c r="D139" s="4" t="s">
        <v>116</v>
      </c>
      <c r="E139" s="6">
        <v>120300.0</v>
      </c>
      <c r="F139" s="6">
        <v>0.0</v>
      </c>
      <c r="G139" s="6">
        <v>0.0</v>
      </c>
      <c r="H139" s="6">
        <v>132330.0</v>
      </c>
    </row>
    <row r="140" ht="15.75" customHeight="1">
      <c r="A140" s="4">
        <v>137.0</v>
      </c>
      <c r="B140" s="4" t="s">
        <v>291</v>
      </c>
      <c r="C140" s="4" t="s">
        <v>292</v>
      </c>
      <c r="D140" s="4" t="s">
        <v>116</v>
      </c>
      <c r="E140" s="6">
        <v>151530.0</v>
      </c>
      <c r="F140" s="6">
        <v>0.0</v>
      </c>
      <c r="G140" s="6">
        <v>0.0</v>
      </c>
      <c r="H140" s="6">
        <v>166683.0</v>
      </c>
    </row>
    <row r="141" ht="15.75" customHeight="1">
      <c r="A141" s="4">
        <v>138.0</v>
      </c>
      <c r="B141" s="4" t="s">
        <v>293</v>
      </c>
      <c r="C141" s="4" t="s">
        <v>294</v>
      </c>
      <c r="D141" s="4" t="s">
        <v>116</v>
      </c>
      <c r="E141" s="6">
        <v>30240.0</v>
      </c>
      <c r="F141" s="6">
        <v>0.0</v>
      </c>
      <c r="G141" s="6">
        <v>0.0</v>
      </c>
      <c r="H141" s="6">
        <v>33264.0</v>
      </c>
    </row>
    <row r="142" ht="15.75" customHeight="1">
      <c r="A142" s="9">
        <v>139.0</v>
      </c>
      <c r="B142" s="9" t="s">
        <v>295</v>
      </c>
      <c r="C142" s="10" t="s">
        <v>296</v>
      </c>
      <c r="D142" s="9"/>
      <c r="E142" s="11"/>
      <c r="F142" s="11"/>
      <c r="G142" s="11"/>
      <c r="H142" s="11"/>
    </row>
    <row r="143" ht="15.75" customHeight="1">
      <c r="A143" s="4">
        <v>140.0</v>
      </c>
      <c r="B143" s="4" t="s">
        <v>297</v>
      </c>
      <c r="C143" s="4" t="s">
        <v>298</v>
      </c>
      <c r="D143" s="4" t="s">
        <v>116</v>
      </c>
      <c r="E143" s="6">
        <v>100130.0</v>
      </c>
      <c r="F143" s="6">
        <v>0.0</v>
      </c>
      <c r="G143" s="6">
        <v>30726.0</v>
      </c>
      <c r="H143" s="6">
        <v>143941.0</v>
      </c>
    </row>
    <row r="144" ht="15.75" customHeight="1">
      <c r="A144" s="4">
        <v>141.0</v>
      </c>
      <c r="B144" s="4" t="s">
        <v>299</v>
      </c>
      <c r="C144" s="4" t="s">
        <v>300</v>
      </c>
      <c r="D144" s="4" t="s">
        <v>116</v>
      </c>
      <c r="E144" s="6">
        <v>110440.0</v>
      </c>
      <c r="F144" s="6">
        <v>0.0</v>
      </c>
      <c r="G144" s="6">
        <v>33885.0</v>
      </c>
      <c r="H144" s="6">
        <v>158757.0</v>
      </c>
    </row>
    <row r="145" ht="15.75" customHeight="1">
      <c r="A145" s="4">
        <v>142.0</v>
      </c>
      <c r="B145" s="4" t="s">
        <v>301</v>
      </c>
      <c r="C145" s="4" t="s">
        <v>302</v>
      </c>
      <c r="D145" s="4" t="s">
        <v>116</v>
      </c>
      <c r="E145" s="6">
        <v>120750.0</v>
      </c>
      <c r="F145" s="6">
        <v>0.0</v>
      </c>
      <c r="G145" s="6">
        <v>37050.75000000001</v>
      </c>
      <c r="H145" s="6">
        <v>173580.0</v>
      </c>
    </row>
    <row r="146" ht="15.75" customHeight="1">
      <c r="A146" s="4">
        <v>143.0</v>
      </c>
      <c r="B146" s="4" t="s">
        <v>303</v>
      </c>
      <c r="C146" s="4" t="s">
        <v>304</v>
      </c>
      <c r="D146" s="4" t="s">
        <v>116</v>
      </c>
      <c r="E146" s="6">
        <v>131060.0</v>
      </c>
      <c r="F146" s="6">
        <v>0.0</v>
      </c>
      <c r="G146" s="6">
        <v>40209.75</v>
      </c>
      <c r="H146" s="6">
        <v>188396.0</v>
      </c>
    </row>
    <row r="147" ht="15.75" customHeight="1">
      <c r="A147" s="4">
        <v>144.0</v>
      </c>
      <c r="B147" s="4" t="s">
        <v>305</v>
      </c>
      <c r="C147" s="4" t="s">
        <v>306</v>
      </c>
      <c r="D147" s="4" t="s">
        <v>116</v>
      </c>
      <c r="E147" s="6">
        <v>141370.0</v>
      </c>
      <c r="F147" s="6">
        <v>0.0</v>
      </c>
      <c r="G147" s="6">
        <v>4337.55</v>
      </c>
      <c r="H147" s="6">
        <v>160278.0</v>
      </c>
    </row>
    <row r="148" ht="15.75" customHeight="1">
      <c r="A148" s="9">
        <v>145.0</v>
      </c>
      <c r="B148" s="9" t="s">
        <v>307</v>
      </c>
      <c r="C148" s="10" t="s">
        <v>308</v>
      </c>
      <c r="D148" s="9"/>
      <c r="E148" s="11"/>
      <c r="F148" s="11"/>
      <c r="G148" s="11"/>
      <c r="H148" s="11"/>
    </row>
    <row r="149" ht="15.75" customHeight="1">
      <c r="A149" s="4">
        <v>146.0</v>
      </c>
      <c r="B149" s="4" t="s">
        <v>309</v>
      </c>
      <c r="C149" s="4" t="s">
        <v>310</v>
      </c>
      <c r="D149" s="4" t="s">
        <v>36</v>
      </c>
      <c r="E149" s="6">
        <v>0.0</v>
      </c>
      <c r="F149" s="6">
        <v>0.0</v>
      </c>
      <c r="G149" s="6">
        <v>0.0</v>
      </c>
      <c r="H149" s="6">
        <v>23196.0</v>
      </c>
    </row>
    <row r="150" ht="15.75" customHeight="1">
      <c r="A150" s="4">
        <v>147.0</v>
      </c>
      <c r="B150" s="4" t="s">
        <v>311</v>
      </c>
      <c r="C150" s="4" t="s">
        <v>312</v>
      </c>
      <c r="D150" s="4" t="s">
        <v>36</v>
      </c>
      <c r="E150" s="6">
        <v>0.0</v>
      </c>
      <c r="F150" s="6">
        <v>0.0</v>
      </c>
      <c r="G150" s="6">
        <v>0.0</v>
      </c>
      <c r="H150" s="6">
        <v>21990.0</v>
      </c>
    </row>
    <row r="151" ht="15.75" customHeight="1">
      <c r="A151" s="4">
        <v>148.0</v>
      </c>
      <c r="B151" s="4" t="s">
        <v>313</v>
      </c>
      <c r="C151" s="4" t="s">
        <v>314</v>
      </c>
      <c r="D151" s="4" t="s">
        <v>36</v>
      </c>
      <c r="E151" s="6">
        <v>0.0</v>
      </c>
      <c r="F151" s="6">
        <v>0.0</v>
      </c>
      <c r="G151" s="6">
        <v>0.0</v>
      </c>
      <c r="H151" s="6">
        <v>30430.0</v>
      </c>
    </row>
    <row r="152" ht="15.75" customHeight="1">
      <c r="A152" s="4">
        <v>149.0</v>
      </c>
      <c r="B152" s="4" t="s">
        <v>315</v>
      </c>
      <c r="C152" s="4" t="s">
        <v>316</v>
      </c>
      <c r="D152" s="4" t="s">
        <v>36</v>
      </c>
      <c r="E152" s="6">
        <v>0.0</v>
      </c>
      <c r="F152" s="6">
        <v>0.0</v>
      </c>
      <c r="G152" s="6">
        <v>0.0</v>
      </c>
      <c r="H152" s="6">
        <v>28688.0</v>
      </c>
    </row>
    <row r="153" ht="15.75" customHeight="1">
      <c r="A153" s="4">
        <v>150.0</v>
      </c>
      <c r="B153" s="4" t="s">
        <v>317</v>
      </c>
      <c r="C153" s="4" t="s">
        <v>318</v>
      </c>
      <c r="D153" s="4" t="s">
        <v>36</v>
      </c>
      <c r="E153" s="6">
        <v>0.0</v>
      </c>
      <c r="F153" s="6">
        <v>0.0</v>
      </c>
      <c r="G153" s="6">
        <v>0.0</v>
      </c>
      <c r="H153" s="6">
        <v>49995.0</v>
      </c>
    </row>
    <row r="154" ht="15.75" customHeight="1">
      <c r="A154" s="4">
        <v>151.0</v>
      </c>
      <c r="B154" s="4" t="s">
        <v>319</v>
      </c>
      <c r="C154" s="4" t="s">
        <v>320</v>
      </c>
      <c r="D154" s="4" t="s">
        <v>36</v>
      </c>
      <c r="E154" s="6">
        <v>0.0</v>
      </c>
      <c r="F154" s="6">
        <v>0.0</v>
      </c>
      <c r="G154" s="6">
        <v>0.0</v>
      </c>
      <c r="H154" s="6">
        <v>47014.0</v>
      </c>
    </row>
    <row r="155" ht="15.75" customHeight="1">
      <c r="A155" s="4">
        <v>152.0</v>
      </c>
      <c r="B155" s="4" t="s">
        <v>321</v>
      </c>
      <c r="C155" s="4" t="s">
        <v>322</v>
      </c>
      <c r="D155" s="4" t="s">
        <v>36</v>
      </c>
      <c r="E155" s="6">
        <v>0.0</v>
      </c>
      <c r="F155" s="6">
        <v>0.0</v>
      </c>
      <c r="G155" s="6">
        <v>0.0</v>
      </c>
      <c r="H155" s="6">
        <v>24669.0</v>
      </c>
    </row>
    <row r="156" ht="15.75" customHeight="1">
      <c r="A156" s="4">
        <v>153.0</v>
      </c>
      <c r="B156" s="4" t="s">
        <v>323</v>
      </c>
      <c r="C156" s="4" t="s">
        <v>324</v>
      </c>
      <c r="D156" s="4" t="s">
        <v>36</v>
      </c>
      <c r="E156" s="6">
        <v>0.0</v>
      </c>
      <c r="F156" s="6">
        <v>0.0</v>
      </c>
      <c r="G156" s="6">
        <v>0.0</v>
      </c>
      <c r="H156" s="6">
        <v>466166.0</v>
      </c>
    </row>
    <row r="157" ht="15.75" customHeight="1">
      <c r="A157" s="9">
        <v>154.0</v>
      </c>
      <c r="B157" s="9" t="s">
        <v>325</v>
      </c>
      <c r="C157" s="10" t="s">
        <v>326</v>
      </c>
      <c r="D157" s="9"/>
      <c r="E157" s="11"/>
      <c r="F157" s="11"/>
      <c r="G157" s="11"/>
      <c r="H157" s="11"/>
    </row>
    <row r="158" ht="15.75" customHeight="1">
      <c r="A158" s="4">
        <v>155.0</v>
      </c>
      <c r="B158" s="4" t="s">
        <v>327</v>
      </c>
      <c r="C158" s="4" t="s">
        <v>328</v>
      </c>
      <c r="D158" s="4" t="s">
        <v>116</v>
      </c>
      <c r="E158" s="6">
        <v>0.0</v>
      </c>
      <c r="F158" s="6">
        <v>0.0</v>
      </c>
      <c r="G158" s="6">
        <v>0.0</v>
      </c>
      <c r="H158" s="6">
        <v>146173.0</v>
      </c>
    </row>
    <row r="159" ht="15.75" customHeight="1">
      <c r="A159" s="4">
        <v>156.0</v>
      </c>
      <c r="B159" s="4" t="s">
        <v>329</v>
      </c>
      <c r="C159" s="4" t="s">
        <v>330</v>
      </c>
      <c r="D159" s="4" t="s">
        <v>116</v>
      </c>
      <c r="E159" s="6">
        <v>0.0</v>
      </c>
      <c r="F159" s="6">
        <v>0.0</v>
      </c>
      <c r="G159" s="6">
        <v>0.0</v>
      </c>
      <c r="H159" s="6">
        <v>150700.0</v>
      </c>
    </row>
    <row r="160" ht="15.75" customHeight="1">
      <c r="A160" s="4">
        <v>157.0</v>
      </c>
      <c r="B160" s="4" t="s">
        <v>331</v>
      </c>
      <c r="C160" s="4" t="s">
        <v>332</v>
      </c>
      <c r="D160" s="4" t="s">
        <v>116</v>
      </c>
      <c r="E160" s="6">
        <v>0.0</v>
      </c>
      <c r="F160" s="6">
        <v>0.0</v>
      </c>
      <c r="G160" s="6">
        <v>0.0</v>
      </c>
      <c r="H160" s="6">
        <v>211090.0</v>
      </c>
    </row>
    <row r="161" ht="15.75" customHeight="1">
      <c r="A161" s="4">
        <v>158.0</v>
      </c>
      <c r="B161" s="4" t="s">
        <v>333</v>
      </c>
      <c r="C161" s="4" t="s">
        <v>334</v>
      </c>
      <c r="D161" s="4" t="s">
        <v>116</v>
      </c>
      <c r="E161" s="6">
        <v>0.0</v>
      </c>
      <c r="F161" s="6">
        <v>0.0</v>
      </c>
      <c r="G161" s="6">
        <v>0.0</v>
      </c>
      <c r="H161" s="6">
        <v>504680.0</v>
      </c>
    </row>
    <row r="162" ht="15.75" customHeight="1">
      <c r="A162" s="4">
        <v>159.0</v>
      </c>
      <c r="B162" s="4" t="s">
        <v>335</v>
      </c>
      <c r="C162" s="4" t="s">
        <v>336</v>
      </c>
      <c r="D162" s="4" t="s">
        <v>116</v>
      </c>
      <c r="E162" s="6">
        <v>0.0</v>
      </c>
      <c r="F162" s="6">
        <v>0.0</v>
      </c>
      <c r="G162" s="6">
        <v>0.0</v>
      </c>
      <c r="H162" s="6">
        <v>152900.0</v>
      </c>
    </row>
    <row r="163" ht="15.75" customHeight="1">
      <c r="A163" s="4">
        <v>160.0</v>
      </c>
      <c r="B163" s="4" t="s">
        <v>337</v>
      </c>
      <c r="C163" s="4" t="s">
        <v>338</v>
      </c>
      <c r="D163" s="4" t="s">
        <v>116</v>
      </c>
      <c r="E163" s="6">
        <v>0.0</v>
      </c>
      <c r="F163" s="6">
        <v>0.0</v>
      </c>
      <c r="G163" s="6">
        <v>0.0</v>
      </c>
      <c r="H163" s="6">
        <v>174900.0</v>
      </c>
    </row>
    <row r="164" ht="15.75" customHeight="1">
      <c r="A164" s="4">
        <v>161.0</v>
      </c>
      <c r="B164" s="4" t="s">
        <v>339</v>
      </c>
      <c r="C164" s="4" t="s">
        <v>340</v>
      </c>
      <c r="D164" s="4" t="s">
        <v>116</v>
      </c>
      <c r="E164" s="6">
        <v>0.0</v>
      </c>
      <c r="F164" s="6">
        <v>0.0</v>
      </c>
      <c r="G164" s="6">
        <v>0.0</v>
      </c>
      <c r="H164" s="6">
        <v>39935.0</v>
      </c>
    </row>
    <row r="165" ht="15.75" customHeight="1">
      <c r="A165" s="4">
        <v>162.0</v>
      </c>
      <c r="B165" s="4" t="s">
        <v>341</v>
      </c>
      <c r="C165" s="4" t="s">
        <v>342</v>
      </c>
      <c r="D165" s="4" t="s">
        <v>116</v>
      </c>
      <c r="E165" s="6">
        <v>0.0</v>
      </c>
      <c r="F165" s="6">
        <v>0.0</v>
      </c>
      <c r="G165" s="6">
        <v>0.0</v>
      </c>
      <c r="H165" s="6">
        <v>25575.0</v>
      </c>
    </row>
    <row r="166" ht="15.75" customHeight="1">
      <c r="A166" s="4">
        <v>163.0</v>
      </c>
      <c r="B166" s="4" t="s">
        <v>343</v>
      </c>
      <c r="C166" s="4" t="s">
        <v>344</v>
      </c>
      <c r="D166" s="4" t="s">
        <v>116</v>
      </c>
      <c r="E166" s="6">
        <v>0.0</v>
      </c>
      <c r="F166" s="6">
        <v>0.0</v>
      </c>
      <c r="G166" s="6">
        <v>0.0</v>
      </c>
      <c r="H166" s="6">
        <v>13904.0</v>
      </c>
    </row>
    <row r="167" ht="15.75" customHeight="1">
      <c r="A167" s="4">
        <v>164.0</v>
      </c>
      <c r="B167" s="4" t="s">
        <v>345</v>
      </c>
      <c r="C167" s="4" t="s">
        <v>346</v>
      </c>
      <c r="D167" s="4" t="s">
        <v>116</v>
      </c>
      <c r="E167" s="6">
        <v>0.0</v>
      </c>
      <c r="F167" s="6">
        <v>0.0</v>
      </c>
      <c r="G167" s="6">
        <v>0.0</v>
      </c>
      <c r="H167" s="6">
        <v>1858158.0</v>
      </c>
    </row>
    <row r="168" ht="15.75" customHeight="1">
      <c r="A168" s="4">
        <v>165.0</v>
      </c>
      <c r="B168" s="4" t="s">
        <v>347</v>
      </c>
      <c r="C168" s="4" t="s">
        <v>348</v>
      </c>
      <c r="D168" s="4" t="s">
        <v>116</v>
      </c>
      <c r="E168" s="6">
        <v>0.0</v>
      </c>
      <c r="F168" s="6">
        <v>0.0</v>
      </c>
      <c r="G168" s="6">
        <v>0.0</v>
      </c>
      <c r="H168" s="6">
        <v>1690058.0</v>
      </c>
    </row>
    <row r="169" ht="15.75" customHeight="1">
      <c r="A169" s="4">
        <v>166.0</v>
      </c>
      <c r="B169" s="4" t="s">
        <v>349</v>
      </c>
      <c r="C169" s="4" t="s">
        <v>350</v>
      </c>
      <c r="D169" s="4" t="s">
        <v>116</v>
      </c>
      <c r="E169" s="6">
        <v>0.0</v>
      </c>
      <c r="F169" s="6">
        <v>0.0</v>
      </c>
      <c r="G169" s="6">
        <v>0.0</v>
      </c>
      <c r="H169" s="6">
        <v>17201.0</v>
      </c>
    </row>
    <row r="170" ht="15.75" customHeight="1">
      <c r="A170" s="4">
        <v>167.0</v>
      </c>
      <c r="B170" s="4" t="s">
        <v>351</v>
      </c>
      <c r="C170" s="4" t="s">
        <v>352</v>
      </c>
      <c r="D170" s="4" t="s">
        <v>116</v>
      </c>
      <c r="E170" s="6">
        <v>0.0</v>
      </c>
      <c r="F170" s="6">
        <v>0.0</v>
      </c>
      <c r="G170" s="6">
        <v>0.0</v>
      </c>
      <c r="H170" s="6">
        <v>34406.0</v>
      </c>
    </row>
    <row r="171" ht="15.75" customHeight="1">
      <c r="A171" s="9">
        <v>168.0</v>
      </c>
      <c r="B171" s="9" t="s">
        <v>353</v>
      </c>
      <c r="C171" s="10" t="s">
        <v>354</v>
      </c>
      <c r="D171" s="9"/>
      <c r="E171" s="11"/>
      <c r="F171" s="11"/>
      <c r="G171" s="11"/>
      <c r="H171" s="11"/>
    </row>
    <row r="172" ht="15.75" customHeight="1">
      <c r="A172" s="9">
        <v>169.0</v>
      </c>
      <c r="B172" s="9" t="s">
        <v>355</v>
      </c>
      <c r="C172" s="10" t="s">
        <v>356</v>
      </c>
      <c r="D172" s="9"/>
      <c r="E172" s="11"/>
      <c r="F172" s="11"/>
      <c r="G172" s="11"/>
      <c r="H172" s="11"/>
    </row>
    <row r="173" ht="15.75" customHeight="1">
      <c r="A173" s="9">
        <v>170.0</v>
      </c>
      <c r="B173" s="9" t="s">
        <v>357</v>
      </c>
      <c r="C173" s="10" t="s">
        <v>358</v>
      </c>
      <c r="D173" s="9"/>
      <c r="E173" s="11"/>
      <c r="F173" s="11"/>
      <c r="G173" s="11"/>
      <c r="H173" s="11"/>
    </row>
    <row r="174" ht="15.75" customHeight="1">
      <c r="A174" s="4">
        <v>171.0</v>
      </c>
      <c r="B174" s="4" t="s">
        <v>359</v>
      </c>
      <c r="C174" s="4" t="s">
        <v>360</v>
      </c>
      <c r="D174" s="4" t="s">
        <v>36</v>
      </c>
      <c r="E174" s="6">
        <v>197405.0</v>
      </c>
      <c r="F174" s="6">
        <v>74135.16</v>
      </c>
      <c r="G174" s="6">
        <v>0.0</v>
      </c>
      <c r="H174" s="6">
        <v>298694.0</v>
      </c>
    </row>
    <row r="175" ht="15.75" customHeight="1">
      <c r="A175" s="4">
        <v>172.0</v>
      </c>
      <c r="B175" s="4" t="s">
        <v>361</v>
      </c>
      <c r="C175" s="4" t="s">
        <v>362</v>
      </c>
      <c r="D175" s="4" t="s">
        <v>36</v>
      </c>
      <c r="E175" s="6">
        <v>204658.0</v>
      </c>
      <c r="F175" s="6">
        <v>74135.16</v>
      </c>
      <c r="G175" s="6">
        <v>0.0</v>
      </c>
      <c r="H175" s="6">
        <v>306672.0</v>
      </c>
    </row>
    <row r="176" ht="15.75" customHeight="1">
      <c r="A176" s="4">
        <v>173.0</v>
      </c>
      <c r="B176" s="4" t="s">
        <v>363</v>
      </c>
      <c r="C176" s="4" t="s">
        <v>364</v>
      </c>
      <c r="D176" s="4" t="s">
        <v>36</v>
      </c>
      <c r="E176" s="6">
        <v>8791.0</v>
      </c>
      <c r="F176" s="6">
        <v>13910.0</v>
      </c>
      <c r="G176" s="6">
        <v>0.0</v>
      </c>
      <c r="H176" s="6">
        <v>24971.0</v>
      </c>
    </row>
    <row r="177" ht="15.75" customHeight="1">
      <c r="A177" s="4">
        <v>174.0</v>
      </c>
      <c r="B177" s="4" t="s">
        <v>365</v>
      </c>
      <c r="C177" s="4" t="s">
        <v>366</v>
      </c>
      <c r="D177" s="4" t="s">
        <v>36</v>
      </c>
      <c r="E177" s="6">
        <v>3602.5</v>
      </c>
      <c r="F177" s="6">
        <v>36395.0</v>
      </c>
      <c r="G177" s="6">
        <v>0.0</v>
      </c>
      <c r="H177" s="6">
        <v>43997.0</v>
      </c>
    </row>
    <row r="178" ht="15.75" customHeight="1">
      <c r="A178" s="9">
        <v>175.0</v>
      </c>
      <c r="B178" s="9" t="s">
        <v>367</v>
      </c>
      <c r="C178" s="10" t="s">
        <v>368</v>
      </c>
      <c r="D178" s="9"/>
      <c r="E178" s="11"/>
      <c r="F178" s="11"/>
      <c r="G178" s="11"/>
      <c r="H178" s="11"/>
    </row>
    <row r="179" ht="15.75" customHeight="1">
      <c r="A179" s="4">
        <v>176.0</v>
      </c>
      <c r="B179" s="4" t="s">
        <v>369</v>
      </c>
      <c r="C179" s="4" t="s">
        <v>370</v>
      </c>
      <c r="D179" s="4" t="s">
        <v>36</v>
      </c>
      <c r="E179" s="6">
        <v>2430000.0</v>
      </c>
      <c r="F179" s="6">
        <v>1.32659E7</v>
      </c>
      <c r="G179" s="6">
        <v>0.0</v>
      </c>
      <c r="H179" s="6">
        <v>1.726549E7</v>
      </c>
    </row>
    <row r="180" ht="15.75" customHeight="1">
      <c r="A180" s="4">
        <v>177.0</v>
      </c>
      <c r="B180" s="4" t="s">
        <v>371</v>
      </c>
      <c r="C180" s="4" t="s">
        <v>372</v>
      </c>
      <c r="D180" s="4" t="s">
        <v>36</v>
      </c>
      <c r="E180" s="6">
        <v>4070250.0</v>
      </c>
      <c r="F180" s="6">
        <v>3.01209E7</v>
      </c>
      <c r="G180" s="6">
        <v>0.0</v>
      </c>
      <c r="H180" s="6">
        <v>3.7610265E7</v>
      </c>
    </row>
    <row r="181" ht="15.75" customHeight="1">
      <c r="A181" s="4">
        <v>178.0</v>
      </c>
      <c r="B181" s="4" t="s">
        <v>373</v>
      </c>
      <c r="C181" s="4" t="s">
        <v>374</v>
      </c>
      <c r="D181" s="4" t="s">
        <v>36</v>
      </c>
      <c r="E181" s="6">
        <v>1458000.0</v>
      </c>
      <c r="F181" s="6">
        <v>1.3262E7</v>
      </c>
      <c r="G181" s="6">
        <v>0.0</v>
      </c>
      <c r="H181" s="6">
        <v>1.6192E7</v>
      </c>
    </row>
    <row r="182" ht="15.75" customHeight="1">
      <c r="A182" s="4">
        <v>179.0</v>
      </c>
      <c r="B182" s="4" t="s">
        <v>375</v>
      </c>
      <c r="C182" s="4" t="s">
        <v>376</v>
      </c>
      <c r="D182" s="4" t="s">
        <v>36</v>
      </c>
      <c r="E182" s="6">
        <v>26910.0</v>
      </c>
      <c r="F182" s="6">
        <v>179498.8</v>
      </c>
      <c r="G182" s="6">
        <v>0.0</v>
      </c>
      <c r="H182" s="6">
        <v>227049.0</v>
      </c>
    </row>
    <row r="183" ht="15.75" customHeight="1">
      <c r="A183" s="4">
        <v>180.0</v>
      </c>
      <c r="B183" s="4" t="s">
        <v>377</v>
      </c>
      <c r="C183" s="4" t="s">
        <v>378</v>
      </c>
      <c r="D183" s="4" t="s">
        <v>36</v>
      </c>
      <c r="E183" s="6">
        <v>26910.0</v>
      </c>
      <c r="F183" s="6">
        <v>201020.2</v>
      </c>
      <c r="G183" s="6">
        <v>0.0</v>
      </c>
      <c r="H183" s="6">
        <v>250723.0</v>
      </c>
    </row>
    <row r="184" ht="15.75" customHeight="1">
      <c r="A184" s="4">
        <v>181.0</v>
      </c>
      <c r="B184" s="4" t="s">
        <v>379</v>
      </c>
      <c r="C184" s="4" t="s">
        <v>380</v>
      </c>
      <c r="D184" s="4" t="s">
        <v>36</v>
      </c>
      <c r="E184" s="6">
        <v>32300.0</v>
      </c>
      <c r="F184" s="6">
        <v>72110.0</v>
      </c>
      <c r="G184" s="6">
        <v>0.0</v>
      </c>
      <c r="H184" s="6">
        <v>114851.0</v>
      </c>
    </row>
    <row r="185" ht="15.75" customHeight="1">
      <c r="A185" s="9">
        <v>182.0</v>
      </c>
      <c r="B185" s="9" t="s">
        <v>381</v>
      </c>
      <c r="C185" s="10" t="s">
        <v>382</v>
      </c>
      <c r="D185" s="9"/>
      <c r="E185" s="11"/>
      <c r="F185" s="11"/>
      <c r="G185" s="11"/>
      <c r="H185" s="11"/>
    </row>
    <row r="186" ht="15.75" customHeight="1">
      <c r="A186" s="9">
        <v>183.0</v>
      </c>
      <c r="B186" s="9" t="s">
        <v>383</v>
      </c>
      <c r="C186" s="10" t="s">
        <v>384</v>
      </c>
      <c r="D186" s="9"/>
      <c r="E186" s="11"/>
      <c r="F186" s="11"/>
      <c r="G186" s="11"/>
      <c r="H186" s="11"/>
    </row>
    <row r="187" ht="15.75" customHeight="1">
      <c r="A187" s="9">
        <v>184.0</v>
      </c>
      <c r="B187" s="9" t="s">
        <v>385</v>
      </c>
      <c r="C187" s="10" t="s">
        <v>386</v>
      </c>
      <c r="D187" s="9"/>
      <c r="E187" s="11"/>
      <c r="F187" s="11"/>
      <c r="G187" s="11"/>
      <c r="H187" s="11"/>
    </row>
    <row r="188" ht="15.75" customHeight="1">
      <c r="A188" s="4">
        <v>185.0</v>
      </c>
      <c r="B188" s="4" t="s">
        <v>387</v>
      </c>
      <c r="C188" s="4" t="s">
        <v>388</v>
      </c>
      <c r="D188" s="4" t="s">
        <v>389</v>
      </c>
      <c r="E188" s="6">
        <v>0.0</v>
      </c>
      <c r="F188" s="6">
        <v>0.0</v>
      </c>
      <c r="G188" s="6">
        <v>0.0</v>
      </c>
      <c r="H188" s="6">
        <v>18473.0</v>
      </c>
    </row>
    <row r="189" ht="15.75" customHeight="1">
      <c r="A189" s="4">
        <v>186.0</v>
      </c>
      <c r="B189" s="4" t="s">
        <v>390</v>
      </c>
      <c r="C189" s="4" t="s">
        <v>391</v>
      </c>
      <c r="D189" s="4" t="s">
        <v>389</v>
      </c>
      <c r="E189" s="6">
        <v>0.0</v>
      </c>
      <c r="F189" s="6">
        <v>0.0</v>
      </c>
      <c r="G189" s="6">
        <v>0.0</v>
      </c>
      <c r="H189" s="6">
        <v>18754.0</v>
      </c>
    </row>
    <row r="190" ht="15.75" customHeight="1">
      <c r="A190" s="4">
        <v>187.0</v>
      </c>
      <c r="B190" s="4" t="s">
        <v>392</v>
      </c>
      <c r="C190" s="4" t="s">
        <v>393</v>
      </c>
      <c r="D190" s="4" t="s">
        <v>389</v>
      </c>
      <c r="E190" s="6">
        <v>0.0</v>
      </c>
      <c r="F190" s="6">
        <v>0.0</v>
      </c>
      <c r="G190" s="6">
        <v>0.0</v>
      </c>
      <c r="H190" s="6">
        <v>18802.0</v>
      </c>
    </row>
    <row r="191" ht="15.75" customHeight="1">
      <c r="A191" s="4">
        <v>188.0</v>
      </c>
      <c r="B191" s="4" t="s">
        <v>394</v>
      </c>
      <c r="C191" s="4" t="s">
        <v>395</v>
      </c>
      <c r="D191" s="4" t="s">
        <v>389</v>
      </c>
      <c r="E191" s="6">
        <v>0.0</v>
      </c>
      <c r="F191" s="6">
        <v>0.0</v>
      </c>
      <c r="G191" s="6">
        <v>0.0</v>
      </c>
      <c r="H191" s="6">
        <v>19387.0</v>
      </c>
    </row>
    <row r="192" ht="15.75" customHeight="1">
      <c r="A192" s="4">
        <v>189.0</v>
      </c>
      <c r="B192" s="4" t="s">
        <v>396</v>
      </c>
      <c r="C192" s="4" t="s">
        <v>397</v>
      </c>
      <c r="D192" s="4" t="s">
        <v>389</v>
      </c>
      <c r="E192" s="6">
        <v>0.0</v>
      </c>
      <c r="F192" s="6">
        <v>0.0</v>
      </c>
      <c r="G192" s="6">
        <v>0.0</v>
      </c>
      <c r="H192" s="6">
        <v>17064.0</v>
      </c>
    </row>
    <row r="193" ht="15.75" customHeight="1">
      <c r="A193" s="4">
        <v>190.0</v>
      </c>
      <c r="B193" s="4" t="s">
        <v>398</v>
      </c>
      <c r="C193" s="4" t="s">
        <v>399</v>
      </c>
      <c r="D193" s="4" t="s">
        <v>389</v>
      </c>
      <c r="E193" s="6">
        <v>0.0</v>
      </c>
      <c r="F193" s="6">
        <v>0.0</v>
      </c>
      <c r="G193" s="6">
        <v>0.0</v>
      </c>
      <c r="H193" s="6">
        <v>17345.0</v>
      </c>
    </row>
    <row r="194" ht="15.75" customHeight="1">
      <c r="A194" s="4">
        <v>191.0</v>
      </c>
      <c r="B194" s="4" t="s">
        <v>400</v>
      </c>
      <c r="C194" s="4" t="s">
        <v>401</v>
      </c>
      <c r="D194" s="4" t="s">
        <v>389</v>
      </c>
      <c r="E194" s="6">
        <v>0.0</v>
      </c>
      <c r="F194" s="6">
        <v>0.0</v>
      </c>
      <c r="G194" s="6">
        <v>0.0</v>
      </c>
      <c r="H194" s="6">
        <v>91628.0</v>
      </c>
    </row>
    <row r="195" ht="15.75" customHeight="1">
      <c r="A195" s="4">
        <v>192.0</v>
      </c>
      <c r="B195" s="4" t="s">
        <v>402</v>
      </c>
      <c r="C195" s="4" t="s">
        <v>403</v>
      </c>
      <c r="D195" s="4" t="s">
        <v>404</v>
      </c>
      <c r="E195" s="6">
        <v>0.0</v>
      </c>
      <c r="F195" s="6">
        <v>0.0</v>
      </c>
      <c r="G195" s="6">
        <v>0.0</v>
      </c>
      <c r="H195" s="6">
        <v>92286.0</v>
      </c>
    </row>
    <row r="196" ht="15.75" customHeight="1">
      <c r="A196" s="4">
        <v>193.0</v>
      </c>
      <c r="B196" s="4" t="s">
        <v>405</v>
      </c>
      <c r="C196" s="4" t="s">
        <v>406</v>
      </c>
      <c r="D196" s="4" t="s">
        <v>389</v>
      </c>
      <c r="E196" s="6">
        <v>0.0</v>
      </c>
      <c r="F196" s="6">
        <v>0.0</v>
      </c>
      <c r="G196" s="6">
        <v>0.0</v>
      </c>
      <c r="H196" s="6">
        <v>13807.0</v>
      </c>
    </row>
    <row r="197" ht="15.75" customHeight="1">
      <c r="A197" s="4">
        <v>194.0</v>
      </c>
      <c r="B197" s="4" t="s">
        <v>407</v>
      </c>
      <c r="C197" s="4" t="s">
        <v>408</v>
      </c>
      <c r="D197" s="4" t="s">
        <v>389</v>
      </c>
      <c r="E197" s="6">
        <v>0.0</v>
      </c>
      <c r="F197" s="6">
        <v>0.0</v>
      </c>
      <c r="G197" s="6">
        <v>0.0</v>
      </c>
      <c r="H197" s="6">
        <v>13239.0</v>
      </c>
    </row>
    <row r="198" ht="15.75" customHeight="1">
      <c r="A198" s="4">
        <v>195.0</v>
      </c>
      <c r="B198" s="4" t="s">
        <v>409</v>
      </c>
      <c r="C198" s="4" t="s">
        <v>410</v>
      </c>
      <c r="D198" s="4" t="s">
        <v>389</v>
      </c>
      <c r="E198" s="6">
        <v>0.0</v>
      </c>
      <c r="F198" s="6">
        <v>0.0</v>
      </c>
      <c r="G198" s="6">
        <v>0.0</v>
      </c>
      <c r="H198" s="6">
        <v>59.0</v>
      </c>
    </row>
    <row r="199" ht="15.75" customHeight="1">
      <c r="A199" s="4">
        <v>196.0</v>
      </c>
      <c r="B199" s="4" t="s">
        <v>411</v>
      </c>
      <c r="C199" s="4" t="s">
        <v>412</v>
      </c>
      <c r="D199" s="4" t="s">
        <v>389</v>
      </c>
      <c r="E199" s="6">
        <v>0.0</v>
      </c>
      <c r="F199" s="6">
        <v>0.0</v>
      </c>
      <c r="G199" s="6">
        <v>0.0</v>
      </c>
      <c r="H199" s="6">
        <v>27.0</v>
      </c>
    </row>
    <row r="200" ht="15.75" customHeight="1">
      <c r="A200" s="4">
        <v>197.0</v>
      </c>
      <c r="B200" s="4" t="s">
        <v>413</v>
      </c>
      <c r="C200" s="4" t="s">
        <v>414</v>
      </c>
      <c r="D200" s="4" t="s">
        <v>389</v>
      </c>
      <c r="E200" s="6">
        <v>0.0</v>
      </c>
      <c r="F200" s="6">
        <v>0.0</v>
      </c>
      <c r="G200" s="6">
        <v>0.0</v>
      </c>
      <c r="H200" s="6">
        <v>1274.0</v>
      </c>
    </row>
    <row r="201" ht="15.75" customHeight="1">
      <c r="A201" s="9">
        <v>198.0</v>
      </c>
      <c r="B201" s="9" t="s">
        <v>415</v>
      </c>
      <c r="C201" s="10" t="s">
        <v>416</v>
      </c>
      <c r="D201" s="9"/>
      <c r="E201" s="11"/>
      <c r="F201" s="11"/>
      <c r="G201" s="11"/>
      <c r="H201" s="11"/>
    </row>
    <row r="202" ht="15.75" customHeight="1">
      <c r="A202" s="4">
        <v>199.0</v>
      </c>
      <c r="B202" s="4" t="s">
        <v>417</v>
      </c>
      <c r="C202" s="4" t="s">
        <v>418</v>
      </c>
      <c r="D202" s="4" t="s">
        <v>419</v>
      </c>
      <c r="E202" s="6">
        <v>0.0</v>
      </c>
      <c r="F202" s="6">
        <v>0.0</v>
      </c>
      <c r="G202" s="6">
        <v>0.0</v>
      </c>
      <c r="H202" s="6">
        <v>98807.0</v>
      </c>
    </row>
    <row r="203" ht="15.75" customHeight="1">
      <c r="A203" s="4">
        <v>200.0</v>
      </c>
      <c r="B203" s="4" t="s">
        <v>420</v>
      </c>
      <c r="C203" s="4" t="s">
        <v>421</v>
      </c>
      <c r="D203" s="4" t="s">
        <v>419</v>
      </c>
      <c r="E203" s="6">
        <v>0.0</v>
      </c>
      <c r="F203" s="6">
        <v>0.0</v>
      </c>
      <c r="G203" s="6">
        <v>0.0</v>
      </c>
      <c r="H203" s="6">
        <v>122842.0</v>
      </c>
    </row>
    <row r="204" ht="15.75" customHeight="1">
      <c r="A204" s="4">
        <v>201.0</v>
      </c>
      <c r="B204" s="4" t="s">
        <v>422</v>
      </c>
      <c r="C204" s="4" t="s">
        <v>423</v>
      </c>
      <c r="D204" s="4" t="s">
        <v>419</v>
      </c>
      <c r="E204" s="6">
        <v>0.0</v>
      </c>
      <c r="F204" s="6">
        <v>0.0</v>
      </c>
      <c r="G204" s="6">
        <v>0.0</v>
      </c>
      <c r="H204" s="6">
        <v>174996.0</v>
      </c>
    </row>
    <row r="205" ht="15.75" customHeight="1">
      <c r="A205" s="9">
        <v>202.0</v>
      </c>
      <c r="B205" s="9" t="s">
        <v>424</v>
      </c>
      <c r="C205" s="10" t="s">
        <v>425</v>
      </c>
      <c r="D205" s="9"/>
      <c r="E205" s="11"/>
      <c r="F205" s="11"/>
      <c r="G205" s="11"/>
      <c r="H205" s="11"/>
    </row>
    <row r="206" ht="15.75" customHeight="1">
      <c r="A206" s="4">
        <v>203.0</v>
      </c>
      <c r="B206" s="4" t="s">
        <v>426</v>
      </c>
      <c r="C206" s="4" t="s">
        <v>427</v>
      </c>
      <c r="D206" s="4" t="s">
        <v>36</v>
      </c>
      <c r="E206" s="6">
        <v>0.0</v>
      </c>
      <c r="F206" s="6">
        <v>0.0</v>
      </c>
      <c r="G206" s="6">
        <v>0.0</v>
      </c>
      <c r="H206" s="6">
        <v>254573.0</v>
      </c>
    </row>
    <row r="207" ht="15.75" customHeight="1">
      <c r="A207" s="4">
        <v>204.0</v>
      </c>
      <c r="B207" s="4" t="s">
        <v>428</v>
      </c>
      <c r="C207" s="4" t="s">
        <v>429</v>
      </c>
      <c r="D207" s="4" t="s">
        <v>36</v>
      </c>
      <c r="E207" s="6">
        <v>0.0</v>
      </c>
      <c r="F207" s="6">
        <v>0.0</v>
      </c>
      <c r="G207" s="6">
        <v>0.0</v>
      </c>
      <c r="H207" s="6">
        <v>272173.0</v>
      </c>
    </row>
    <row r="208" ht="15.75" customHeight="1">
      <c r="A208" s="4">
        <v>205.0</v>
      </c>
      <c r="B208" s="4" t="s">
        <v>430</v>
      </c>
      <c r="C208" s="4" t="s">
        <v>431</v>
      </c>
      <c r="D208" s="4" t="s">
        <v>36</v>
      </c>
      <c r="E208" s="6">
        <v>0.0</v>
      </c>
      <c r="F208" s="6">
        <v>0.0</v>
      </c>
      <c r="G208" s="6">
        <v>0.0</v>
      </c>
      <c r="H208" s="6">
        <v>226443.0</v>
      </c>
    </row>
    <row r="209" ht="15.75" customHeight="1">
      <c r="A209" s="4">
        <v>206.0</v>
      </c>
      <c r="B209" s="4" t="s">
        <v>432</v>
      </c>
      <c r="C209" s="4" t="s">
        <v>433</v>
      </c>
      <c r="D209" s="4" t="s">
        <v>36</v>
      </c>
      <c r="E209" s="6">
        <v>0.0</v>
      </c>
      <c r="F209" s="6">
        <v>0.0</v>
      </c>
      <c r="G209" s="6">
        <v>0.0</v>
      </c>
      <c r="H209" s="6">
        <v>238668.0</v>
      </c>
    </row>
    <row r="210" ht="15.75" customHeight="1">
      <c r="A210" s="4">
        <v>207.0</v>
      </c>
      <c r="B210" s="4" t="s">
        <v>434</v>
      </c>
      <c r="C210" s="4" t="s">
        <v>435</v>
      </c>
      <c r="D210" s="4" t="s">
        <v>36</v>
      </c>
      <c r="E210" s="6">
        <v>0.0</v>
      </c>
      <c r="F210" s="6">
        <v>0.0</v>
      </c>
      <c r="G210" s="6">
        <v>0.0</v>
      </c>
      <c r="H210" s="6">
        <v>241284.0</v>
      </c>
    </row>
    <row r="211" ht="15.75" customHeight="1">
      <c r="A211" s="4">
        <v>208.0</v>
      </c>
      <c r="B211" s="4" t="s">
        <v>436</v>
      </c>
      <c r="C211" s="4" t="s">
        <v>437</v>
      </c>
      <c r="D211" s="4" t="s">
        <v>36</v>
      </c>
      <c r="E211" s="6">
        <v>0.0</v>
      </c>
      <c r="F211" s="6">
        <v>0.0</v>
      </c>
      <c r="G211" s="6">
        <v>0.0</v>
      </c>
      <c r="H211" s="6">
        <v>284467.0</v>
      </c>
    </row>
    <row r="212" ht="15.75" customHeight="1">
      <c r="A212" s="4">
        <v>209.0</v>
      </c>
      <c r="B212" s="4" t="s">
        <v>438</v>
      </c>
      <c r="C212" s="4" t="s">
        <v>439</v>
      </c>
      <c r="D212" s="4" t="s">
        <v>36</v>
      </c>
      <c r="E212" s="6">
        <v>0.0</v>
      </c>
      <c r="F212" s="6">
        <v>0.0</v>
      </c>
      <c r="G212" s="6">
        <v>0.0</v>
      </c>
      <c r="H212" s="6">
        <v>237811.0</v>
      </c>
    </row>
    <row r="213" ht="15.75" customHeight="1">
      <c r="A213" s="4">
        <v>210.0</v>
      </c>
      <c r="B213" s="4" t="s">
        <v>440</v>
      </c>
      <c r="C213" s="4" t="s">
        <v>441</v>
      </c>
      <c r="D213" s="4" t="s">
        <v>36</v>
      </c>
      <c r="E213" s="6">
        <v>0.0</v>
      </c>
      <c r="F213" s="6">
        <v>0.0</v>
      </c>
      <c r="G213" s="6">
        <v>0.0</v>
      </c>
      <c r="H213" s="6">
        <v>121041.0</v>
      </c>
    </row>
    <row r="214" ht="15.75" customHeight="1">
      <c r="A214" s="4">
        <v>211.0</v>
      </c>
      <c r="B214" s="4" t="s">
        <v>442</v>
      </c>
      <c r="C214" s="4" t="s">
        <v>443</v>
      </c>
      <c r="D214" s="4" t="s">
        <v>36</v>
      </c>
      <c r="E214" s="6">
        <v>0.0</v>
      </c>
      <c r="F214" s="6">
        <v>0.0</v>
      </c>
      <c r="G214" s="6">
        <v>0.0</v>
      </c>
      <c r="H214" s="6">
        <v>5280.0</v>
      </c>
    </row>
    <row r="215" ht="15.75" customHeight="1">
      <c r="A215" s="4">
        <v>212.0</v>
      </c>
      <c r="B215" s="4" t="s">
        <v>444</v>
      </c>
      <c r="C215" s="4" t="s">
        <v>445</v>
      </c>
      <c r="D215" s="4" t="s">
        <v>36</v>
      </c>
      <c r="E215" s="6">
        <v>0.0</v>
      </c>
      <c r="F215" s="6">
        <v>0.0</v>
      </c>
      <c r="G215" s="6">
        <v>0.0</v>
      </c>
      <c r="H215" s="6">
        <v>7920.0</v>
      </c>
    </row>
    <row r="216" ht="15.75" customHeight="1">
      <c r="A216" s="9">
        <v>213.0</v>
      </c>
      <c r="B216" s="9" t="s">
        <v>446</v>
      </c>
      <c r="C216" s="10" t="s">
        <v>447</v>
      </c>
      <c r="D216" s="9"/>
      <c r="E216" s="11"/>
      <c r="F216" s="11"/>
      <c r="G216" s="11"/>
      <c r="H216" s="11"/>
    </row>
    <row r="217" ht="15.75" customHeight="1">
      <c r="A217" s="4">
        <v>214.0</v>
      </c>
      <c r="B217" s="4" t="s">
        <v>448</v>
      </c>
      <c r="C217" s="4" t="s">
        <v>449</v>
      </c>
      <c r="D217" s="4" t="s">
        <v>116</v>
      </c>
      <c r="E217" s="6">
        <v>0.0</v>
      </c>
      <c r="F217" s="6">
        <v>0.0</v>
      </c>
      <c r="G217" s="6">
        <v>0.0</v>
      </c>
      <c r="H217" s="6">
        <v>928002.0</v>
      </c>
    </row>
    <row r="218" ht="15.75" customHeight="1">
      <c r="A218" s="4">
        <v>215.0</v>
      </c>
      <c r="B218" s="4" t="s">
        <v>450</v>
      </c>
      <c r="C218" s="4" t="s">
        <v>451</v>
      </c>
      <c r="D218" s="4" t="s">
        <v>116</v>
      </c>
      <c r="E218" s="6">
        <v>0.0</v>
      </c>
      <c r="F218" s="6">
        <v>0.0</v>
      </c>
      <c r="G218" s="6">
        <v>0.0</v>
      </c>
      <c r="H218" s="6">
        <v>1236055.0</v>
      </c>
    </row>
    <row r="219" ht="15.75" customHeight="1">
      <c r="A219" s="4">
        <v>216.0</v>
      </c>
      <c r="B219" s="4" t="s">
        <v>452</v>
      </c>
      <c r="C219" s="4" t="s">
        <v>453</v>
      </c>
      <c r="D219" s="4" t="s">
        <v>116</v>
      </c>
      <c r="E219" s="6">
        <v>0.0</v>
      </c>
      <c r="F219" s="6">
        <v>0.0</v>
      </c>
      <c r="G219" s="6">
        <v>0.0</v>
      </c>
      <c r="H219" s="6">
        <v>1278955.0</v>
      </c>
    </row>
    <row r="220" ht="15.75" customHeight="1">
      <c r="A220" s="4">
        <v>217.0</v>
      </c>
      <c r="B220" s="4" t="s">
        <v>454</v>
      </c>
      <c r="C220" s="4" t="s">
        <v>455</v>
      </c>
      <c r="D220" s="4" t="s">
        <v>116</v>
      </c>
      <c r="E220" s="6">
        <v>0.0</v>
      </c>
      <c r="F220" s="6">
        <v>0.0</v>
      </c>
      <c r="G220" s="6">
        <v>0.0</v>
      </c>
      <c r="H220" s="6">
        <v>1296885.0</v>
      </c>
    </row>
    <row r="221" ht="15.75" customHeight="1">
      <c r="A221" s="4">
        <v>218.0</v>
      </c>
      <c r="B221" s="4" t="s">
        <v>456</v>
      </c>
      <c r="C221" s="4" t="s">
        <v>457</v>
      </c>
      <c r="D221" s="4" t="s">
        <v>116</v>
      </c>
      <c r="E221" s="6">
        <v>0.0</v>
      </c>
      <c r="F221" s="6">
        <v>0.0</v>
      </c>
      <c r="G221" s="6">
        <v>0.0</v>
      </c>
      <c r="H221" s="6">
        <v>1325155.0</v>
      </c>
    </row>
    <row r="222" ht="15.75" customHeight="1">
      <c r="A222" s="4">
        <v>219.0</v>
      </c>
      <c r="B222" s="4" t="s">
        <v>458</v>
      </c>
      <c r="C222" s="4" t="s">
        <v>459</v>
      </c>
      <c r="D222" s="4" t="s">
        <v>116</v>
      </c>
      <c r="E222" s="6">
        <v>0.0</v>
      </c>
      <c r="F222" s="6">
        <v>0.0</v>
      </c>
      <c r="G222" s="6">
        <v>0.0</v>
      </c>
      <c r="H222" s="6">
        <v>1347155.0</v>
      </c>
    </row>
    <row r="223" ht="15.75" customHeight="1">
      <c r="A223" s="9">
        <v>220.0</v>
      </c>
      <c r="B223" s="9" t="s">
        <v>460</v>
      </c>
      <c r="C223" s="10" t="s">
        <v>461</v>
      </c>
      <c r="D223" s="9"/>
      <c r="E223" s="11"/>
      <c r="F223" s="11"/>
      <c r="G223" s="11"/>
      <c r="H223" s="11"/>
    </row>
    <row r="224" ht="15.75" customHeight="1">
      <c r="A224" s="4">
        <v>221.0</v>
      </c>
      <c r="B224" s="4" t="s">
        <v>462</v>
      </c>
      <c r="C224" s="4" t="s">
        <v>463</v>
      </c>
      <c r="D224" s="4" t="s">
        <v>116</v>
      </c>
      <c r="E224" s="6">
        <v>0.0</v>
      </c>
      <c r="F224" s="6">
        <v>0.0</v>
      </c>
      <c r="G224" s="6">
        <v>0.0</v>
      </c>
      <c r="H224" s="6">
        <v>1228685.0</v>
      </c>
    </row>
    <row r="225" ht="15.75" customHeight="1">
      <c r="A225" s="4">
        <v>222.0</v>
      </c>
      <c r="B225" s="4" t="s">
        <v>464</v>
      </c>
      <c r="C225" s="4" t="s">
        <v>465</v>
      </c>
      <c r="D225" s="4" t="s">
        <v>116</v>
      </c>
      <c r="E225" s="6">
        <v>0.0</v>
      </c>
      <c r="F225" s="6">
        <v>0.0</v>
      </c>
      <c r="G225" s="6">
        <v>0.0</v>
      </c>
      <c r="H225" s="6">
        <v>1271585.0</v>
      </c>
    </row>
    <row r="226" ht="15.75" customHeight="1">
      <c r="A226" s="4">
        <v>223.0</v>
      </c>
      <c r="B226" s="4" t="s">
        <v>466</v>
      </c>
      <c r="C226" s="4" t="s">
        <v>467</v>
      </c>
      <c r="D226" s="4" t="s">
        <v>116</v>
      </c>
      <c r="E226" s="6">
        <v>0.0</v>
      </c>
      <c r="F226" s="6">
        <v>0.0</v>
      </c>
      <c r="G226" s="6">
        <v>0.0</v>
      </c>
      <c r="H226" s="6">
        <v>1289515.0</v>
      </c>
    </row>
    <row r="227" ht="15.75" customHeight="1">
      <c r="A227" s="4">
        <v>224.0</v>
      </c>
      <c r="B227" s="4" t="s">
        <v>468</v>
      </c>
      <c r="C227" s="4" t="s">
        <v>469</v>
      </c>
      <c r="D227" s="4" t="s">
        <v>116</v>
      </c>
      <c r="E227" s="6">
        <v>0.0</v>
      </c>
      <c r="F227" s="6">
        <v>0.0</v>
      </c>
      <c r="G227" s="6">
        <v>0.0</v>
      </c>
      <c r="H227" s="6">
        <v>1317785.0</v>
      </c>
    </row>
    <row r="228" ht="15.75" customHeight="1">
      <c r="A228" s="4">
        <v>225.0</v>
      </c>
      <c r="B228" s="4" t="s">
        <v>470</v>
      </c>
      <c r="C228" s="4" t="s">
        <v>471</v>
      </c>
      <c r="D228" s="4" t="s">
        <v>116</v>
      </c>
      <c r="E228" s="6">
        <v>0.0</v>
      </c>
      <c r="F228" s="6">
        <v>0.0</v>
      </c>
      <c r="G228" s="6">
        <v>0.0</v>
      </c>
      <c r="H228" s="6">
        <v>1339785.0</v>
      </c>
    </row>
    <row r="229" ht="15.75" customHeight="1">
      <c r="A229" s="4">
        <v>226.0</v>
      </c>
      <c r="B229" s="4" t="s">
        <v>472</v>
      </c>
      <c r="C229" s="4" t="s">
        <v>473</v>
      </c>
      <c r="D229" s="4" t="s">
        <v>116</v>
      </c>
      <c r="E229" s="6">
        <v>0.0</v>
      </c>
      <c r="F229" s="6">
        <v>0.0</v>
      </c>
      <c r="G229" s="6">
        <v>0.0</v>
      </c>
      <c r="H229" s="6">
        <v>1382685.0</v>
      </c>
    </row>
    <row r="230" ht="15.75" customHeight="1">
      <c r="A230" s="4">
        <v>227.0</v>
      </c>
      <c r="B230" s="4" t="s">
        <v>474</v>
      </c>
      <c r="C230" s="4" t="s">
        <v>475</v>
      </c>
      <c r="D230" s="4" t="s">
        <v>116</v>
      </c>
      <c r="E230" s="6">
        <v>0.0</v>
      </c>
      <c r="F230" s="6">
        <v>0.0</v>
      </c>
      <c r="G230" s="6">
        <v>0.0</v>
      </c>
      <c r="H230" s="6">
        <v>1415685.0</v>
      </c>
    </row>
    <row r="231" ht="15.75" customHeight="1">
      <c r="A231" s="4">
        <v>228.0</v>
      </c>
      <c r="B231" s="4" t="s">
        <v>476</v>
      </c>
      <c r="C231" s="4" t="s">
        <v>477</v>
      </c>
      <c r="D231" s="4" t="s">
        <v>116</v>
      </c>
      <c r="E231" s="6">
        <v>0.0</v>
      </c>
      <c r="F231" s="6">
        <v>0.0</v>
      </c>
      <c r="G231" s="6">
        <v>0.0</v>
      </c>
      <c r="H231" s="6">
        <v>1437685.0</v>
      </c>
    </row>
    <row r="232" ht="15.75" customHeight="1">
      <c r="A232" s="4">
        <v>229.0</v>
      </c>
      <c r="B232" s="4" t="s">
        <v>478</v>
      </c>
      <c r="C232" s="4" t="s">
        <v>479</v>
      </c>
      <c r="D232" s="4" t="s">
        <v>116</v>
      </c>
      <c r="E232" s="6">
        <v>0.0</v>
      </c>
      <c r="F232" s="6">
        <v>0.0</v>
      </c>
      <c r="G232" s="6">
        <v>0.0</v>
      </c>
      <c r="H232" s="6">
        <v>1450115.0</v>
      </c>
    </row>
    <row r="233" ht="15.75" customHeight="1">
      <c r="A233" s="4">
        <v>230.0</v>
      </c>
      <c r="B233" s="4" t="s">
        <v>480</v>
      </c>
      <c r="C233" s="4" t="s">
        <v>481</v>
      </c>
      <c r="D233" s="4" t="s">
        <v>116</v>
      </c>
      <c r="E233" s="6">
        <v>0.0</v>
      </c>
      <c r="F233" s="6">
        <v>0.0</v>
      </c>
      <c r="G233" s="6">
        <v>0.0</v>
      </c>
      <c r="H233" s="6">
        <v>1417775.0</v>
      </c>
    </row>
    <row r="234" ht="15.75" customHeight="1">
      <c r="A234" s="4">
        <v>231.0</v>
      </c>
      <c r="B234" s="4" t="s">
        <v>482</v>
      </c>
      <c r="C234" s="4" t="s">
        <v>483</v>
      </c>
      <c r="D234" s="4" t="s">
        <v>116</v>
      </c>
      <c r="E234" s="6">
        <v>0.0</v>
      </c>
      <c r="F234" s="6">
        <v>0.0</v>
      </c>
      <c r="G234" s="6">
        <v>0.0</v>
      </c>
      <c r="H234" s="6">
        <v>1502979.0</v>
      </c>
    </row>
    <row r="235" ht="15.75" customHeight="1">
      <c r="A235" s="9">
        <v>232.0</v>
      </c>
      <c r="B235" s="9" t="s">
        <v>484</v>
      </c>
      <c r="C235" s="10" t="s">
        <v>485</v>
      </c>
      <c r="D235" s="9"/>
      <c r="E235" s="11"/>
      <c r="F235" s="11"/>
      <c r="G235" s="11"/>
      <c r="H235" s="11"/>
    </row>
    <row r="236" ht="15.75" customHeight="1">
      <c r="A236" s="4">
        <v>233.0</v>
      </c>
      <c r="B236" s="4" t="s">
        <v>486</v>
      </c>
      <c r="C236" s="4" t="s">
        <v>487</v>
      </c>
      <c r="D236" s="4" t="s">
        <v>116</v>
      </c>
      <c r="E236" s="6">
        <v>0.0</v>
      </c>
      <c r="F236" s="6">
        <v>0.0</v>
      </c>
      <c r="G236" s="6">
        <v>0.0</v>
      </c>
      <c r="H236" s="6">
        <v>1122101.0</v>
      </c>
    </row>
    <row r="237" ht="15.75" customHeight="1">
      <c r="A237" s="9">
        <v>234.0</v>
      </c>
      <c r="B237" s="9" t="s">
        <v>488</v>
      </c>
      <c r="C237" s="10" t="s">
        <v>489</v>
      </c>
      <c r="D237" s="9"/>
      <c r="E237" s="11"/>
      <c r="F237" s="11"/>
      <c r="G237" s="11"/>
      <c r="H237" s="11"/>
    </row>
    <row r="238" ht="15.75" customHeight="1">
      <c r="A238" s="4">
        <v>235.0</v>
      </c>
      <c r="B238" s="4" t="s">
        <v>490</v>
      </c>
      <c r="C238" s="4" t="s">
        <v>491</v>
      </c>
      <c r="D238" s="4" t="s">
        <v>116</v>
      </c>
      <c r="E238" s="6">
        <v>0.0</v>
      </c>
      <c r="F238" s="6">
        <v>0.0</v>
      </c>
      <c r="G238" s="6">
        <v>0.0</v>
      </c>
      <c r="H238" s="6">
        <v>66495.0</v>
      </c>
    </row>
    <row r="239" ht="15.75" customHeight="1">
      <c r="A239" s="4">
        <v>236.0</v>
      </c>
      <c r="B239" s="4" t="s">
        <v>492</v>
      </c>
      <c r="C239" s="4" t="s">
        <v>493</v>
      </c>
      <c r="D239" s="4" t="s">
        <v>116</v>
      </c>
      <c r="E239" s="6">
        <v>0.0</v>
      </c>
      <c r="F239" s="6">
        <v>0.0</v>
      </c>
      <c r="G239" s="6">
        <v>0.0</v>
      </c>
      <c r="H239" s="6">
        <v>141680.0</v>
      </c>
    </row>
    <row r="240" ht="15.75" customHeight="1">
      <c r="A240" s="4">
        <v>237.0</v>
      </c>
      <c r="B240" s="4" t="s">
        <v>494</v>
      </c>
      <c r="C240" s="4" t="s">
        <v>495</v>
      </c>
      <c r="D240" s="4" t="s">
        <v>116</v>
      </c>
      <c r="E240" s="6">
        <v>0.0</v>
      </c>
      <c r="F240" s="6">
        <v>0.0</v>
      </c>
      <c r="G240" s="6">
        <v>0.0</v>
      </c>
      <c r="H240" s="6">
        <v>942480.0</v>
      </c>
    </row>
    <row r="241" ht="15.75" customHeight="1">
      <c r="A241" s="4">
        <v>238.0</v>
      </c>
      <c r="B241" s="4" t="s">
        <v>496</v>
      </c>
      <c r="C241" s="4" t="s">
        <v>497</v>
      </c>
      <c r="D241" s="4" t="s">
        <v>116</v>
      </c>
      <c r="E241" s="6">
        <v>0.0</v>
      </c>
      <c r="F241" s="6">
        <v>0.0</v>
      </c>
      <c r="G241" s="6">
        <v>0.0</v>
      </c>
      <c r="H241" s="6">
        <v>847440.0</v>
      </c>
    </row>
    <row r="242" ht="15.75" customHeight="1">
      <c r="A242" s="4">
        <v>239.0</v>
      </c>
      <c r="B242" s="4" t="s">
        <v>498</v>
      </c>
      <c r="C242" s="4" t="s">
        <v>499</v>
      </c>
      <c r="D242" s="4" t="s">
        <v>116</v>
      </c>
      <c r="E242" s="6">
        <v>0.0</v>
      </c>
      <c r="F242" s="6">
        <v>0.0</v>
      </c>
      <c r="G242" s="6">
        <v>0.0</v>
      </c>
      <c r="H242" s="6">
        <v>739200.0</v>
      </c>
    </row>
    <row r="243" ht="15.75" customHeight="1">
      <c r="A243" s="4">
        <v>240.0</v>
      </c>
      <c r="B243" s="4" t="s">
        <v>500</v>
      </c>
      <c r="C243" s="4" t="s">
        <v>501</v>
      </c>
      <c r="D243" s="4" t="s">
        <v>116</v>
      </c>
      <c r="E243" s="6">
        <v>0.0</v>
      </c>
      <c r="F243" s="6">
        <v>0.0</v>
      </c>
      <c r="G243" s="6">
        <v>0.0</v>
      </c>
      <c r="H243" s="6">
        <v>725120.0</v>
      </c>
    </row>
    <row r="244" ht="15.75" customHeight="1">
      <c r="A244" s="9">
        <v>241.0</v>
      </c>
      <c r="B244" s="9" t="s">
        <v>502</v>
      </c>
      <c r="C244" s="10" t="s">
        <v>503</v>
      </c>
      <c r="D244" s="9"/>
      <c r="E244" s="11"/>
      <c r="F244" s="11"/>
      <c r="G244" s="11"/>
      <c r="H244" s="11"/>
    </row>
    <row r="245" ht="15.75" customHeight="1">
      <c r="A245" s="4">
        <v>242.0</v>
      </c>
      <c r="B245" s="4" t="s">
        <v>504</v>
      </c>
      <c r="C245" s="4" t="s">
        <v>505</v>
      </c>
      <c r="D245" s="4" t="s">
        <v>116</v>
      </c>
      <c r="E245" s="6">
        <v>0.0</v>
      </c>
      <c r="F245" s="6">
        <v>0.0</v>
      </c>
      <c r="G245" s="6">
        <v>0.0</v>
      </c>
      <c r="H245" s="6">
        <v>26400.0</v>
      </c>
    </row>
    <row r="246" ht="15.75" customHeight="1">
      <c r="A246" s="4">
        <v>243.0</v>
      </c>
      <c r="B246" s="4" t="s">
        <v>506</v>
      </c>
      <c r="C246" s="4" t="s">
        <v>507</v>
      </c>
      <c r="D246" s="4" t="s">
        <v>116</v>
      </c>
      <c r="E246" s="6">
        <v>0.0</v>
      </c>
      <c r="F246" s="6">
        <v>0.0</v>
      </c>
      <c r="G246" s="6">
        <v>0.0</v>
      </c>
      <c r="H246" s="6">
        <v>80960.0</v>
      </c>
    </row>
    <row r="247" ht="15.75" customHeight="1">
      <c r="A247" s="9">
        <v>244.0</v>
      </c>
      <c r="B247" s="9" t="s">
        <v>508</v>
      </c>
      <c r="C247" s="10" t="s">
        <v>509</v>
      </c>
      <c r="D247" s="9"/>
      <c r="E247" s="11"/>
      <c r="F247" s="11"/>
      <c r="G247" s="11"/>
      <c r="H247" s="11"/>
    </row>
    <row r="248" ht="15.75" customHeight="1">
      <c r="A248" s="4">
        <v>245.0</v>
      </c>
      <c r="B248" s="4" t="s">
        <v>510</v>
      </c>
      <c r="C248" s="4" t="s">
        <v>511</v>
      </c>
      <c r="D248" s="4" t="s">
        <v>36</v>
      </c>
      <c r="E248" s="6">
        <v>0.0</v>
      </c>
      <c r="F248" s="6">
        <v>0.0</v>
      </c>
      <c r="G248" s="6">
        <v>0.0</v>
      </c>
      <c r="H248" s="6">
        <v>2964.0</v>
      </c>
    </row>
    <row r="249" ht="15.75" customHeight="1">
      <c r="A249" s="4">
        <v>246.0</v>
      </c>
      <c r="B249" s="4" t="s">
        <v>512</v>
      </c>
      <c r="C249" s="4" t="s">
        <v>513</v>
      </c>
      <c r="D249" s="4" t="s">
        <v>36</v>
      </c>
      <c r="E249" s="6">
        <v>0.0</v>
      </c>
      <c r="F249" s="6">
        <v>0.0</v>
      </c>
      <c r="G249" s="6">
        <v>0.0</v>
      </c>
      <c r="H249" s="6">
        <v>15884.0</v>
      </c>
    </row>
    <row r="250" ht="15.75" customHeight="1">
      <c r="A250" s="4">
        <v>247.0</v>
      </c>
      <c r="B250" s="4" t="s">
        <v>514</v>
      </c>
      <c r="C250" s="4" t="s">
        <v>515</v>
      </c>
      <c r="D250" s="4" t="s">
        <v>36</v>
      </c>
      <c r="E250" s="6">
        <v>0.0</v>
      </c>
      <c r="F250" s="6">
        <v>0.0</v>
      </c>
      <c r="G250" s="6">
        <v>0.0</v>
      </c>
      <c r="H250" s="6">
        <v>18689.0</v>
      </c>
    </row>
    <row r="251" ht="15.75" customHeight="1">
      <c r="A251" s="9">
        <v>248.0</v>
      </c>
      <c r="B251" s="9" t="s">
        <v>516</v>
      </c>
      <c r="C251" s="10" t="s">
        <v>517</v>
      </c>
      <c r="D251" s="9"/>
      <c r="E251" s="11"/>
      <c r="F251" s="11"/>
      <c r="G251" s="11"/>
      <c r="H251" s="11"/>
    </row>
    <row r="252" ht="15.75" customHeight="1">
      <c r="A252" s="4">
        <v>249.0</v>
      </c>
      <c r="B252" s="4" t="s">
        <v>518</v>
      </c>
      <c r="C252" s="4" t="s">
        <v>519</v>
      </c>
      <c r="D252" s="4" t="s">
        <v>419</v>
      </c>
      <c r="E252" s="6">
        <v>0.0</v>
      </c>
      <c r="F252" s="6">
        <v>0.0</v>
      </c>
      <c r="G252" s="6">
        <v>0.0</v>
      </c>
      <c r="H252" s="6">
        <v>116740.0</v>
      </c>
    </row>
    <row r="253" ht="15.75" customHeight="1">
      <c r="A253" s="4">
        <v>250.0</v>
      </c>
      <c r="B253" s="4" t="s">
        <v>520</v>
      </c>
      <c r="C253" s="4" t="s">
        <v>521</v>
      </c>
      <c r="D253" s="4" t="s">
        <v>419</v>
      </c>
      <c r="E253" s="6">
        <v>0.0</v>
      </c>
      <c r="F253" s="6">
        <v>0.0</v>
      </c>
      <c r="G253" s="6">
        <v>0.0</v>
      </c>
      <c r="H253" s="6">
        <v>156276.0</v>
      </c>
    </row>
    <row r="254" ht="15.75" customHeight="1">
      <c r="A254" s="9">
        <v>251.0</v>
      </c>
      <c r="B254" s="9" t="s">
        <v>522</v>
      </c>
      <c r="C254" s="10" t="s">
        <v>523</v>
      </c>
      <c r="D254" s="9"/>
      <c r="E254" s="11"/>
      <c r="F254" s="11"/>
      <c r="G254" s="11"/>
      <c r="H254" s="11"/>
    </row>
    <row r="255" ht="15.75" customHeight="1">
      <c r="A255" s="4">
        <v>252.0</v>
      </c>
      <c r="B255" s="4" t="s">
        <v>524</v>
      </c>
      <c r="C255" s="4" t="s">
        <v>525</v>
      </c>
      <c r="D255" s="4" t="s">
        <v>116</v>
      </c>
      <c r="E255" s="6">
        <v>0.0</v>
      </c>
      <c r="F255" s="6">
        <v>0.0</v>
      </c>
      <c r="G255" s="6">
        <v>0.0</v>
      </c>
      <c r="H255" s="6">
        <v>1.3027229E7</v>
      </c>
    </row>
    <row r="256" ht="15.75" customHeight="1">
      <c r="A256" s="4">
        <v>253.0</v>
      </c>
      <c r="B256" s="4" t="s">
        <v>526</v>
      </c>
      <c r="C256" s="4" t="s">
        <v>527</v>
      </c>
      <c r="D256" s="4" t="s">
        <v>389</v>
      </c>
      <c r="E256" s="6">
        <v>0.0</v>
      </c>
      <c r="F256" s="6">
        <v>0.0</v>
      </c>
      <c r="G256" s="6">
        <v>0.0</v>
      </c>
      <c r="H256" s="6">
        <v>285490.0</v>
      </c>
    </row>
    <row r="257" ht="15.75" customHeight="1">
      <c r="A257" s="9">
        <v>254.0</v>
      </c>
      <c r="B257" s="9" t="s">
        <v>528</v>
      </c>
      <c r="C257" s="10" t="s">
        <v>529</v>
      </c>
      <c r="D257" s="9"/>
      <c r="E257" s="11"/>
      <c r="F257" s="11"/>
      <c r="G257" s="11"/>
      <c r="H257" s="11"/>
    </row>
    <row r="258" ht="15.75" customHeight="1">
      <c r="A258" s="9">
        <v>255.0</v>
      </c>
      <c r="B258" s="9" t="s">
        <v>530</v>
      </c>
      <c r="C258" s="10" t="s">
        <v>531</v>
      </c>
      <c r="D258" s="9"/>
      <c r="E258" s="11"/>
      <c r="F258" s="11"/>
      <c r="G258" s="11"/>
      <c r="H258" s="11"/>
    </row>
    <row r="259" ht="15.75" customHeight="1">
      <c r="A259" s="4">
        <v>256.0</v>
      </c>
      <c r="B259" s="4" t="s">
        <v>532</v>
      </c>
      <c r="C259" s="4" t="s">
        <v>533</v>
      </c>
      <c r="D259" s="4" t="s">
        <v>116</v>
      </c>
      <c r="E259" s="6">
        <v>0.0</v>
      </c>
      <c r="F259" s="6">
        <v>0.0</v>
      </c>
      <c r="G259" s="6">
        <v>0.0</v>
      </c>
      <c r="H259" s="6">
        <v>657585.0</v>
      </c>
    </row>
    <row r="260" ht="15.75" customHeight="1">
      <c r="A260" s="4">
        <v>257.0</v>
      </c>
      <c r="B260" s="4" t="s">
        <v>534</v>
      </c>
      <c r="C260" s="4" t="s">
        <v>535</v>
      </c>
      <c r="D260" s="4" t="s">
        <v>116</v>
      </c>
      <c r="E260" s="6">
        <v>0.0</v>
      </c>
      <c r="F260" s="6">
        <v>0.0</v>
      </c>
      <c r="G260" s="6">
        <v>0.0</v>
      </c>
      <c r="H260" s="6">
        <v>1149390.0</v>
      </c>
    </row>
    <row r="261" ht="15.75" customHeight="1">
      <c r="A261" s="4">
        <v>258.0</v>
      </c>
      <c r="B261" s="4" t="s">
        <v>536</v>
      </c>
      <c r="C261" s="4" t="s">
        <v>537</v>
      </c>
      <c r="D261" s="4" t="s">
        <v>116</v>
      </c>
      <c r="E261" s="6">
        <v>0.0</v>
      </c>
      <c r="F261" s="6">
        <v>0.0</v>
      </c>
      <c r="G261" s="6">
        <v>0.0</v>
      </c>
      <c r="H261" s="6">
        <v>1098009.0</v>
      </c>
    </row>
    <row r="262" ht="15.75" customHeight="1">
      <c r="A262" s="4">
        <v>259.0</v>
      </c>
      <c r="B262" s="4" t="s">
        <v>538</v>
      </c>
      <c r="C262" s="4" t="s">
        <v>539</v>
      </c>
      <c r="D262" s="4" t="s">
        <v>116</v>
      </c>
      <c r="E262" s="6">
        <v>0.0</v>
      </c>
      <c r="F262" s="6">
        <v>0.0</v>
      </c>
      <c r="G262" s="6">
        <v>0.0</v>
      </c>
      <c r="H262" s="6">
        <v>1091502.0</v>
      </c>
    </row>
    <row r="263" ht="15.75" customHeight="1">
      <c r="A263" s="4">
        <v>260.0</v>
      </c>
      <c r="B263" s="4" t="s">
        <v>540</v>
      </c>
      <c r="C263" s="4" t="s">
        <v>541</v>
      </c>
      <c r="D263" s="4" t="s">
        <v>116</v>
      </c>
      <c r="E263" s="6">
        <v>0.0</v>
      </c>
      <c r="F263" s="6">
        <v>0.0</v>
      </c>
      <c r="G263" s="6">
        <v>0.0</v>
      </c>
      <c r="H263" s="6">
        <v>1040121.0</v>
      </c>
    </row>
    <row r="264" ht="15.75" customHeight="1">
      <c r="A264" s="4">
        <v>261.0</v>
      </c>
      <c r="B264" s="4" t="s">
        <v>542</v>
      </c>
      <c r="C264" s="4" t="s">
        <v>543</v>
      </c>
      <c r="D264" s="4" t="s">
        <v>116</v>
      </c>
      <c r="E264" s="6">
        <v>0.0</v>
      </c>
      <c r="F264" s="6">
        <v>0.0</v>
      </c>
      <c r="G264" s="6">
        <v>0.0</v>
      </c>
      <c r="H264" s="6">
        <v>1046320.0</v>
      </c>
    </row>
    <row r="265" ht="15.75" customHeight="1">
      <c r="A265" s="4">
        <v>262.0</v>
      </c>
      <c r="B265" s="4" t="s">
        <v>544</v>
      </c>
      <c r="C265" s="4" t="s">
        <v>545</v>
      </c>
      <c r="D265" s="4" t="s">
        <v>116</v>
      </c>
      <c r="E265" s="6">
        <v>0.0</v>
      </c>
      <c r="F265" s="6">
        <v>0.0</v>
      </c>
      <c r="G265" s="6">
        <v>0.0</v>
      </c>
      <c r="H265" s="6">
        <v>994939.0</v>
      </c>
    </row>
    <row r="266" ht="15.75" customHeight="1">
      <c r="A266" s="4">
        <v>263.0</v>
      </c>
      <c r="B266" s="4" t="s">
        <v>546</v>
      </c>
      <c r="C266" s="4" t="s">
        <v>547</v>
      </c>
      <c r="D266" s="4" t="s">
        <v>116</v>
      </c>
      <c r="E266" s="6">
        <v>0.0</v>
      </c>
      <c r="F266" s="6">
        <v>0.0</v>
      </c>
      <c r="G266" s="6">
        <v>0.0</v>
      </c>
      <c r="H266" s="6">
        <v>1013540.0</v>
      </c>
    </row>
    <row r="267" ht="15.75" customHeight="1">
      <c r="A267" s="4">
        <v>264.0</v>
      </c>
      <c r="B267" s="4" t="s">
        <v>548</v>
      </c>
      <c r="C267" s="4" t="s">
        <v>549</v>
      </c>
      <c r="D267" s="4" t="s">
        <v>116</v>
      </c>
      <c r="E267" s="6">
        <v>0.0</v>
      </c>
      <c r="F267" s="6">
        <v>0.0</v>
      </c>
      <c r="G267" s="6">
        <v>0.0</v>
      </c>
      <c r="H267" s="6">
        <v>962159.0</v>
      </c>
    </row>
    <row r="268" ht="15.75" customHeight="1">
      <c r="A268" s="4">
        <v>265.0</v>
      </c>
      <c r="B268" s="4" t="s">
        <v>550</v>
      </c>
      <c r="C268" s="4" t="s">
        <v>551</v>
      </c>
      <c r="D268" s="4" t="s">
        <v>116</v>
      </c>
      <c r="E268" s="6">
        <v>0.0</v>
      </c>
      <c r="F268" s="6">
        <v>0.0</v>
      </c>
      <c r="G268" s="6">
        <v>0.0</v>
      </c>
      <c r="H268" s="6">
        <v>992942.0</v>
      </c>
    </row>
    <row r="269" ht="15.75" customHeight="1">
      <c r="A269" s="4">
        <v>266.0</v>
      </c>
      <c r="B269" s="4" t="s">
        <v>552</v>
      </c>
      <c r="C269" s="4" t="s">
        <v>553</v>
      </c>
      <c r="D269" s="4" t="s">
        <v>116</v>
      </c>
      <c r="E269" s="6">
        <v>0.0</v>
      </c>
      <c r="F269" s="6">
        <v>0.0</v>
      </c>
      <c r="G269" s="6">
        <v>0.0</v>
      </c>
      <c r="H269" s="6">
        <v>941561.0</v>
      </c>
    </row>
    <row r="270" ht="15.75" customHeight="1">
      <c r="A270" s="9">
        <v>267.0</v>
      </c>
      <c r="B270" s="9" t="s">
        <v>554</v>
      </c>
      <c r="C270" s="10" t="s">
        <v>555</v>
      </c>
      <c r="D270" s="9"/>
      <c r="E270" s="11"/>
      <c r="F270" s="11"/>
      <c r="G270" s="11"/>
      <c r="H270" s="11"/>
    </row>
    <row r="271" ht="15.75" customHeight="1">
      <c r="A271" s="4">
        <v>268.0</v>
      </c>
      <c r="B271" s="4" t="s">
        <v>556</v>
      </c>
      <c r="C271" s="4" t="s">
        <v>557</v>
      </c>
      <c r="D271" s="4" t="s">
        <v>116</v>
      </c>
      <c r="E271" s="6">
        <v>0.0</v>
      </c>
      <c r="F271" s="6">
        <v>0.0</v>
      </c>
      <c r="G271" s="6">
        <v>0.0</v>
      </c>
      <c r="H271" s="6">
        <v>1012906.0</v>
      </c>
    </row>
    <row r="272" ht="15.75" customHeight="1">
      <c r="A272" s="4">
        <v>269.0</v>
      </c>
      <c r="B272" s="4" t="s">
        <v>558</v>
      </c>
      <c r="C272" s="4" t="s">
        <v>559</v>
      </c>
      <c r="D272" s="4" t="s">
        <v>116</v>
      </c>
      <c r="E272" s="6">
        <v>0.0</v>
      </c>
      <c r="F272" s="6">
        <v>0.0</v>
      </c>
      <c r="G272" s="6">
        <v>0.0</v>
      </c>
      <c r="H272" s="6">
        <v>1005253.0</v>
      </c>
    </row>
    <row r="273" ht="15.75" customHeight="1">
      <c r="A273" s="4">
        <v>270.0</v>
      </c>
      <c r="B273" s="4" t="s">
        <v>560</v>
      </c>
      <c r="C273" s="4" t="s">
        <v>561</v>
      </c>
      <c r="D273" s="4" t="s">
        <v>116</v>
      </c>
      <c r="E273" s="6">
        <v>0.0</v>
      </c>
      <c r="F273" s="6">
        <v>0.0</v>
      </c>
      <c r="G273" s="6">
        <v>0.0</v>
      </c>
      <c r="H273" s="6">
        <v>972394.0</v>
      </c>
    </row>
    <row r="274" ht="15.75" customHeight="1">
      <c r="A274" s="4">
        <v>271.0</v>
      </c>
      <c r="B274" s="4" t="s">
        <v>562</v>
      </c>
      <c r="C274" s="4" t="s">
        <v>563</v>
      </c>
      <c r="D274" s="4" t="s">
        <v>116</v>
      </c>
      <c r="E274" s="6">
        <v>0.0</v>
      </c>
      <c r="F274" s="6">
        <v>0.0</v>
      </c>
      <c r="G274" s="6">
        <v>0.0</v>
      </c>
      <c r="H274" s="6">
        <v>1081050.0</v>
      </c>
    </row>
    <row r="275" ht="15.75" customHeight="1">
      <c r="A275" s="4">
        <v>272.0</v>
      </c>
      <c r="B275" s="4" t="s">
        <v>564</v>
      </c>
      <c r="C275" s="4" t="s">
        <v>565</v>
      </c>
      <c r="D275" s="4" t="s">
        <v>116</v>
      </c>
      <c r="E275" s="6">
        <v>0.0</v>
      </c>
      <c r="F275" s="6">
        <v>0.0</v>
      </c>
      <c r="G275" s="6">
        <v>0.0</v>
      </c>
      <c r="H275" s="6">
        <v>1049751.0</v>
      </c>
    </row>
    <row r="276" ht="15.75" customHeight="1">
      <c r="A276" s="4">
        <v>273.0</v>
      </c>
      <c r="B276" s="4" t="s">
        <v>566</v>
      </c>
      <c r="C276" s="4" t="s">
        <v>567</v>
      </c>
      <c r="D276" s="4" t="s">
        <v>116</v>
      </c>
      <c r="E276" s="6">
        <v>0.0</v>
      </c>
      <c r="F276" s="6">
        <v>0.0</v>
      </c>
      <c r="G276" s="6">
        <v>0.0</v>
      </c>
      <c r="H276" s="6">
        <v>973176.0</v>
      </c>
    </row>
    <row r="277" ht="15.75" customHeight="1">
      <c r="A277" s="9">
        <v>274.0</v>
      </c>
      <c r="B277" s="9" t="s">
        <v>568</v>
      </c>
      <c r="C277" s="10" t="s">
        <v>569</v>
      </c>
      <c r="D277" s="9"/>
      <c r="E277" s="11"/>
      <c r="F277" s="11"/>
      <c r="G277" s="11"/>
      <c r="H277" s="11"/>
    </row>
    <row r="278" ht="15.75" customHeight="1">
      <c r="A278" s="4">
        <v>275.0</v>
      </c>
      <c r="B278" s="4" t="s">
        <v>570</v>
      </c>
      <c r="C278" s="4" t="s">
        <v>571</v>
      </c>
      <c r="D278" s="4" t="s">
        <v>27</v>
      </c>
      <c r="E278" s="6">
        <v>0.0</v>
      </c>
      <c r="F278" s="6">
        <v>0.0</v>
      </c>
      <c r="G278" s="6">
        <v>0.0</v>
      </c>
      <c r="H278" s="6">
        <v>708693.0</v>
      </c>
    </row>
    <row r="279" ht="15.75" customHeight="1">
      <c r="A279" s="4">
        <v>276.0</v>
      </c>
      <c r="B279" s="4" t="s">
        <v>572</v>
      </c>
      <c r="C279" s="4" t="s">
        <v>573</v>
      </c>
      <c r="D279" s="4" t="s">
        <v>27</v>
      </c>
      <c r="E279" s="6">
        <v>0.0</v>
      </c>
      <c r="F279" s="6">
        <v>0.0</v>
      </c>
      <c r="G279" s="6">
        <v>0.0</v>
      </c>
      <c r="H279" s="6">
        <v>19818.0</v>
      </c>
    </row>
    <row r="280" ht="15.75" customHeight="1">
      <c r="A280" s="4">
        <v>277.0</v>
      </c>
      <c r="B280" s="4" t="s">
        <v>574</v>
      </c>
      <c r="C280" s="4" t="s">
        <v>575</v>
      </c>
      <c r="D280" s="4" t="s">
        <v>27</v>
      </c>
      <c r="E280" s="6">
        <v>0.0</v>
      </c>
      <c r="F280" s="6">
        <v>0.0</v>
      </c>
      <c r="G280" s="6">
        <v>0.0</v>
      </c>
      <c r="H280" s="6">
        <v>131870.0</v>
      </c>
    </row>
    <row r="281" ht="15.75" customHeight="1">
      <c r="A281" s="4">
        <v>278.0</v>
      </c>
      <c r="B281" s="4" t="s">
        <v>576</v>
      </c>
      <c r="C281" s="4" t="s">
        <v>577</v>
      </c>
      <c r="D281" s="4" t="s">
        <v>27</v>
      </c>
      <c r="E281" s="6">
        <v>0.0</v>
      </c>
      <c r="F281" s="6">
        <v>0.0</v>
      </c>
      <c r="G281" s="6">
        <v>0.0</v>
      </c>
      <c r="H281" s="6">
        <v>198018.0</v>
      </c>
    </row>
    <row r="282" ht="15.75" customHeight="1">
      <c r="A282" s="4">
        <v>279.0</v>
      </c>
      <c r="B282" s="4" t="s">
        <v>578</v>
      </c>
      <c r="C282" s="4" t="s">
        <v>579</v>
      </c>
      <c r="D282" s="4" t="s">
        <v>27</v>
      </c>
      <c r="E282" s="6">
        <v>0.0</v>
      </c>
      <c r="F282" s="6">
        <v>0.0</v>
      </c>
      <c r="G282" s="6">
        <v>0.0</v>
      </c>
      <c r="H282" s="6">
        <v>1576562.0</v>
      </c>
    </row>
    <row r="283" ht="15.75" customHeight="1">
      <c r="A283" s="4">
        <v>280.0</v>
      </c>
      <c r="B283" s="4" t="s">
        <v>580</v>
      </c>
      <c r="C283" s="4" t="s">
        <v>581</v>
      </c>
      <c r="D283" s="4" t="s">
        <v>27</v>
      </c>
      <c r="E283" s="6">
        <v>0.0</v>
      </c>
      <c r="F283" s="6">
        <v>0.0</v>
      </c>
      <c r="G283" s="6">
        <v>0.0</v>
      </c>
      <c r="H283" s="6">
        <v>49170.0</v>
      </c>
    </row>
    <row r="284" ht="15.75" customHeight="1">
      <c r="A284" s="4">
        <v>281.0</v>
      </c>
      <c r="B284" s="4" t="s">
        <v>582</v>
      </c>
      <c r="C284" s="4" t="s">
        <v>583</v>
      </c>
      <c r="D284" s="4" t="s">
        <v>27</v>
      </c>
      <c r="E284" s="6">
        <v>0.0</v>
      </c>
      <c r="F284" s="6">
        <v>0.0</v>
      </c>
      <c r="G284" s="6">
        <v>0.0</v>
      </c>
      <c r="H284" s="6">
        <v>297000.0</v>
      </c>
    </row>
    <row r="285" ht="15.75" customHeight="1">
      <c r="A285" s="4">
        <v>282.0</v>
      </c>
      <c r="B285" s="4" t="s">
        <v>584</v>
      </c>
      <c r="C285" s="4" t="s">
        <v>585</v>
      </c>
      <c r="D285" s="4" t="s">
        <v>27</v>
      </c>
      <c r="E285" s="6">
        <v>0.0</v>
      </c>
      <c r="F285" s="6">
        <v>0.0</v>
      </c>
      <c r="G285" s="6">
        <v>0.0</v>
      </c>
      <c r="H285" s="6">
        <v>445423.0</v>
      </c>
    </row>
    <row r="286" ht="15.75" customHeight="1">
      <c r="A286" s="4">
        <v>283.0</v>
      </c>
      <c r="B286" s="4" t="s">
        <v>586</v>
      </c>
      <c r="C286" s="4" t="s">
        <v>587</v>
      </c>
      <c r="D286" s="4" t="s">
        <v>27</v>
      </c>
      <c r="E286" s="6">
        <v>0.0</v>
      </c>
      <c r="F286" s="6">
        <v>0.0</v>
      </c>
      <c r="G286" s="6">
        <v>0.0</v>
      </c>
      <c r="H286" s="6">
        <v>2811732.0</v>
      </c>
    </row>
    <row r="287" ht="15.75" customHeight="1">
      <c r="A287" s="4">
        <v>284.0</v>
      </c>
      <c r="B287" s="4" t="s">
        <v>588</v>
      </c>
      <c r="C287" s="4" t="s">
        <v>589</v>
      </c>
      <c r="D287" s="4" t="s">
        <v>27</v>
      </c>
      <c r="E287" s="6">
        <v>0.0</v>
      </c>
      <c r="F287" s="6">
        <v>0.0</v>
      </c>
      <c r="G287" s="6">
        <v>0.0</v>
      </c>
      <c r="H287" s="6">
        <v>96834.0</v>
      </c>
    </row>
    <row r="288" ht="15.75" customHeight="1">
      <c r="A288" s="4">
        <v>285.0</v>
      </c>
      <c r="B288" s="4" t="s">
        <v>590</v>
      </c>
      <c r="C288" s="4" t="s">
        <v>591</v>
      </c>
      <c r="D288" s="4" t="s">
        <v>27</v>
      </c>
      <c r="E288" s="6">
        <v>0.0</v>
      </c>
      <c r="F288" s="6">
        <v>0.0</v>
      </c>
      <c r="G288" s="6">
        <v>0.0</v>
      </c>
      <c r="H288" s="6">
        <v>432352.0</v>
      </c>
    </row>
    <row r="289" ht="15.75" customHeight="1">
      <c r="A289" s="4">
        <v>286.0</v>
      </c>
      <c r="B289" s="4" t="s">
        <v>592</v>
      </c>
      <c r="C289" s="4" t="s">
        <v>593</v>
      </c>
      <c r="D289" s="4" t="s">
        <v>27</v>
      </c>
      <c r="E289" s="6">
        <v>0.0</v>
      </c>
      <c r="F289" s="6">
        <v>0.0</v>
      </c>
      <c r="G289" s="6">
        <v>0.0</v>
      </c>
      <c r="H289" s="6">
        <v>648676.0</v>
      </c>
    </row>
    <row r="290" ht="15.75" customHeight="1">
      <c r="A290" s="4">
        <v>287.0</v>
      </c>
      <c r="B290" s="4" t="s">
        <v>594</v>
      </c>
      <c r="C290" s="4" t="s">
        <v>595</v>
      </c>
      <c r="D290" s="4" t="s">
        <v>27</v>
      </c>
      <c r="E290" s="6">
        <v>0.0</v>
      </c>
      <c r="F290" s="6">
        <v>0.0</v>
      </c>
      <c r="G290" s="6">
        <v>0.0</v>
      </c>
      <c r="H290" s="6">
        <v>4420477.0</v>
      </c>
    </row>
    <row r="291" ht="15.75" customHeight="1">
      <c r="A291" s="4">
        <v>288.0</v>
      </c>
      <c r="B291" s="4" t="s">
        <v>596</v>
      </c>
      <c r="C291" s="4" t="s">
        <v>597</v>
      </c>
      <c r="D291" s="4" t="s">
        <v>27</v>
      </c>
      <c r="E291" s="6">
        <v>0.0</v>
      </c>
      <c r="F291" s="6">
        <v>0.0</v>
      </c>
      <c r="G291" s="6">
        <v>0.0</v>
      </c>
      <c r="H291" s="6">
        <v>167674.0</v>
      </c>
    </row>
    <row r="292" ht="15.75" customHeight="1">
      <c r="A292" s="4">
        <v>289.0</v>
      </c>
      <c r="B292" s="4" t="s">
        <v>598</v>
      </c>
      <c r="C292" s="4" t="s">
        <v>599</v>
      </c>
      <c r="D292" s="4" t="s">
        <v>27</v>
      </c>
      <c r="E292" s="6">
        <v>0.0</v>
      </c>
      <c r="F292" s="6">
        <v>0.0</v>
      </c>
      <c r="G292" s="6">
        <v>0.0</v>
      </c>
      <c r="H292" s="6">
        <v>1118313.0</v>
      </c>
    </row>
    <row r="293" ht="15.75" customHeight="1">
      <c r="A293" s="4">
        <v>290.0</v>
      </c>
      <c r="B293" s="4" t="s">
        <v>600</v>
      </c>
      <c r="C293" s="4" t="s">
        <v>601</v>
      </c>
      <c r="D293" s="4" t="s">
        <v>27</v>
      </c>
      <c r="E293" s="6">
        <v>0.0</v>
      </c>
      <c r="F293" s="6">
        <v>0.0</v>
      </c>
      <c r="G293" s="6">
        <v>0.0</v>
      </c>
      <c r="H293" s="6">
        <v>1677424.0</v>
      </c>
    </row>
    <row r="294" ht="15.75" customHeight="1">
      <c r="A294" s="4">
        <v>291.0</v>
      </c>
      <c r="B294" s="4" t="s">
        <v>602</v>
      </c>
      <c r="C294" s="4" t="s">
        <v>603</v>
      </c>
      <c r="D294" s="4" t="s">
        <v>27</v>
      </c>
      <c r="E294" s="6">
        <v>0.0</v>
      </c>
      <c r="F294" s="6">
        <v>0.0</v>
      </c>
      <c r="G294" s="6">
        <v>0.0</v>
      </c>
      <c r="H294" s="6">
        <v>139919.0</v>
      </c>
    </row>
    <row r="295" ht="15.75" customHeight="1">
      <c r="A295" s="4">
        <v>292.0</v>
      </c>
      <c r="B295" s="4" t="s">
        <v>604</v>
      </c>
      <c r="C295" s="4" t="s">
        <v>605</v>
      </c>
      <c r="D295" s="4" t="s">
        <v>27</v>
      </c>
      <c r="E295" s="6">
        <v>0.0</v>
      </c>
      <c r="F295" s="6">
        <v>0.0</v>
      </c>
      <c r="G295" s="6">
        <v>0.0</v>
      </c>
      <c r="H295" s="6">
        <v>153833.0</v>
      </c>
    </row>
    <row r="296" ht="15.75" customHeight="1">
      <c r="A296" s="4">
        <v>293.0</v>
      </c>
      <c r="B296" s="4" t="s">
        <v>606</v>
      </c>
      <c r="C296" s="4" t="s">
        <v>607</v>
      </c>
      <c r="D296" s="4" t="s">
        <v>27</v>
      </c>
      <c r="E296" s="6">
        <v>0.0</v>
      </c>
      <c r="F296" s="6">
        <v>0.0</v>
      </c>
      <c r="G296" s="6">
        <v>0.0</v>
      </c>
      <c r="H296" s="6">
        <v>168029.0</v>
      </c>
    </row>
    <row r="297" ht="15.75" customHeight="1">
      <c r="A297" s="4">
        <v>294.0</v>
      </c>
      <c r="B297" s="4" t="s">
        <v>608</v>
      </c>
      <c r="C297" s="4" t="s">
        <v>609</v>
      </c>
      <c r="D297" s="4" t="s">
        <v>27</v>
      </c>
      <c r="E297" s="6">
        <v>0.0</v>
      </c>
      <c r="F297" s="6">
        <v>0.0</v>
      </c>
      <c r="G297" s="6">
        <v>0.0</v>
      </c>
      <c r="H297" s="6">
        <v>208981.0</v>
      </c>
    </row>
    <row r="298" ht="15.75" customHeight="1">
      <c r="A298" s="9">
        <v>295.0</v>
      </c>
      <c r="B298" s="9" t="s">
        <v>610</v>
      </c>
      <c r="C298" s="10" t="s">
        <v>611</v>
      </c>
      <c r="D298" s="9"/>
      <c r="E298" s="11"/>
      <c r="F298" s="11"/>
      <c r="G298" s="11"/>
      <c r="H298" s="11"/>
    </row>
    <row r="299" ht="15.75" customHeight="1">
      <c r="A299" s="4">
        <v>296.0</v>
      </c>
      <c r="B299" s="4" t="s">
        <v>612</v>
      </c>
      <c r="C299" s="4" t="s">
        <v>613</v>
      </c>
      <c r="D299" s="4" t="s">
        <v>27</v>
      </c>
      <c r="E299" s="6">
        <v>0.0</v>
      </c>
      <c r="F299" s="6">
        <v>0.0</v>
      </c>
      <c r="G299" s="6">
        <v>0.0</v>
      </c>
      <c r="H299" s="6">
        <v>89504.0</v>
      </c>
    </row>
    <row r="300" ht="15.75" customHeight="1">
      <c r="A300" s="4">
        <v>297.0</v>
      </c>
      <c r="B300" s="4" t="s">
        <v>614</v>
      </c>
      <c r="C300" s="4" t="s">
        <v>615</v>
      </c>
      <c r="D300" s="4" t="s">
        <v>27</v>
      </c>
      <c r="E300" s="6">
        <v>0.0</v>
      </c>
      <c r="F300" s="6">
        <v>0.0</v>
      </c>
      <c r="G300" s="6">
        <v>0.0</v>
      </c>
      <c r="H300" s="6">
        <v>92399.0</v>
      </c>
    </row>
    <row r="301" ht="15.75" customHeight="1">
      <c r="A301" s="4">
        <v>298.0</v>
      </c>
      <c r="B301" s="4" t="s">
        <v>616</v>
      </c>
      <c r="C301" s="4" t="s">
        <v>617</v>
      </c>
      <c r="D301" s="4" t="s">
        <v>27</v>
      </c>
      <c r="E301" s="6">
        <v>0.0</v>
      </c>
      <c r="F301" s="6">
        <v>0.0</v>
      </c>
      <c r="G301" s="6">
        <v>0.0</v>
      </c>
      <c r="H301" s="6">
        <v>100121.0</v>
      </c>
    </row>
    <row r="302" ht="15.75" customHeight="1">
      <c r="A302" s="4">
        <v>299.0</v>
      </c>
      <c r="B302" s="4" t="s">
        <v>618</v>
      </c>
      <c r="C302" s="4" t="s">
        <v>619</v>
      </c>
      <c r="D302" s="4" t="s">
        <v>27</v>
      </c>
      <c r="E302" s="6">
        <v>0.0</v>
      </c>
      <c r="F302" s="6">
        <v>0.0</v>
      </c>
      <c r="G302" s="6">
        <v>0.0</v>
      </c>
      <c r="H302" s="6">
        <v>104464.0</v>
      </c>
    </row>
    <row r="303" ht="15.75" customHeight="1">
      <c r="A303" s="4">
        <v>300.0</v>
      </c>
      <c r="B303" s="4" t="s">
        <v>620</v>
      </c>
      <c r="C303" s="4" t="s">
        <v>621</v>
      </c>
      <c r="D303" s="4" t="s">
        <v>27</v>
      </c>
      <c r="E303" s="6">
        <v>0.0</v>
      </c>
      <c r="F303" s="6">
        <v>0.0</v>
      </c>
      <c r="G303" s="6">
        <v>0.0</v>
      </c>
      <c r="H303" s="6">
        <v>107096.0</v>
      </c>
    </row>
    <row r="304" ht="15.75" customHeight="1">
      <c r="A304" s="4">
        <v>301.0</v>
      </c>
      <c r="B304" s="4" t="s">
        <v>622</v>
      </c>
      <c r="C304" s="4" t="s">
        <v>623</v>
      </c>
      <c r="D304" s="4" t="s">
        <v>27</v>
      </c>
      <c r="E304" s="6">
        <v>0.0</v>
      </c>
      <c r="F304" s="6">
        <v>0.0</v>
      </c>
      <c r="G304" s="6">
        <v>0.0</v>
      </c>
      <c r="H304" s="6">
        <v>107755.0</v>
      </c>
    </row>
    <row r="305" ht="15.75" customHeight="1">
      <c r="A305" s="4">
        <v>302.0</v>
      </c>
      <c r="B305" s="4" t="s">
        <v>624</v>
      </c>
      <c r="C305" s="4" t="s">
        <v>625</v>
      </c>
      <c r="D305" s="4" t="s">
        <v>27</v>
      </c>
      <c r="E305" s="6">
        <v>0.0</v>
      </c>
      <c r="F305" s="6">
        <v>0.0</v>
      </c>
      <c r="G305" s="6">
        <v>0.0</v>
      </c>
      <c r="H305" s="6">
        <v>111830.0</v>
      </c>
    </row>
    <row r="306" ht="15.75" customHeight="1">
      <c r="A306" s="4">
        <v>303.0</v>
      </c>
      <c r="B306" s="4" t="s">
        <v>626</v>
      </c>
      <c r="C306" s="4" t="s">
        <v>627</v>
      </c>
      <c r="D306" s="4" t="s">
        <v>27</v>
      </c>
      <c r="E306" s="6">
        <v>0.0</v>
      </c>
      <c r="F306" s="6">
        <v>0.0</v>
      </c>
      <c r="G306" s="6">
        <v>0.0</v>
      </c>
      <c r="H306" s="6">
        <v>116042.0</v>
      </c>
    </row>
    <row r="307" ht="15.75" customHeight="1">
      <c r="A307" s="4">
        <v>304.0</v>
      </c>
      <c r="B307" s="4" t="s">
        <v>628</v>
      </c>
      <c r="C307" s="4" t="s">
        <v>629</v>
      </c>
      <c r="D307" s="4" t="s">
        <v>27</v>
      </c>
      <c r="E307" s="6">
        <v>0.0</v>
      </c>
      <c r="F307" s="6">
        <v>0.0</v>
      </c>
      <c r="G307" s="6">
        <v>0.0</v>
      </c>
      <c r="H307" s="6">
        <v>116571.0</v>
      </c>
    </row>
    <row r="308" ht="15.75" customHeight="1">
      <c r="A308" s="4">
        <v>305.0</v>
      </c>
      <c r="B308" s="4" t="s">
        <v>630</v>
      </c>
      <c r="C308" s="4" t="s">
        <v>631</v>
      </c>
      <c r="D308" s="4" t="s">
        <v>27</v>
      </c>
      <c r="E308" s="6">
        <v>0.0</v>
      </c>
      <c r="F308" s="6">
        <v>0.0</v>
      </c>
      <c r="G308" s="6">
        <v>0.0</v>
      </c>
      <c r="H308" s="6">
        <v>103824.0</v>
      </c>
    </row>
    <row r="309" ht="15.75" customHeight="1">
      <c r="A309" s="4">
        <v>306.0</v>
      </c>
      <c r="B309" s="4" t="s">
        <v>632</v>
      </c>
      <c r="C309" s="4" t="s">
        <v>633</v>
      </c>
      <c r="D309" s="4" t="s">
        <v>27</v>
      </c>
      <c r="E309" s="6">
        <v>0.0</v>
      </c>
      <c r="F309" s="6">
        <v>0.0</v>
      </c>
      <c r="G309" s="6">
        <v>0.0</v>
      </c>
      <c r="H309" s="6">
        <v>106184.0</v>
      </c>
    </row>
    <row r="310" ht="15.75" customHeight="1">
      <c r="A310" s="4">
        <v>307.0</v>
      </c>
      <c r="B310" s="4" t="s">
        <v>634</v>
      </c>
      <c r="C310" s="4" t="s">
        <v>635</v>
      </c>
      <c r="D310" s="4" t="s">
        <v>27</v>
      </c>
      <c r="E310" s="6">
        <v>0.0</v>
      </c>
      <c r="F310" s="6">
        <v>0.0</v>
      </c>
      <c r="G310" s="6">
        <v>0.0</v>
      </c>
      <c r="H310" s="6">
        <v>108478.0</v>
      </c>
    </row>
    <row r="311" ht="15.75" customHeight="1">
      <c r="A311" s="4">
        <v>308.0</v>
      </c>
      <c r="B311" s="4" t="s">
        <v>636</v>
      </c>
      <c r="C311" s="4" t="s">
        <v>637</v>
      </c>
      <c r="D311" s="4" t="s">
        <v>27</v>
      </c>
      <c r="E311" s="6">
        <v>0.0</v>
      </c>
      <c r="F311" s="6">
        <v>0.0</v>
      </c>
      <c r="G311" s="6">
        <v>0.0</v>
      </c>
      <c r="H311" s="6">
        <v>112690.0</v>
      </c>
    </row>
    <row r="312" ht="15.75" customHeight="1">
      <c r="A312" s="4">
        <v>309.0</v>
      </c>
      <c r="B312" s="4" t="s">
        <v>638</v>
      </c>
      <c r="C312" s="4" t="s">
        <v>639</v>
      </c>
      <c r="D312" s="4" t="s">
        <v>27</v>
      </c>
      <c r="E312" s="6">
        <v>0.0</v>
      </c>
      <c r="F312" s="6">
        <v>0.0</v>
      </c>
      <c r="G312" s="6">
        <v>0.0</v>
      </c>
      <c r="H312" s="6">
        <v>113281.0</v>
      </c>
    </row>
    <row r="313" ht="15.75" customHeight="1">
      <c r="A313" s="4">
        <v>310.0</v>
      </c>
      <c r="B313" s="4" t="s">
        <v>640</v>
      </c>
      <c r="C313" s="4" t="s">
        <v>641</v>
      </c>
      <c r="D313" s="4" t="s">
        <v>27</v>
      </c>
      <c r="E313" s="6">
        <v>0.0</v>
      </c>
      <c r="F313" s="6">
        <v>0.0</v>
      </c>
      <c r="G313" s="6">
        <v>0.0</v>
      </c>
      <c r="H313" s="6">
        <v>114200.0</v>
      </c>
    </row>
    <row r="314" ht="15.75" customHeight="1">
      <c r="A314" s="4">
        <v>311.0</v>
      </c>
      <c r="B314" s="4" t="s">
        <v>642</v>
      </c>
      <c r="C314" s="4" t="s">
        <v>643</v>
      </c>
      <c r="D314" s="4" t="s">
        <v>27</v>
      </c>
      <c r="E314" s="6">
        <v>0.0</v>
      </c>
      <c r="F314" s="6">
        <v>0.0</v>
      </c>
      <c r="G314" s="6">
        <v>0.0</v>
      </c>
      <c r="H314" s="6">
        <v>12600.0</v>
      </c>
    </row>
    <row r="315" ht="15.75" customHeight="1">
      <c r="A315" s="4">
        <v>312.0</v>
      </c>
      <c r="B315" s="4" t="s">
        <v>644</v>
      </c>
      <c r="C315" s="4" t="s">
        <v>645</v>
      </c>
      <c r="D315" s="4" t="s">
        <v>27</v>
      </c>
      <c r="E315" s="6">
        <v>0.0</v>
      </c>
      <c r="F315" s="6">
        <v>0.0</v>
      </c>
      <c r="G315" s="6">
        <v>0.0</v>
      </c>
      <c r="H315" s="6">
        <v>17556.0</v>
      </c>
    </row>
    <row r="316" ht="15.75" customHeight="1">
      <c r="A316" s="4">
        <v>313.0</v>
      </c>
      <c r="B316" s="4" t="s">
        <v>646</v>
      </c>
      <c r="C316" s="4" t="s">
        <v>647</v>
      </c>
      <c r="D316" s="4" t="s">
        <v>27</v>
      </c>
      <c r="E316" s="6">
        <v>0.0</v>
      </c>
      <c r="F316" s="6">
        <v>0.0</v>
      </c>
      <c r="G316" s="6">
        <v>0.0</v>
      </c>
      <c r="H316" s="6">
        <v>30686.0</v>
      </c>
    </row>
    <row r="317" ht="15.75" customHeight="1">
      <c r="A317" s="4">
        <v>314.0</v>
      </c>
      <c r="B317" s="4" t="s">
        <v>648</v>
      </c>
      <c r="C317" s="4" t="s">
        <v>649</v>
      </c>
      <c r="D317" s="4" t="s">
        <v>27</v>
      </c>
      <c r="E317" s="6">
        <v>0.0</v>
      </c>
      <c r="F317" s="6">
        <v>0.0</v>
      </c>
      <c r="G317" s="6">
        <v>0.0</v>
      </c>
      <c r="H317" s="6">
        <v>47582.0</v>
      </c>
    </row>
    <row r="318" ht="15.75" customHeight="1">
      <c r="A318" s="9">
        <v>315.0</v>
      </c>
      <c r="B318" s="9" t="s">
        <v>650</v>
      </c>
      <c r="C318" s="10" t="s">
        <v>651</v>
      </c>
      <c r="D318" s="9"/>
      <c r="E318" s="11"/>
      <c r="F318" s="11"/>
      <c r="G318" s="11"/>
      <c r="H318" s="11"/>
    </row>
    <row r="319" ht="15.75" customHeight="1">
      <c r="A319" s="4">
        <v>316.0</v>
      </c>
      <c r="B319" s="4" t="s">
        <v>652</v>
      </c>
      <c r="C319" s="4" t="s">
        <v>653</v>
      </c>
      <c r="D319" s="4" t="s">
        <v>27</v>
      </c>
      <c r="E319" s="6">
        <v>0.0</v>
      </c>
      <c r="F319" s="6">
        <v>0.0</v>
      </c>
      <c r="G319" s="6">
        <v>0.0</v>
      </c>
      <c r="H319" s="6">
        <v>47597.0</v>
      </c>
    </row>
    <row r="320" ht="15.75" customHeight="1">
      <c r="A320" s="4">
        <v>317.0</v>
      </c>
      <c r="B320" s="4" t="s">
        <v>654</v>
      </c>
      <c r="C320" s="4" t="s">
        <v>655</v>
      </c>
      <c r="D320" s="4" t="s">
        <v>27</v>
      </c>
      <c r="E320" s="6">
        <v>0.0</v>
      </c>
      <c r="F320" s="6">
        <v>0.0</v>
      </c>
      <c r="G320" s="6">
        <v>0.0</v>
      </c>
      <c r="H320" s="6">
        <v>59029.0</v>
      </c>
    </row>
    <row r="321" ht="15.75" customHeight="1">
      <c r="A321" s="4">
        <v>318.0</v>
      </c>
      <c r="B321" s="4" t="s">
        <v>656</v>
      </c>
      <c r="C321" s="4" t="s">
        <v>657</v>
      </c>
      <c r="D321" s="4" t="s">
        <v>27</v>
      </c>
      <c r="E321" s="6">
        <v>0.0</v>
      </c>
      <c r="F321" s="6">
        <v>0.0</v>
      </c>
      <c r="G321" s="6">
        <v>0.0</v>
      </c>
      <c r="H321" s="6">
        <v>78792.0</v>
      </c>
    </row>
    <row r="322" ht="15.75" customHeight="1">
      <c r="A322" s="4">
        <v>319.0</v>
      </c>
      <c r="B322" s="4" t="s">
        <v>658</v>
      </c>
      <c r="C322" s="4" t="s">
        <v>659</v>
      </c>
      <c r="D322" s="4" t="s">
        <v>27</v>
      </c>
      <c r="E322" s="6">
        <v>0.0</v>
      </c>
      <c r="F322" s="6">
        <v>0.0</v>
      </c>
      <c r="G322" s="6">
        <v>0.0</v>
      </c>
      <c r="H322" s="6">
        <v>85940.0</v>
      </c>
    </row>
    <row r="323" ht="15.75" customHeight="1">
      <c r="A323" s="4">
        <v>320.0</v>
      </c>
      <c r="B323" s="4" t="s">
        <v>660</v>
      </c>
      <c r="C323" s="4" t="s">
        <v>661</v>
      </c>
      <c r="D323" s="4" t="s">
        <v>27</v>
      </c>
      <c r="E323" s="6">
        <v>0.0</v>
      </c>
      <c r="F323" s="6">
        <v>0.0</v>
      </c>
      <c r="G323" s="6">
        <v>0.0</v>
      </c>
      <c r="H323" s="6">
        <v>105874.0</v>
      </c>
    </row>
    <row r="324" ht="15.75" customHeight="1">
      <c r="A324" s="4">
        <v>321.0</v>
      </c>
      <c r="B324" s="4" t="s">
        <v>662</v>
      </c>
      <c r="C324" s="4" t="s">
        <v>663</v>
      </c>
      <c r="D324" s="4" t="s">
        <v>27</v>
      </c>
      <c r="E324" s="6">
        <v>0.0</v>
      </c>
      <c r="F324" s="6">
        <v>0.0</v>
      </c>
      <c r="G324" s="6">
        <v>0.0</v>
      </c>
      <c r="H324" s="6">
        <v>114826.0</v>
      </c>
    </row>
    <row r="325" ht="15.75" customHeight="1">
      <c r="A325" s="9">
        <v>322.0</v>
      </c>
      <c r="B325" s="9" t="s">
        <v>664</v>
      </c>
      <c r="C325" s="10" t="s">
        <v>665</v>
      </c>
      <c r="D325" s="9"/>
      <c r="E325" s="11"/>
      <c r="F325" s="11"/>
      <c r="G325" s="11"/>
      <c r="H325" s="11"/>
    </row>
    <row r="326" ht="15.75" customHeight="1">
      <c r="A326" s="9">
        <v>323.0</v>
      </c>
      <c r="B326" s="9" t="s">
        <v>666</v>
      </c>
      <c r="C326" s="10" t="s">
        <v>384</v>
      </c>
      <c r="D326" s="9"/>
      <c r="E326" s="11"/>
      <c r="F326" s="11"/>
      <c r="G326" s="11"/>
      <c r="H326" s="11"/>
    </row>
    <row r="327" ht="15.75" customHeight="1">
      <c r="A327" s="4">
        <v>324.0</v>
      </c>
      <c r="B327" s="4" t="s">
        <v>667</v>
      </c>
      <c r="C327" s="4" t="s">
        <v>668</v>
      </c>
      <c r="D327" s="4" t="s">
        <v>404</v>
      </c>
      <c r="E327" s="6">
        <v>7600.0</v>
      </c>
      <c r="F327" s="6">
        <v>21366.15</v>
      </c>
      <c r="G327" s="6">
        <v>1988.125</v>
      </c>
      <c r="H327" s="6">
        <v>34049.0</v>
      </c>
    </row>
    <row r="328" ht="15.75" customHeight="1">
      <c r="A328" s="4">
        <v>325.0</v>
      </c>
      <c r="B328" s="4" t="s">
        <v>669</v>
      </c>
      <c r="C328" s="4" t="s">
        <v>670</v>
      </c>
      <c r="D328" s="4" t="s">
        <v>404</v>
      </c>
      <c r="E328" s="6">
        <v>10227.0</v>
      </c>
      <c r="F328" s="6">
        <v>17001.625</v>
      </c>
      <c r="G328" s="6">
        <v>126.875</v>
      </c>
      <c r="H328" s="6">
        <v>30091.0</v>
      </c>
    </row>
    <row r="329" ht="15.75" customHeight="1">
      <c r="A329" s="4">
        <v>326.0</v>
      </c>
      <c r="B329" s="4" t="s">
        <v>671</v>
      </c>
      <c r="C329" s="4" t="s">
        <v>672</v>
      </c>
      <c r="D329" s="4" t="s">
        <v>404</v>
      </c>
      <c r="E329" s="6">
        <v>9616.5</v>
      </c>
      <c r="F329" s="6">
        <v>17000.0</v>
      </c>
      <c r="G329" s="6">
        <v>0.0</v>
      </c>
      <c r="H329" s="6">
        <v>29278.0</v>
      </c>
    </row>
    <row r="330" ht="15.75" customHeight="1">
      <c r="A330" s="4">
        <v>327.0</v>
      </c>
      <c r="B330" s="4" t="s">
        <v>673</v>
      </c>
      <c r="C330" s="4" t="s">
        <v>674</v>
      </c>
      <c r="D330" s="4" t="s">
        <v>404</v>
      </c>
      <c r="E330" s="6">
        <v>9267.5</v>
      </c>
      <c r="F330" s="6">
        <v>31164.15</v>
      </c>
      <c r="G330" s="6">
        <v>104.0625</v>
      </c>
      <c r="H330" s="6">
        <v>44589.0</v>
      </c>
    </row>
    <row r="331" ht="15.75" customHeight="1">
      <c r="A331" s="4">
        <v>328.0</v>
      </c>
      <c r="B331" s="4" t="s">
        <v>675</v>
      </c>
      <c r="C331" s="4" t="s">
        <v>676</v>
      </c>
      <c r="D331" s="4" t="s">
        <v>404</v>
      </c>
      <c r="E331" s="6">
        <v>9267.5</v>
      </c>
      <c r="F331" s="6">
        <v>20239.15</v>
      </c>
      <c r="G331" s="6">
        <v>104.0625</v>
      </c>
      <c r="H331" s="6">
        <v>32571.0</v>
      </c>
    </row>
    <row r="332" ht="15.75" customHeight="1">
      <c r="A332" s="4">
        <v>329.0</v>
      </c>
      <c r="B332" s="4" t="s">
        <v>677</v>
      </c>
      <c r="C332" s="4" t="s">
        <v>678</v>
      </c>
      <c r="D332" s="4" t="s">
        <v>404</v>
      </c>
      <c r="E332" s="6">
        <v>7714.5</v>
      </c>
      <c r="F332" s="6">
        <v>17825.0</v>
      </c>
      <c r="G332" s="6">
        <v>0.0</v>
      </c>
      <c r="H332" s="6">
        <v>28093.0</v>
      </c>
    </row>
    <row r="333" ht="15.75" customHeight="1">
      <c r="A333" s="9">
        <v>330.0</v>
      </c>
      <c r="B333" s="9" t="s">
        <v>679</v>
      </c>
      <c r="C333" s="10" t="s">
        <v>680</v>
      </c>
      <c r="D333" s="9"/>
      <c r="E333" s="11"/>
      <c r="F333" s="11"/>
      <c r="G333" s="11"/>
      <c r="H333" s="11"/>
    </row>
    <row r="334" ht="15.75" customHeight="1">
      <c r="A334" s="9">
        <v>331.0</v>
      </c>
      <c r="B334" s="9" t="s">
        <v>681</v>
      </c>
      <c r="C334" s="10" t="s">
        <v>682</v>
      </c>
      <c r="D334" s="9"/>
      <c r="E334" s="11"/>
      <c r="F334" s="11"/>
      <c r="G334" s="11"/>
      <c r="H334" s="11"/>
    </row>
    <row r="335" ht="15.75" customHeight="1">
      <c r="A335" s="4">
        <v>332.0</v>
      </c>
      <c r="B335" s="4" t="s">
        <v>683</v>
      </c>
      <c r="C335" s="4" t="s">
        <v>684</v>
      </c>
      <c r="D335" s="4" t="s">
        <v>36</v>
      </c>
      <c r="E335" s="6">
        <v>13720.0</v>
      </c>
      <c r="F335" s="6">
        <v>226571.3</v>
      </c>
      <c r="G335" s="6">
        <v>0.0</v>
      </c>
      <c r="H335" s="6">
        <v>264320.0</v>
      </c>
    </row>
    <row r="336" ht="15.75" customHeight="1">
      <c r="A336" s="4">
        <v>333.0</v>
      </c>
      <c r="B336" s="4" t="s">
        <v>685</v>
      </c>
      <c r="C336" s="4" t="s">
        <v>686</v>
      </c>
      <c r="D336" s="4" t="s">
        <v>36</v>
      </c>
      <c r="E336" s="6">
        <v>6810.0</v>
      </c>
      <c r="F336" s="6">
        <v>68302.15</v>
      </c>
      <c r="G336" s="6">
        <v>0.0</v>
      </c>
      <c r="H336" s="6">
        <v>82623.0</v>
      </c>
    </row>
    <row r="337" ht="15.75" customHeight="1">
      <c r="A337" s="4">
        <v>334.0</v>
      </c>
      <c r="B337" s="4" t="s">
        <v>687</v>
      </c>
      <c r="C337" s="4" t="s">
        <v>688</v>
      </c>
      <c r="D337" s="4" t="s">
        <v>36</v>
      </c>
      <c r="E337" s="6">
        <v>6810.0</v>
      </c>
      <c r="F337" s="6">
        <v>66181.15</v>
      </c>
      <c r="G337" s="6">
        <v>0.0</v>
      </c>
      <c r="H337" s="6">
        <v>80290.0</v>
      </c>
    </row>
    <row r="338" ht="15.75" customHeight="1">
      <c r="A338" s="4">
        <v>335.0</v>
      </c>
      <c r="B338" s="4" t="s">
        <v>689</v>
      </c>
      <c r="C338" s="4" t="s">
        <v>690</v>
      </c>
      <c r="D338" s="4" t="s">
        <v>36</v>
      </c>
      <c r="E338" s="6">
        <v>39640.0</v>
      </c>
      <c r="F338" s="6">
        <v>171400.0</v>
      </c>
      <c r="G338" s="6">
        <v>0.0</v>
      </c>
      <c r="H338" s="6">
        <v>232144.0</v>
      </c>
    </row>
    <row r="339" ht="15.75" customHeight="1">
      <c r="A339" s="9">
        <v>336.0</v>
      </c>
      <c r="B339" s="9" t="s">
        <v>691</v>
      </c>
      <c r="C339" s="10" t="s">
        <v>692</v>
      </c>
      <c r="D339" s="9"/>
      <c r="E339" s="11"/>
      <c r="F339" s="11"/>
      <c r="G339" s="11"/>
      <c r="H339" s="11"/>
    </row>
    <row r="340" ht="15.75" customHeight="1">
      <c r="A340" s="4">
        <v>337.0</v>
      </c>
      <c r="B340" s="4" t="s">
        <v>693</v>
      </c>
      <c r="C340" s="4" t="s">
        <v>694</v>
      </c>
      <c r="D340" s="4" t="s">
        <v>43</v>
      </c>
      <c r="E340" s="6">
        <v>0.0</v>
      </c>
      <c r="F340" s="6">
        <v>0.0</v>
      </c>
      <c r="G340" s="6">
        <v>0.0</v>
      </c>
      <c r="H340" s="6">
        <v>9306.0</v>
      </c>
    </row>
    <row r="341" ht="15.75" customHeight="1">
      <c r="A341" s="4">
        <v>338.0</v>
      </c>
      <c r="B341" s="4" t="s">
        <v>695</v>
      </c>
      <c r="C341" s="4" t="s">
        <v>696</v>
      </c>
      <c r="D341" s="4" t="s">
        <v>43</v>
      </c>
      <c r="E341" s="6">
        <v>13975.0</v>
      </c>
      <c r="F341" s="6">
        <v>0.0</v>
      </c>
      <c r="G341" s="6">
        <v>0.0</v>
      </c>
      <c r="H341" s="6">
        <v>15372.0</v>
      </c>
    </row>
    <row r="342" ht="15.75" customHeight="1">
      <c r="A342" s="4">
        <v>339.0</v>
      </c>
      <c r="B342" s="4" t="s">
        <v>697</v>
      </c>
      <c r="C342" s="4" t="s">
        <v>698</v>
      </c>
      <c r="D342" s="4" t="s">
        <v>43</v>
      </c>
      <c r="E342" s="6">
        <v>11130.0</v>
      </c>
      <c r="F342" s="6">
        <v>0.0</v>
      </c>
      <c r="G342" s="6">
        <v>0.0</v>
      </c>
      <c r="H342" s="6">
        <v>12243.0</v>
      </c>
    </row>
    <row r="343" ht="15.75" customHeight="1">
      <c r="A343" s="9">
        <v>340.0</v>
      </c>
      <c r="B343" s="9" t="s">
        <v>699</v>
      </c>
      <c r="C343" s="10" t="s">
        <v>700</v>
      </c>
      <c r="D343" s="9"/>
      <c r="E343" s="11"/>
      <c r="F343" s="11"/>
      <c r="G343" s="11"/>
      <c r="H343" s="11"/>
    </row>
    <row r="344" ht="15.75" customHeight="1">
      <c r="A344" s="4">
        <v>341.0</v>
      </c>
      <c r="B344" s="4" t="s">
        <v>701</v>
      </c>
      <c r="C344" s="4" t="s">
        <v>702</v>
      </c>
      <c r="D344" s="4" t="s">
        <v>116</v>
      </c>
      <c r="E344" s="6">
        <v>68490.0</v>
      </c>
      <c r="F344" s="6">
        <v>0.0</v>
      </c>
      <c r="G344" s="6">
        <v>0.0</v>
      </c>
      <c r="H344" s="6">
        <v>75339.0</v>
      </c>
    </row>
    <row r="345" ht="15.75" customHeight="1">
      <c r="A345" s="4">
        <v>342.0</v>
      </c>
      <c r="B345" s="4" t="s">
        <v>703</v>
      </c>
      <c r="C345" s="4" t="s">
        <v>704</v>
      </c>
      <c r="D345" s="4" t="s">
        <v>116</v>
      </c>
      <c r="E345" s="6">
        <v>70875.0</v>
      </c>
      <c r="F345" s="6">
        <v>0.0</v>
      </c>
      <c r="G345" s="6">
        <v>0.0</v>
      </c>
      <c r="H345" s="6">
        <v>77962.0</v>
      </c>
    </row>
    <row r="346" ht="15.75" customHeight="1">
      <c r="A346" s="4">
        <v>343.0</v>
      </c>
      <c r="B346" s="4" t="s">
        <v>705</v>
      </c>
      <c r="C346" s="4" t="s">
        <v>706</v>
      </c>
      <c r="D346" s="4" t="s">
        <v>116</v>
      </c>
      <c r="E346" s="6">
        <v>62650.0</v>
      </c>
      <c r="F346" s="6">
        <v>0.0</v>
      </c>
      <c r="G346" s="6">
        <v>0.0</v>
      </c>
      <c r="H346" s="6">
        <v>68915.0</v>
      </c>
    </row>
    <row r="347" ht="15.75" customHeight="1">
      <c r="A347" s="9">
        <v>344.0</v>
      </c>
      <c r="B347" s="9" t="s">
        <v>707</v>
      </c>
      <c r="C347" s="10" t="s">
        <v>708</v>
      </c>
      <c r="D347" s="9"/>
      <c r="E347" s="11"/>
      <c r="F347" s="11"/>
      <c r="G347" s="11"/>
      <c r="H347" s="11"/>
    </row>
    <row r="348" ht="15.75" customHeight="1">
      <c r="A348" s="4">
        <v>345.0</v>
      </c>
      <c r="B348" s="4" t="s">
        <v>709</v>
      </c>
      <c r="C348" s="4" t="s">
        <v>710</v>
      </c>
      <c r="D348" s="4" t="s">
        <v>43</v>
      </c>
      <c r="E348" s="6">
        <v>6375.0</v>
      </c>
      <c r="F348" s="6">
        <v>0.0</v>
      </c>
      <c r="G348" s="6">
        <v>65415.1</v>
      </c>
      <c r="H348" s="6">
        <v>78969.0</v>
      </c>
    </row>
    <row r="349" ht="15.75" customHeight="1">
      <c r="A349" s="4">
        <v>346.0</v>
      </c>
      <c r="B349" s="4" t="s">
        <v>711</v>
      </c>
      <c r="C349" s="4" t="s">
        <v>712</v>
      </c>
      <c r="D349" s="4" t="s">
        <v>43</v>
      </c>
      <c r="E349" s="6">
        <v>6375.0</v>
      </c>
      <c r="F349" s="6">
        <v>0.0</v>
      </c>
      <c r="G349" s="6">
        <v>65415.1</v>
      </c>
      <c r="H349" s="6">
        <v>78969.0</v>
      </c>
    </row>
    <row r="350" ht="15.75" customHeight="1">
      <c r="A350" s="4">
        <v>347.0</v>
      </c>
      <c r="B350" s="4" t="s">
        <v>713</v>
      </c>
      <c r="C350" s="4" t="s">
        <v>714</v>
      </c>
      <c r="D350" s="4" t="s">
        <v>43</v>
      </c>
      <c r="E350" s="6">
        <v>6375.0</v>
      </c>
      <c r="F350" s="6">
        <v>0.0</v>
      </c>
      <c r="G350" s="6">
        <v>65415.1</v>
      </c>
      <c r="H350" s="6">
        <v>78969.0</v>
      </c>
    </row>
    <row r="351" ht="15.75" customHeight="1">
      <c r="A351" s="9">
        <v>348.0</v>
      </c>
      <c r="B351" s="9" t="s">
        <v>715</v>
      </c>
      <c r="C351" s="10" t="s">
        <v>716</v>
      </c>
      <c r="D351" s="9"/>
      <c r="E351" s="11"/>
      <c r="F351" s="11"/>
      <c r="G351" s="11"/>
      <c r="H351" s="11"/>
    </row>
    <row r="352" ht="15.75" customHeight="1">
      <c r="A352" s="4">
        <v>349.0</v>
      </c>
      <c r="B352" s="4" t="s">
        <v>717</v>
      </c>
      <c r="C352" s="4" t="s">
        <v>718</v>
      </c>
      <c r="D352" s="4" t="s">
        <v>43</v>
      </c>
      <c r="E352" s="6">
        <v>51970.0</v>
      </c>
      <c r="F352" s="6">
        <v>0.0</v>
      </c>
      <c r="G352" s="6">
        <v>231609.3</v>
      </c>
      <c r="H352" s="6">
        <v>311937.0</v>
      </c>
    </row>
    <row r="353" ht="15.75" customHeight="1">
      <c r="A353" s="4">
        <v>350.0</v>
      </c>
      <c r="B353" s="4" t="s">
        <v>719</v>
      </c>
      <c r="C353" s="4" t="s">
        <v>720</v>
      </c>
      <c r="D353" s="4" t="s">
        <v>43</v>
      </c>
      <c r="E353" s="6">
        <v>47310.0</v>
      </c>
      <c r="F353" s="6">
        <v>0.0</v>
      </c>
      <c r="G353" s="6">
        <v>210662.2333333333</v>
      </c>
      <c r="H353" s="6">
        <v>283769.0</v>
      </c>
    </row>
    <row r="354" ht="15.75" customHeight="1">
      <c r="A354" s="4">
        <v>351.0</v>
      </c>
      <c r="B354" s="4" t="s">
        <v>721</v>
      </c>
      <c r="C354" s="4" t="s">
        <v>722</v>
      </c>
      <c r="D354" s="4" t="s">
        <v>43</v>
      </c>
      <c r="E354" s="6">
        <v>51970.0</v>
      </c>
      <c r="F354" s="6">
        <v>0.0</v>
      </c>
      <c r="G354" s="6">
        <v>231319.6333333334</v>
      </c>
      <c r="H354" s="6">
        <v>311618.0</v>
      </c>
    </row>
    <row r="355" ht="15.75" customHeight="1">
      <c r="A355" s="4">
        <v>352.0</v>
      </c>
      <c r="B355" s="4" t="s">
        <v>723</v>
      </c>
      <c r="C355" s="4" t="s">
        <v>724</v>
      </c>
      <c r="D355" s="4" t="s">
        <v>43</v>
      </c>
      <c r="E355" s="6">
        <v>47310.0</v>
      </c>
      <c r="F355" s="6">
        <v>0.0</v>
      </c>
      <c r="G355" s="6">
        <v>210662.2333333333</v>
      </c>
      <c r="H355" s="6">
        <v>283769.0</v>
      </c>
    </row>
    <row r="356" ht="15.75" customHeight="1">
      <c r="A356" s="4">
        <v>353.0</v>
      </c>
      <c r="B356" s="4" t="s">
        <v>725</v>
      </c>
      <c r="C356" s="4" t="s">
        <v>726</v>
      </c>
      <c r="D356" s="4" t="s">
        <v>43</v>
      </c>
      <c r="E356" s="6">
        <v>64530.0</v>
      </c>
      <c r="F356" s="6">
        <v>0.0</v>
      </c>
      <c r="G356" s="6">
        <v>287051.3666666667</v>
      </c>
      <c r="H356" s="6">
        <v>386739.0</v>
      </c>
    </row>
    <row r="357" ht="15.75" customHeight="1">
      <c r="A357" s="4">
        <v>354.0</v>
      </c>
      <c r="B357" s="4" t="s">
        <v>727</v>
      </c>
      <c r="C357" s="4" t="s">
        <v>728</v>
      </c>
      <c r="D357" s="4" t="s">
        <v>729</v>
      </c>
      <c r="E357" s="6">
        <v>71165.0</v>
      </c>
      <c r="F357" s="6">
        <v>0.0</v>
      </c>
      <c r="G357" s="6">
        <v>0.0</v>
      </c>
      <c r="H357" s="6">
        <v>78281.0</v>
      </c>
    </row>
    <row r="358" ht="15.75" customHeight="1">
      <c r="A358" s="4">
        <v>355.0</v>
      </c>
      <c r="B358" s="4" t="s">
        <v>730</v>
      </c>
      <c r="C358" s="4" t="s">
        <v>731</v>
      </c>
      <c r="D358" s="4" t="s">
        <v>729</v>
      </c>
      <c r="E358" s="6">
        <v>71690.0</v>
      </c>
      <c r="F358" s="6">
        <v>0.0</v>
      </c>
      <c r="G358" s="6">
        <v>0.0</v>
      </c>
      <c r="H358" s="6">
        <v>78859.0</v>
      </c>
    </row>
    <row r="359" ht="15.75" customHeight="1">
      <c r="A359" s="9">
        <v>356.0</v>
      </c>
      <c r="B359" s="9" t="s">
        <v>732</v>
      </c>
      <c r="C359" s="10" t="s">
        <v>733</v>
      </c>
      <c r="D359" s="9"/>
      <c r="E359" s="11"/>
      <c r="F359" s="11"/>
      <c r="G359" s="11"/>
      <c r="H359" s="11"/>
    </row>
    <row r="360" ht="15.75" customHeight="1">
      <c r="A360" s="4">
        <v>357.0</v>
      </c>
      <c r="B360" s="4" t="s">
        <v>734</v>
      </c>
      <c r="C360" s="4" t="s">
        <v>735</v>
      </c>
      <c r="D360" s="4" t="s">
        <v>36</v>
      </c>
      <c r="E360" s="6">
        <v>16940.0</v>
      </c>
      <c r="F360" s="6">
        <v>72871.2</v>
      </c>
      <c r="G360" s="6">
        <v>0.0</v>
      </c>
      <c r="H360" s="6">
        <v>98792.0</v>
      </c>
    </row>
    <row r="361" ht="15.75" customHeight="1">
      <c r="A361" s="4">
        <v>358.0</v>
      </c>
      <c r="B361" s="4" t="s">
        <v>736</v>
      </c>
      <c r="C361" s="4" t="s">
        <v>737</v>
      </c>
      <c r="D361" s="4" t="s">
        <v>36</v>
      </c>
      <c r="E361" s="6">
        <v>21285.0</v>
      </c>
      <c r="F361" s="6">
        <v>91089.0</v>
      </c>
      <c r="G361" s="6">
        <v>0.0</v>
      </c>
      <c r="H361" s="6">
        <v>123611.0</v>
      </c>
    </row>
    <row r="362" ht="15.75" customHeight="1">
      <c r="A362" s="4">
        <v>359.0</v>
      </c>
      <c r="B362" s="4" t="s">
        <v>738</v>
      </c>
      <c r="C362" s="4" t="s">
        <v>739</v>
      </c>
      <c r="D362" s="4" t="s">
        <v>36</v>
      </c>
      <c r="E362" s="6">
        <v>25310.0</v>
      </c>
      <c r="F362" s="6">
        <v>109306.8</v>
      </c>
      <c r="G362" s="6">
        <v>0.0</v>
      </c>
      <c r="H362" s="6">
        <v>148078.0</v>
      </c>
    </row>
    <row r="363" ht="15.75" customHeight="1">
      <c r="A363" s="4">
        <v>360.0</v>
      </c>
      <c r="B363" s="4" t="s">
        <v>740</v>
      </c>
      <c r="C363" s="4" t="s">
        <v>741</v>
      </c>
      <c r="D363" s="4" t="s">
        <v>36</v>
      </c>
      <c r="E363" s="6">
        <v>31645.0</v>
      </c>
      <c r="F363" s="6">
        <v>136633.5</v>
      </c>
      <c r="G363" s="6">
        <v>0.0</v>
      </c>
      <c r="H363" s="6">
        <v>185106.0</v>
      </c>
    </row>
    <row r="364" ht="15.75" customHeight="1">
      <c r="A364" s="9">
        <v>361.0</v>
      </c>
      <c r="B364" s="9" t="s">
        <v>742</v>
      </c>
      <c r="C364" s="10" t="s">
        <v>743</v>
      </c>
      <c r="D364" s="9"/>
      <c r="E364" s="11"/>
      <c r="F364" s="11"/>
      <c r="G364" s="11"/>
      <c r="H364" s="11"/>
    </row>
    <row r="365" ht="15.75" customHeight="1">
      <c r="A365" s="4">
        <v>362.0</v>
      </c>
      <c r="B365" s="4" t="s">
        <v>744</v>
      </c>
      <c r="C365" s="4" t="s">
        <v>745</v>
      </c>
      <c r="D365" s="4" t="s">
        <v>389</v>
      </c>
      <c r="E365" s="6">
        <v>0.0</v>
      </c>
      <c r="F365" s="6">
        <v>0.0</v>
      </c>
      <c r="G365" s="6">
        <v>0.0</v>
      </c>
      <c r="H365" s="6">
        <v>90398.0</v>
      </c>
    </row>
    <row r="366" ht="15.75" customHeight="1">
      <c r="A366" s="9">
        <v>363.0</v>
      </c>
      <c r="B366" s="9" t="s">
        <v>746</v>
      </c>
      <c r="C366" s="10" t="s">
        <v>747</v>
      </c>
      <c r="D366" s="9"/>
      <c r="E366" s="11"/>
      <c r="F366" s="11"/>
      <c r="G366" s="11"/>
      <c r="H366" s="11"/>
    </row>
    <row r="367" ht="15.75" customHeight="1">
      <c r="A367" s="9">
        <v>364.0</v>
      </c>
      <c r="B367" s="9" t="s">
        <v>748</v>
      </c>
      <c r="C367" s="10" t="s">
        <v>384</v>
      </c>
      <c r="D367" s="9"/>
      <c r="E367" s="11"/>
      <c r="F367" s="11"/>
      <c r="G367" s="11"/>
      <c r="H367" s="11"/>
    </row>
    <row r="368" ht="15.75" customHeight="1">
      <c r="A368" s="9">
        <v>365.0</v>
      </c>
      <c r="B368" s="9" t="s">
        <v>749</v>
      </c>
      <c r="C368" s="10" t="s">
        <v>750</v>
      </c>
      <c r="D368" s="9"/>
      <c r="E368" s="11"/>
      <c r="F368" s="11"/>
      <c r="G368" s="11"/>
      <c r="H368" s="11"/>
    </row>
    <row r="369" ht="15.75" customHeight="1">
      <c r="A369" s="4">
        <v>366.0</v>
      </c>
      <c r="B369" s="4" t="s">
        <v>751</v>
      </c>
      <c r="C369" s="4" t="s">
        <v>752</v>
      </c>
      <c r="D369" s="4" t="s">
        <v>419</v>
      </c>
      <c r="E369" s="6">
        <v>16022.5</v>
      </c>
      <c r="F369" s="6">
        <v>118625.0</v>
      </c>
      <c r="G369" s="6">
        <v>15125.0</v>
      </c>
      <c r="H369" s="6">
        <v>164749.0</v>
      </c>
    </row>
    <row r="370" ht="15.75" customHeight="1">
      <c r="A370" s="4">
        <v>367.0</v>
      </c>
      <c r="B370" s="4" t="s">
        <v>753</v>
      </c>
      <c r="C370" s="4" t="s">
        <v>754</v>
      </c>
      <c r="D370" s="4" t="s">
        <v>419</v>
      </c>
      <c r="E370" s="6">
        <v>23155.5</v>
      </c>
      <c r="F370" s="6">
        <v>93625.0</v>
      </c>
      <c r="G370" s="6">
        <v>129030.0</v>
      </c>
      <c r="H370" s="6">
        <v>270391.0</v>
      </c>
    </row>
    <row r="371" ht="15.75" customHeight="1">
      <c r="A371" s="4">
        <v>368.0</v>
      </c>
      <c r="B371" s="4" t="s">
        <v>755</v>
      </c>
      <c r="C371" s="4" t="s">
        <v>756</v>
      </c>
      <c r="D371" s="4" t="s">
        <v>36</v>
      </c>
      <c r="E371" s="6">
        <v>20670.0</v>
      </c>
      <c r="F371" s="6">
        <v>29859.61</v>
      </c>
      <c r="G371" s="6">
        <v>0.0</v>
      </c>
      <c r="H371" s="6">
        <v>55582.0</v>
      </c>
    </row>
    <row r="372" ht="15.75" customHeight="1">
      <c r="A372" s="9">
        <v>369.0</v>
      </c>
      <c r="B372" s="9" t="s">
        <v>757</v>
      </c>
      <c r="C372" s="10" t="s">
        <v>758</v>
      </c>
      <c r="D372" s="9"/>
      <c r="E372" s="11"/>
      <c r="F372" s="11"/>
      <c r="G372" s="11"/>
      <c r="H372" s="11"/>
    </row>
    <row r="373" ht="15.75" customHeight="1">
      <c r="A373" s="4">
        <v>370.0</v>
      </c>
      <c r="B373" s="4" t="s">
        <v>759</v>
      </c>
      <c r="C373" s="4" t="s">
        <v>760</v>
      </c>
      <c r="D373" s="4" t="s">
        <v>27</v>
      </c>
      <c r="E373" s="6">
        <v>0.0</v>
      </c>
      <c r="F373" s="6">
        <v>0.0</v>
      </c>
      <c r="G373" s="6">
        <v>0.0</v>
      </c>
      <c r="H373" s="6">
        <v>30921.0</v>
      </c>
    </row>
    <row r="374" ht="15.75" customHeight="1">
      <c r="A374" s="4">
        <v>371.0</v>
      </c>
      <c r="B374" s="4" t="s">
        <v>761</v>
      </c>
      <c r="C374" s="4" t="s">
        <v>762</v>
      </c>
      <c r="D374" s="4" t="s">
        <v>36</v>
      </c>
      <c r="E374" s="6">
        <v>0.0</v>
      </c>
      <c r="F374" s="6">
        <v>0.0</v>
      </c>
      <c r="G374" s="6">
        <v>0.0</v>
      </c>
      <c r="H374" s="6">
        <v>55297.0</v>
      </c>
    </row>
    <row r="375" ht="15.75" customHeight="1">
      <c r="A375" s="4">
        <v>372.0</v>
      </c>
      <c r="B375" s="4" t="s">
        <v>763</v>
      </c>
      <c r="C375" s="4" t="s">
        <v>764</v>
      </c>
      <c r="D375" s="4" t="s">
        <v>36</v>
      </c>
      <c r="E375" s="6">
        <v>0.0</v>
      </c>
      <c r="F375" s="6">
        <v>0.0</v>
      </c>
      <c r="G375" s="6">
        <v>0.0</v>
      </c>
      <c r="H375" s="6">
        <v>66000.0</v>
      </c>
    </row>
    <row r="376" ht="15.75" customHeight="1">
      <c r="A376" s="4">
        <v>373.0</v>
      </c>
      <c r="B376" s="4" t="s">
        <v>765</v>
      </c>
      <c r="C376" s="4" t="s">
        <v>766</v>
      </c>
      <c r="D376" s="4" t="s">
        <v>36</v>
      </c>
      <c r="E376" s="6">
        <v>0.0</v>
      </c>
      <c r="F376" s="6">
        <v>0.0</v>
      </c>
      <c r="G376" s="6">
        <v>0.0</v>
      </c>
      <c r="H376" s="6">
        <v>74818.0</v>
      </c>
    </row>
    <row r="377" ht="15.75" customHeight="1">
      <c r="A377" s="4">
        <v>374.0</v>
      </c>
      <c r="B377" s="4" t="s">
        <v>767</v>
      </c>
      <c r="C377" s="4" t="s">
        <v>768</v>
      </c>
      <c r="D377" s="4" t="s">
        <v>36</v>
      </c>
      <c r="E377" s="6">
        <v>0.0</v>
      </c>
      <c r="F377" s="6">
        <v>0.0</v>
      </c>
      <c r="G377" s="6">
        <v>0.0</v>
      </c>
      <c r="H377" s="6">
        <v>617742.0</v>
      </c>
    </row>
    <row r="378" ht="15.75" customHeight="1">
      <c r="A378" s="4">
        <v>375.0</v>
      </c>
      <c r="B378" s="4" t="s">
        <v>769</v>
      </c>
      <c r="C378" s="4" t="s">
        <v>770</v>
      </c>
      <c r="D378" s="4" t="s">
        <v>116</v>
      </c>
      <c r="E378" s="6">
        <v>0.0</v>
      </c>
      <c r="F378" s="6">
        <v>0.0</v>
      </c>
      <c r="G378" s="6">
        <v>0.0</v>
      </c>
      <c r="H378" s="6">
        <v>522702.0</v>
      </c>
    </row>
    <row r="379" ht="15.75" customHeight="1">
      <c r="A379" s="4">
        <v>376.0</v>
      </c>
      <c r="B379" s="4" t="s">
        <v>771</v>
      </c>
      <c r="C379" s="4" t="s">
        <v>772</v>
      </c>
      <c r="D379" s="4" t="s">
        <v>116</v>
      </c>
      <c r="E379" s="6">
        <v>0.0</v>
      </c>
      <c r="F379" s="6">
        <v>0.0</v>
      </c>
      <c r="G379" s="6">
        <v>0.0</v>
      </c>
      <c r="H379" s="6">
        <v>693561.0</v>
      </c>
    </row>
    <row r="380" ht="15.75" customHeight="1">
      <c r="A380" s="4">
        <v>377.0</v>
      </c>
      <c r="B380" s="4" t="s">
        <v>773</v>
      </c>
      <c r="C380" s="4" t="s">
        <v>774</v>
      </c>
      <c r="D380" s="4" t="s">
        <v>116</v>
      </c>
      <c r="E380" s="6">
        <v>0.0</v>
      </c>
      <c r="F380" s="6">
        <v>0.0</v>
      </c>
      <c r="G380" s="6">
        <v>0.0</v>
      </c>
      <c r="H380" s="6">
        <v>598521.0</v>
      </c>
    </row>
    <row r="381" ht="15.75" customHeight="1">
      <c r="A381" s="4">
        <v>378.0</v>
      </c>
      <c r="B381" s="4" t="s">
        <v>775</v>
      </c>
      <c r="C381" s="4" t="s">
        <v>776</v>
      </c>
      <c r="D381" s="4" t="s">
        <v>116</v>
      </c>
      <c r="E381" s="6">
        <v>0.0</v>
      </c>
      <c r="F381" s="6">
        <v>0.0</v>
      </c>
      <c r="G381" s="6">
        <v>0.0</v>
      </c>
      <c r="H381" s="6">
        <v>607222.0</v>
      </c>
    </row>
    <row r="382" ht="15.75" customHeight="1">
      <c r="A382" s="4">
        <v>379.0</v>
      </c>
      <c r="B382" s="4" t="s">
        <v>777</v>
      </c>
      <c r="C382" s="4" t="s">
        <v>778</v>
      </c>
      <c r="D382" s="4" t="s">
        <v>116</v>
      </c>
      <c r="E382" s="6">
        <v>0.0</v>
      </c>
      <c r="F382" s="6">
        <v>0.0</v>
      </c>
      <c r="G382" s="6">
        <v>0.0</v>
      </c>
      <c r="H382" s="6">
        <v>512182.0</v>
      </c>
    </row>
    <row r="383" ht="15.75" customHeight="1">
      <c r="A383" s="4">
        <v>380.0</v>
      </c>
      <c r="B383" s="4" t="s">
        <v>779</v>
      </c>
      <c r="C383" s="4" t="s">
        <v>780</v>
      </c>
      <c r="D383" s="4" t="s">
        <v>116</v>
      </c>
      <c r="E383" s="6">
        <v>0.0</v>
      </c>
      <c r="F383" s="6">
        <v>0.0</v>
      </c>
      <c r="G383" s="6">
        <v>0.0</v>
      </c>
      <c r="H383" s="6">
        <v>670500.0</v>
      </c>
    </row>
    <row r="384" ht="15.75" customHeight="1">
      <c r="A384" s="4">
        <v>381.0</v>
      </c>
      <c r="B384" s="4" t="s">
        <v>781</v>
      </c>
      <c r="C384" s="4" t="s">
        <v>782</v>
      </c>
      <c r="D384" s="4" t="s">
        <v>116</v>
      </c>
      <c r="E384" s="6">
        <v>0.0</v>
      </c>
      <c r="F384" s="6">
        <v>0.0</v>
      </c>
      <c r="G384" s="6">
        <v>0.0</v>
      </c>
      <c r="H384" s="6">
        <v>575460.0</v>
      </c>
    </row>
    <row r="385" ht="15.75" customHeight="1">
      <c r="A385" s="4">
        <v>382.0</v>
      </c>
      <c r="B385" s="4" t="s">
        <v>783</v>
      </c>
      <c r="C385" s="4" t="s">
        <v>784</v>
      </c>
      <c r="D385" s="4" t="s">
        <v>116</v>
      </c>
      <c r="E385" s="6">
        <v>0.0</v>
      </c>
      <c r="F385" s="6">
        <v>0.0</v>
      </c>
      <c r="G385" s="6">
        <v>0.0</v>
      </c>
      <c r="H385" s="6">
        <v>712085.0</v>
      </c>
    </row>
    <row r="386" ht="15.75" customHeight="1">
      <c r="A386" s="4">
        <v>383.0</v>
      </c>
      <c r="B386" s="4" t="s">
        <v>785</v>
      </c>
      <c r="C386" s="4" t="s">
        <v>786</v>
      </c>
      <c r="D386" s="4" t="s">
        <v>116</v>
      </c>
      <c r="E386" s="6">
        <v>0.0</v>
      </c>
      <c r="F386" s="6">
        <v>0.0</v>
      </c>
      <c r="G386" s="6">
        <v>0.0</v>
      </c>
      <c r="H386" s="6">
        <v>712085.0</v>
      </c>
    </row>
    <row r="387" ht="15.75" customHeight="1">
      <c r="A387" s="4">
        <v>384.0</v>
      </c>
      <c r="B387" s="4" t="s">
        <v>787</v>
      </c>
      <c r="C387" s="4" t="s">
        <v>788</v>
      </c>
      <c r="D387" s="4" t="s">
        <v>116</v>
      </c>
      <c r="E387" s="6">
        <v>0.0</v>
      </c>
      <c r="F387" s="6">
        <v>0.0</v>
      </c>
      <c r="G387" s="6">
        <v>0.0</v>
      </c>
      <c r="H387" s="6">
        <v>775341.0</v>
      </c>
    </row>
    <row r="388" ht="15.75" customHeight="1">
      <c r="A388" s="4">
        <v>385.0</v>
      </c>
      <c r="B388" s="4" t="s">
        <v>789</v>
      </c>
      <c r="C388" s="4" t="s">
        <v>790</v>
      </c>
      <c r="D388" s="4" t="s">
        <v>116</v>
      </c>
      <c r="E388" s="6">
        <v>0.0</v>
      </c>
      <c r="F388" s="6">
        <v>0.0</v>
      </c>
      <c r="G388" s="6">
        <v>0.0</v>
      </c>
      <c r="H388" s="6">
        <v>775341.0</v>
      </c>
    </row>
    <row r="389" ht="15.75" customHeight="1">
      <c r="A389" s="9">
        <v>386.0</v>
      </c>
      <c r="B389" s="9" t="s">
        <v>791</v>
      </c>
      <c r="C389" s="10" t="s">
        <v>792</v>
      </c>
      <c r="D389" s="9"/>
      <c r="E389" s="11"/>
      <c r="F389" s="11"/>
      <c r="G389" s="11"/>
      <c r="H389" s="11"/>
    </row>
    <row r="390" ht="15.75" customHeight="1">
      <c r="A390" s="9">
        <v>387.0</v>
      </c>
      <c r="B390" s="9" t="s">
        <v>793</v>
      </c>
      <c r="C390" s="10" t="s">
        <v>794</v>
      </c>
      <c r="D390" s="9"/>
      <c r="E390" s="11"/>
      <c r="F390" s="11"/>
      <c r="G390" s="11"/>
      <c r="H390" s="11"/>
    </row>
    <row r="391" ht="15.75" customHeight="1">
      <c r="A391" s="9">
        <v>388.0</v>
      </c>
      <c r="B391" s="9" t="s">
        <v>795</v>
      </c>
      <c r="C391" s="10" t="s">
        <v>796</v>
      </c>
      <c r="D391" s="9"/>
      <c r="E391" s="11"/>
      <c r="F391" s="11"/>
      <c r="G391" s="11"/>
      <c r="H391" s="11"/>
    </row>
    <row r="392" ht="15.75" customHeight="1">
      <c r="A392" s="4">
        <v>389.0</v>
      </c>
      <c r="B392" s="4" t="s">
        <v>797</v>
      </c>
      <c r="C392" s="4" t="s">
        <v>798</v>
      </c>
      <c r="D392" s="4" t="s">
        <v>36</v>
      </c>
      <c r="E392" s="6">
        <v>27687.5</v>
      </c>
      <c r="F392" s="6">
        <v>70000.0</v>
      </c>
      <c r="G392" s="6">
        <v>0.0</v>
      </c>
      <c r="H392" s="6">
        <v>107456.0</v>
      </c>
    </row>
    <row r="393" ht="15.75" customHeight="1">
      <c r="A393" s="4">
        <v>390.0</v>
      </c>
      <c r="B393" s="4" t="s">
        <v>799</v>
      </c>
      <c r="C393" s="4" t="s">
        <v>800</v>
      </c>
      <c r="D393" s="4" t="s">
        <v>36</v>
      </c>
      <c r="E393" s="6">
        <v>27687.5</v>
      </c>
      <c r="F393" s="6">
        <v>145000.0</v>
      </c>
      <c r="G393" s="6">
        <v>0.0</v>
      </c>
      <c r="H393" s="6">
        <v>189956.0</v>
      </c>
    </row>
    <row r="394" ht="15.75" customHeight="1">
      <c r="A394" s="4">
        <v>391.0</v>
      </c>
      <c r="B394" s="4" t="s">
        <v>801</v>
      </c>
      <c r="C394" s="4" t="s">
        <v>802</v>
      </c>
      <c r="D394" s="4" t="s">
        <v>36</v>
      </c>
      <c r="E394" s="6">
        <v>27687.5</v>
      </c>
      <c r="F394" s="6">
        <v>63600.0</v>
      </c>
      <c r="G394" s="6">
        <v>0.0</v>
      </c>
      <c r="H394" s="6">
        <v>100416.0</v>
      </c>
    </row>
    <row r="395" ht="15.75" customHeight="1">
      <c r="A395" s="4">
        <v>392.0</v>
      </c>
      <c r="B395" s="4" t="s">
        <v>803</v>
      </c>
      <c r="C395" s="4" t="s">
        <v>804</v>
      </c>
      <c r="D395" s="4" t="s">
        <v>36</v>
      </c>
      <c r="E395" s="6">
        <v>36910.0</v>
      </c>
      <c r="F395" s="6">
        <v>75400.0</v>
      </c>
      <c r="G395" s="6">
        <v>0.0</v>
      </c>
      <c r="H395" s="6">
        <v>123541.0</v>
      </c>
    </row>
    <row r="396" ht="15.75" customHeight="1">
      <c r="A396" s="4">
        <v>393.0</v>
      </c>
      <c r="B396" s="4" t="s">
        <v>805</v>
      </c>
      <c r="C396" s="4" t="s">
        <v>806</v>
      </c>
      <c r="D396" s="4" t="s">
        <v>36</v>
      </c>
      <c r="E396" s="6">
        <v>73840.0</v>
      </c>
      <c r="F396" s="6">
        <v>72700.0</v>
      </c>
      <c r="G396" s="6">
        <v>0.0</v>
      </c>
      <c r="H396" s="6">
        <v>161194.0</v>
      </c>
    </row>
    <row r="397" ht="15.75" customHeight="1">
      <c r="A397" s="4">
        <v>394.0</v>
      </c>
      <c r="B397" s="4" t="s">
        <v>807</v>
      </c>
      <c r="C397" s="4" t="s">
        <v>808</v>
      </c>
      <c r="D397" s="4" t="s">
        <v>36</v>
      </c>
      <c r="E397" s="6">
        <v>73840.0</v>
      </c>
      <c r="F397" s="6">
        <v>62200.0</v>
      </c>
      <c r="G397" s="6">
        <v>0.0</v>
      </c>
      <c r="H397" s="6">
        <v>149644.0</v>
      </c>
    </row>
    <row r="398" ht="15.75" customHeight="1">
      <c r="A398" s="4">
        <v>395.0</v>
      </c>
      <c r="B398" s="4" t="s">
        <v>809</v>
      </c>
      <c r="C398" s="4" t="s">
        <v>810</v>
      </c>
      <c r="D398" s="4" t="s">
        <v>36</v>
      </c>
      <c r="E398" s="6">
        <v>73840.0</v>
      </c>
      <c r="F398" s="6">
        <v>62000.0</v>
      </c>
      <c r="G398" s="6">
        <v>0.0</v>
      </c>
      <c r="H398" s="6">
        <v>149424.0</v>
      </c>
    </row>
    <row r="399" ht="15.75" customHeight="1">
      <c r="A399" s="4">
        <v>396.0</v>
      </c>
      <c r="B399" s="4" t="s">
        <v>811</v>
      </c>
      <c r="C399" s="4" t="s">
        <v>812</v>
      </c>
      <c r="D399" s="4" t="s">
        <v>36</v>
      </c>
      <c r="E399" s="6">
        <v>73840.0</v>
      </c>
      <c r="F399" s="6">
        <v>64990.0</v>
      </c>
      <c r="G399" s="6">
        <v>0.0</v>
      </c>
      <c r="H399" s="6">
        <v>152713.0</v>
      </c>
    </row>
    <row r="400" ht="15.75" customHeight="1">
      <c r="A400" s="9">
        <v>397.0</v>
      </c>
      <c r="B400" s="9" t="s">
        <v>813</v>
      </c>
      <c r="C400" s="10" t="s">
        <v>814</v>
      </c>
      <c r="D400" s="9"/>
      <c r="E400" s="11"/>
      <c r="F400" s="11"/>
      <c r="G400" s="11"/>
      <c r="H400" s="11"/>
    </row>
    <row r="401" ht="15.75" customHeight="1">
      <c r="A401" s="4">
        <v>398.0</v>
      </c>
      <c r="B401" s="4" t="s">
        <v>815</v>
      </c>
      <c r="C401" s="4" t="s">
        <v>816</v>
      </c>
      <c r="D401" s="4" t="s">
        <v>36</v>
      </c>
      <c r="E401" s="6">
        <v>26687.5</v>
      </c>
      <c r="F401" s="6">
        <v>59035.2</v>
      </c>
      <c r="G401" s="6">
        <v>0.0</v>
      </c>
      <c r="H401" s="6">
        <v>94294.0</v>
      </c>
    </row>
    <row r="402" ht="15.75" customHeight="1">
      <c r="A402" s="4">
        <v>399.0</v>
      </c>
      <c r="B402" s="4" t="s">
        <v>817</v>
      </c>
      <c r="C402" s="4" t="s">
        <v>818</v>
      </c>
      <c r="D402" s="4" t="s">
        <v>36</v>
      </c>
      <c r="E402" s="6">
        <v>26687.5</v>
      </c>
      <c r="F402" s="6">
        <v>65275.2</v>
      </c>
      <c r="G402" s="6">
        <v>0.0</v>
      </c>
      <c r="H402" s="6">
        <v>101158.0</v>
      </c>
    </row>
    <row r="403" ht="15.75" customHeight="1">
      <c r="A403" s="4">
        <v>400.0</v>
      </c>
      <c r="B403" s="4" t="s">
        <v>819</v>
      </c>
      <c r="C403" s="4" t="s">
        <v>820</v>
      </c>
      <c r="D403" s="4" t="s">
        <v>36</v>
      </c>
      <c r="E403" s="6">
        <v>25835.0</v>
      </c>
      <c r="F403" s="6">
        <v>58735.2</v>
      </c>
      <c r="G403" s="6">
        <v>0.0</v>
      </c>
      <c r="H403" s="6">
        <v>93027.0</v>
      </c>
    </row>
    <row r="404" ht="15.75" customHeight="1">
      <c r="A404" s="4">
        <v>401.0</v>
      </c>
      <c r="B404" s="4" t="s">
        <v>821</v>
      </c>
      <c r="C404" s="4" t="s">
        <v>822</v>
      </c>
      <c r="D404" s="4" t="s">
        <v>36</v>
      </c>
      <c r="E404" s="6">
        <v>25835.0</v>
      </c>
      <c r="F404" s="6">
        <v>66460.2</v>
      </c>
      <c r="G404" s="6">
        <v>0.0</v>
      </c>
      <c r="H404" s="6">
        <v>101524.0</v>
      </c>
    </row>
    <row r="405" ht="15.75" customHeight="1">
      <c r="A405" s="4">
        <v>402.0</v>
      </c>
      <c r="B405" s="4" t="s">
        <v>823</v>
      </c>
      <c r="C405" s="4" t="s">
        <v>824</v>
      </c>
      <c r="D405" s="4" t="s">
        <v>36</v>
      </c>
      <c r="E405" s="6">
        <v>25835.0</v>
      </c>
      <c r="F405" s="6">
        <v>39463.2</v>
      </c>
      <c r="G405" s="6">
        <v>0.0</v>
      </c>
      <c r="H405" s="6">
        <v>71828.0</v>
      </c>
    </row>
    <row r="406" ht="15.75" customHeight="1">
      <c r="A406" s="4">
        <v>403.0</v>
      </c>
      <c r="B406" s="4" t="s">
        <v>825</v>
      </c>
      <c r="C406" s="4" t="s">
        <v>826</v>
      </c>
      <c r="D406" s="4" t="s">
        <v>36</v>
      </c>
      <c r="E406" s="6">
        <v>25835.0</v>
      </c>
      <c r="F406" s="6">
        <v>49585.2</v>
      </c>
      <c r="G406" s="6">
        <v>0.0</v>
      </c>
      <c r="H406" s="6">
        <v>82962.0</v>
      </c>
    </row>
    <row r="407" ht="15.75" customHeight="1">
      <c r="A407" s="4">
        <v>404.0</v>
      </c>
      <c r="B407" s="4" t="s">
        <v>827</v>
      </c>
      <c r="C407" s="4" t="s">
        <v>828</v>
      </c>
      <c r="D407" s="4" t="s">
        <v>36</v>
      </c>
      <c r="E407" s="6">
        <v>25835.0</v>
      </c>
      <c r="F407" s="6">
        <v>59535.2</v>
      </c>
      <c r="G407" s="6">
        <v>0.0</v>
      </c>
      <c r="H407" s="6">
        <v>93907.0</v>
      </c>
    </row>
    <row r="408" ht="15.75" customHeight="1">
      <c r="A408" s="4">
        <v>405.0</v>
      </c>
      <c r="B408" s="4" t="s">
        <v>829</v>
      </c>
      <c r="C408" s="4" t="s">
        <v>830</v>
      </c>
      <c r="D408" s="4" t="s">
        <v>36</v>
      </c>
      <c r="E408" s="6">
        <v>25835.0</v>
      </c>
      <c r="F408" s="6">
        <v>66085.2</v>
      </c>
      <c r="G408" s="6">
        <v>0.0</v>
      </c>
      <c r="H408" s="6">
        <v>101112.0</v>
      </c>
    </row>
    <row r="409" ht="15.75" customHeight="1">
      <c r="A409" s="4">
        <v>406.0</v>
      </c>
      <c r="B409" s="4" t="s">
        <v>831</v>
      </c>
      <c r="C409" s="4" t="s">
        <v>832</v>
      </c>
      <c r="D409" s="4" t="s">
        <v>36</v>
      </c>
      <c r="E409" s="6">
        <v>25835.0</v>
      </c>
      <c r="F409" s="6">
        <v>98335.2</v>
      </c>
      <c r="G409" s="6">
        <v>0.0</v>
      </c>
      <c r="H409" s="6">
        <v>136587.0</v>
      </c>
    </row>
    <row r="410" ht="15.75" customHeight="1">
      <c r="A410" s="4">
        <v>407.0</v>
      </c>
      <c r="B410" s="4" t="s">
        <v>833</v>
      </c>
      <c r="C410" s="4" t="s">
        <v>834</v>
      </c>
      <c r="D410" s="4" t="s">
        <v>36</v>
      </c>
      <c r="E410" s="6">
        <v>25835.0</v>
      </c>
      <c r="F410" s="6">
        <v>50805.2</v>
      </c>
      <c r="G410" s="6">
        <v>0.0</v>
      </c>
      <c r="H410" s="6">
        <v>84304.0</v>
      </c>
    </row>
    <row r="411" ht="15.75" customHeight="1">
      <c r="A411" s="4">
        <v>408.0</v>
      </c>
      <c r="B411" s="4" t="s">
        <v>835</v>
      </c>
      <c r="C411" s="4" t="s">
        <v>836</v>
      </c>
      <c r="D411" s="4" t="s">
        <v>36</v>
      </c>
      <c r="E411" s="6">
        <v>25835.0</v>
      </c>
      <c r="F411" s="6">
        <v>45427.2</v>
      </c>
      <c r="G411" s="6">
        <v>0.0</v>
      </c>
      <c r="H411" s="6">
        <v>78388.0</v>
      </c>
    </row>
    <row r="412" ht="15.75" customHeight="1">
      <c r="A412" s="4">
        <v>409.0</v>
      </c>
      <c r="B412" s="4" t="s">
        <v>837</v>
      </c>
      <c r="C412" s="4" t="s">
        <v>838</v>
      </c>
      <c r="D412" s="4" t="s">
        <v>36</v>
      </c>
      <c r="E412" s="6">
        <v>25835.0</v>
      </c>
      <c r="F412" s="6">
        <v>48151.2</v>
      </c>
      <c r="G412" s="6">
        <v>0.0</v>
      </c>
      <c r="H412" s="6">
        <v>81384.0</v>
      </c>
    </row>
    <row r="413" ht="15.75" customHeight="1">
      <c r="A413" s="4">
        <v>410.0</v>
      </c>
      <c r="B413" s="4" t="s">
        <v>839</v>
      </c>
      <c r="C413" s="4" t="s">
        <v>840</v>
      </c>
      <c r="D413" s="4" t="s">
        <v>36</v>
      </c>
      <c r="E413" s="6">
        <v>25835.0</v>
      </c>
      <c r="F413" s="6">
        <v>47856.2</v>
      </c>
      <c r="G413" s="6">
        <v>0.0</v>
      </c>
      <c r="H413" s="6">
        <v>81060.0</v>
      </c>
    </row>
    <row r="414" ht="15.75" customHeight="1">
      <c r="A414" s="4">
        <v>411.0</v>
      </c>
      <c r="B414" s="4" t="s">
        <v>841</v>
      </c>
      <c r="C414" s="4" t="s">
        <v>842</v>
      </c>
      <c r="D414" s="4" t="s">
        <v>36</v>
      </c>
      <c r="E414" s="6">
        <v>25835.0</v>
      </c>
      <c r="F414" s="6">
        <v>55345.19999999999</v>
      </c>
      <c r="G414" s="6">
        <v>0.0</v>
      </c>
      <c r="H414" s="6">
        <v>89298.0</v>
      </c>
    </row>
    <row r="415" ht="15.75" customHeight="1">
      <c r="A415" s="4">
        <v>412.0</v>
      </c>
      <c r="B415" s="4" t="s">
        <v>843</v>
      </c>
      <c r="C415" s="4" t="s">
        <v>844</v>
      </c>
      <c r="D415" s="4" t="s">
        <v>27</v>
      </c>
      <c r="E415" s="6">
        <v>29552.5</v>
      </c>
      <c r="F415" s="6">
        <v>324540.0</v>
      </c>
      <c r="G415" s="6">
        <v>0.0</v>
      </c>
      <c r="H415" s="6">
        <v>389501.0</v>
      </c>
    </row>
    <row r="416" ht="15.75" customHeight="1">
      <c r="A416" s="4">
        <v>413.0</v>
      </c>
      <c r="B416" s="4" t="s">
        <v>845</v>
      </c>
      <c r="C416" s="4" t="s">
        <v>846</v>
      </c>
      <c r="D416" s="4" t="s">
        <v>27</v>
      </c>
      <c r="E416" s="6">
        <v>29552.5</v>
      </c>
      <c r="F416" s="6">
        <v>327540.0</v>
      </c>
      <c r="G416" s="6">
        <v>0.0</v>
      </c>
      <c r="H416" s="6">
        <v>392801.0</v>
      </c>
    </row>
    <row r="417" ht="15.75" customHeight="1">
      <c r="A417" s="4">
        <v>414.0</v>
      </c>
      <c r="B417" s="4" t="s">
        <v>847</v>
      </c>
      <c r="C417" s="4" t="s">
        <v>848</v>
      </c>
      <c r="D417" s="4" t="s">
        <v>27</v>
      </c>
      <c r="E417" s="6">
        <v>29552.5</v>
      </c>
      <c r="F417" s="6">
        <v>340540.0</v>
      </c>
      <c r="G417" s="6">
        <v>0.0</v>
      </c>
      <c r="H417" s="6">
        <v>407101.0</v>
      </c>
    </row>
    <row r="418" ht="15.75" customHeight="1">
      <c r="A418" s="4">
        <v>415.0</v>
      </c>
      <c r="B418" s="4" t="s">
        <v>849</v>
      </c>
      <c r="C418" s="4" t="s">
        <v>850</v>
      </c>
      <c r="D418" s="4" t="s">
        <v>27</v>
      </c>
      <c r="E418" s="6">
        <v>29552.5</v>
      </c>
      <c r="F418" s="6">
        <v>252040.0</v>
      </c>
      <c r="G418" s="6">
        <v>0.0</v>
      </c>
      <c r="H418" s="6">
        <v>309751.0</v>
      </c>
    </row>
    <row r="419" ht="15.75" customHeight="1">
      <c r="A419" s="4">
        <v>416.0</v>
      </c>
      <c r="B419" s="4" t="s">
        <v>851</v>
      </c>
      <c r="C419" s="4" t="s">
        <v>852</v>
      </c>
      <c r="D419" s="4" t="s">
        <v>27</v>
      </c>
      <c r="E419" s="6">
        <v>29552.5</v>
      </c>
      <c r="F419" s="6">
        <v>264540.0</v>
      </c>
      <c r="G419" s="6">
        <v>0.0</v>
      </c>
      <c r="H419" s="6">
        <v>323501.0</v>
      </c>
    </row>
    <row r="420" ht="15.75" customHeight="1">
      <c r="A420" s="4">
        <v>417.0</v>
      </c>
      <c r="B420" s="4" t="s">
        <v>853</v>
      </c>
      <c r="C420" s="4" t="s">
        <v>854</v>
      </c>
      <c r="D420" s="4" t="s">
        <v>27</v>
      </c>
      <c r="E420" s="6">
        <v>29552.5</v>
      </c>
      <c r="F420" s="6">
        <v>270540.0</v>
      </c>
      <c r="G420" s="6">
        <v>0.0</v>
      </c>
      <c r="H420" s="6">
        <v>330101.0</v>
      </c>
    </row>
    <row r="421" ht="15.75" customHeight="1">
      <c r="A421" s="4">
        <v>418.0</v>
      </c>
      <c r="B421" s="4" t="s">
        <v>855</v>
      </c>
      <c r="C421" s="4" t="s">
        <v>856</v>
      </c>
      <c r="D421" s="4" t="s">
        <v>27</v>
      </c>
      <c r="E421" s="6">
        <v>29552.5</v>
      </c>
      <c r="F421" s="6">
        <v>257540.0</v>
      </c>
      <c r="G421" s="6">
        <v>0.0</v>
      </c>
      <c r="H421" s="6">
        <v>315801.0</v>
      </c>
    </row>
    <row r="422" ht="15.75" customHeight="1">
      <c r="A422" s="4">
        <v>419.0</v>
      </c>
      <c r="B422" s="4" t="s">
        <v>857</v>
      </c>
      <c r="C422" s="4" t="s">
        <v>858</v>
      </c>
      <c r="D422" s="4" t="s">
        <v>27</v>
      </c>
      <c r="E422" s="6">
        <v>29552.5</v>
      </c>
      <c r="F422" s="6">
        <v>263040.0</v>
      </c>
      <c r="G422" s="6">
        <v>0.0</v>
      </c>
      <c r="H422" s="6">
        <v>321851.0</v>
      </c>
    </row>
    <row r="423" ht="15.75" customHeight="1">
      <c r="A423" s="4">
        <v>420.0</v>
      </c>
      <c r="B423" s="4" t="s">
        <v>859</v>
      </c>
      <c r="C423" s="4" t="s">
        <v>860</v>
      </c>
      <c r="D423" s="4" t="s">
        <v>27</v>
      </c>
      <c r="E423" s="6">
        <v>29552.5</v>
      </c>
      <c r="F423" s="6">
        <v>268540.0</v>
      </c>
      <c r="G423" s="6">
        <v>0.0</v>
      </c>
      <c r="H423" s="6">
        <v>327901.0</v>
      </c>
    </row>
    <row r="424" ht="15.75" customHeight="1">
      <c r="A424" s="9">
        <v>421.0</v>
      </c>
      <c r="B424" s="9" t="s">
        <v>861</v>
      </c>
      <c r="C424" s="10" t="s">
        <v>862</v>
      </c>
      <c r="D424" s="9"/>
      <c r="E424" s="11"/>
      <c r="F424" s="11"/>
      <c r="G424" s="11"/>
      <c r="H424" s="11"/>
    </row>
    <row r="425" ht="15.75" customHeight="1">
      <c r="A425" s="4">
        <v>422.0</v>
      </c>
      <c r="B425" s="4" t="s">
        <v>863</v>
      </c>
      <c r="C425" s="4" t="s">
        <v>864</v>
      </c>
      <c r="D425" s="4" t="s">
        <v>36</v>
      </c>
      <c r="E425" s="6">
        <v>22150.0</v>
      </c>
      <c r="F425" s="6">
        <v>59799.99999999999</v>
      </c>
      <c r="G425" s="6">
        <v>0.0</v>
      </c>
      <c r="H425" s="6">
        <v>90145.0</v>
      </c>
    </row>
    <row r="426" ht="15.75" customHeight="1">
      <c r="A426" s="4">
        <v>423.0</v>
      </c>
      <c r="B426" s="4" t="s">
        <v>865</v>
      </c>
      <c r="C426" s="4" t="s">
        <v>866</v>
      </c>
      <c r="D426" s="4" t="s">
        <v>36</v>
      </c>
      <c r="E426" s="6">
        <v>141875.0</v>
      </c>
      <c r="F426" s="6">
        <v>135689.2</v>
      </c>
      <c r="G426" s="6">
        <v>0.0</v>
      </c>
      <c r="H426" s="6">
        <v>305320.0</v>
      </c>
    </row>
    <row r="427" ht="15.75" customHeight="1">
      <c r="A427" s="4">
        <v>424.0</v>
      </c>
      <c r="B427" s="4" t="s">
        <v>867</v>
      </c>
      <c r="C427" s="4" t="s">
        <v>868</v>
      </c>
      <c r="D427" s="4" t="s">
        <v>36</v>
      </c>
      <c r="E427" s="6">
        <v>58885.0</v>
      </c>
      <c r="F427" s="6">
        <v>153000.0</v>
      </c>
      <c r="G427" s="6">
        <v>0.0</v>
      </c>
      <c r="H427" s="6">
        <v>233073.0</v>
      </c>
    </row>
    <row r="428" ht="15.75" customHeight="1">
      <c r="A428" s="4">
        <v>425.0</v>
      </c>
      <c r="B428" s="4" t="s">
        <v>869</v>
      </c>
      <c r="C428" s="4" t="s">
        <v>870</v>
      </c>
      <c r="D428" s="4" t="s">
        <v>36</v>
      </c>
      <c r="E428" s="6">
        <v>25327.5</v>
      </c>
      <c r="F428" s="6">
        <v>76124.03</v>
      </c>
      <c r="G428" s="6">
        <v>0.0</v>
      </c>
      <c r="H428" s="6">
        <v>111596.0</v>
      </c>
    </row>
    <row r="429" ht="15.75" customHeight="1">
      <c r="A429" s="4">
        <v>426.0</v>
      </c>
      <c r="B429" s="4" t="s">
        <v>871</v>
      </c>
      <c r="C429" s="4" t="s">
        <v>872</v>
      </c>
      <c r="D429" s="4" t="s">
        <v>36</v>
      </c>
      <c r="E429" s="6">
        <v>36910.0</v>
      </c>
      <c r="F429" s="6">
        <v>32840.0</v>
      </c>
      <c r="G429" s="6">
        <v>0.0</v>
      </c>
      <c r="H429" s="6">
        <v>76725.0</v>
      </c>
    </row>
    <row r="430" ht="15.75" customHeight="1">
      <c r="A430" s="4">
        <v>427.0</v>
      </c>
      <c r="B430" s="4" t="s">
        <v>873</v>
      </c>
      <c r="C430" s="4" t="s">
        <v>874</v>
      </c>
      <c r="D430" s="4" t="s">
        <v>36</v>
      </c>
      <c r="E430" s="6">
        <v>70750.0</v>
      </c>
      <c r="F430" s="6">
        <v>262420.0</v>
      </c>
      <c r="G430" s="6">
        <v>0.0</v>
      </c>
      <c r="H430" s="6">
        <v>366487.0</v>
      </c>
    </row>
    <row r="431" ht="15.75" customHeight="1">
      <c r="A431" s="4">
        <v>428.0</v>
      </c>
      <c r="B431" s="4" t="s">
        <v>875</v>
      </c>
      <c r="C431" s="4" t="s">
        <v>876</v>
      </c>
      <c r="D431" s="4" t="s">
        <v>36</v>
      </c>
      <c r="E431" s="6">
        <v>24614.0</v>
      </c>
      <c r="F431" s="6">
        <v>147000.0</v>
      </c>
      <c r="G431" s="6">
        <v>0.0</v>
      </c>
      <c r="H431" s="6">
        <v>188775.0</v>
      </c>
    </row>
    <row r="432" ht="15.75" customHeight="1">
      <c r="A432" s="4">
        <v>429.0</v>
      </c>
      <c r="B432" s="4" t="s">
        <v>877</v>
      </c>
      <c r="C432" s="4" t="s">
        <v>878</v>
      </c>
      <c r="D432" s="4" t="s">
        <v>36</v>
      </c>
      <c r="E432" s="6">
        <v>14760.0</v>
      </c>
      <c r="F432" s="6">
        <v>108513.5</v>
      </c>
      <c r="G432" s="6">
        <v>0.0</v>
      </c>
      <c r="H432" s="6">
        <v>135600.0</v>
      </c>
    </row>
    <row r="433" ht="15.75" customHeight="1">
      <c r="A433" s="4">
        <v>430.0</v>
      </c>
      <c r="B433" s="4" t="s">
        <v>879</v>
      </c>
      <c r="C433" s="4" t="s">
        <v>880</v>
      </c>
      <c r="D433" s="4" t="s">
        <v>36</v>
      </c>
      <c r="E433" s="6">
        <v>46850.0</v>
      </c>
      <c r="F433" s="6">
        <v>661655.0</v>
      </c>
      <c r="G433" s="6">
        <v>0.0</v>
      </c>
      <c r="H433" s="6">
        <v>0.0</v>
      </c>
    </row>
    <row r="434" ht="15.75" customHeight="1">
      <c r="A434" s="4">
        <v>431.0</v>
      </c>
      <c r="B434" s="4" t="s">
        <v>881</v>
      </c>
      <c r="C434" s="4" t="s">
        <v>882</v>
      </c>
      <c r="D434" s="4" t="s">
        <v>36</v>
      </c>
      <c r="E434" s="6">
        <v>0.0</v>
      </c>
      <c r="F434" s="6">
        <v>0.0</v>
      </c>
      <c r="G434" s="6">
        <v>0.0</v>
      </c>
      <c r="H434" s="6">
        <v>779355.0</v>
      </c>
    </row>
    <row r="435" ht="15.75" customHeight="1">
      <c r="A435" s="4">
        <v>432.0</v>
      </c>
      <c r="B435" s="4" t="s">
        <v>883</v>
      </c>
      <c r="C435" s="4" t="s">
        <v>884</v>
      </c>
      <c r="D435" s="4" t="s">
        <v>27</v>
      </c>
      <c r="E435" s="6">
        <v>26835.0</v>
      </c>
      <c r="F435" s="6">
        <v>22260.0</v>
      </c>
      <c r="G435" s="6">
        <v>0.0</v>
      </c>
      <c r="H435" s="6">
        <v>54004.0</v>
      </c>
    </row>
    <row r="436" ht="15.75" customHeight="1">
      <c r="A436" s="4">
        <v>433.0</v>
      </c>
      <c r="B436" s="4" t="s">
        <v>885</v>
      </c>
      <c r="C436" s="4" t="s">
        <v>886</v>
      </c>
      <c r="D436" s="4" t="s">
        <v>887</v>
      </c>
      <c r="E436" s="6">
        <v>179160.0</v>
      </c>
      <c r="F436" s="6">
        <v>80789.2</v>
      </c>
      <c r="G436" s="6">
        <v>0.0</v>
      </c>
      <c r="H436" s="6">
        <v>285944.0</v>
      </c>
    </row>
    <row r="437" ht="15.75" customHeight="1">
      <c r="A437" s="4">
        <v>434.0</v>
      </c>
      <c r="B437" s="4" t="s">
        <v>888</v>
      </c>
      <c r="C437" s="4" t="s">
        <v>889</v>
      </c>
      <c r="D437" s="4" t="s">
        <v>27</v>
      </c>
      <c r="E437" s="6">
        <v>54785.0</v>
      </c>
      <c r="F437" s="6">
        <v>29630.0</v>
      </c>
      <c r="G437" s="6">
        <v>0.0</v>
      </c>
      <c r="H437" s="6">
        <v>92856.0</v>
      </c>
    </row>
    <row r="438" ht="15.75" customHeight="1">
      <c r="A438" s="4">
        <v>435.0</v>
      </c>
      <c r="B438" s="4" t="s">
        <v>890</v>
      </c>
      <c r="C438" s="4" t="s">
        <v>891</v>
      </c>
      <c r="D438" s="4" t="s">
        <v>27</v>
      </c>
      <c r="E438" s="6">
        <v>54785.0</v>
      </c>
      <c r="F438" s="6">
        <v>200200.0</v>
      </c>
      <c r="G438" s="6">
        <v>0.0</v>
      </c>
      <c r="H438" s="6">
        <v>280483.0</v>
      </c>
    </row>
    <row r="439" ht="15.75" customHeight="1">
      <c r="A439" s="4">
        <v>436.0</v>
      </c>
      <c r="B439" s="4" t="s">
        <v>892</v>
      </c>
      <c r="C439" s="4" t="s">
        <v>893</v>
      </c>
      <c r="D439" s="4" t="s">
        <v>27</v>
      </c>
      <c r="E439" s="6">
        <v>50375.0</v>
      </c>
      <c r="F439" s="6">
        <v>29664.5</v>
      </c>
      <c r="G439" s="6">
        <v>0.0</v>
      </c>
      <c r="H439" s="6">
        <v>88043.0</v>
      </c>
    </row>
    <row r="440" ht="15.75" customHeight="1">
      <c r="A440" s="9">
        <v>437.0</v>
      </c>
      <c r="B440" s="9" t="s">
        <v>894</v>
      </c>
      <c r="C440" s="10" t="s">
        <v>895</v>
      </c>
      <c r="D440" s="9"/>
      <c r="E440" s="11"/>
      <c r="F440" s="11"/>
      <c r="G440" s="11"/>
      <c r="H440" s="11"/>
    </row>
    <row r="441" ht="15.75" customHeight="1">
      <c r="A441" s="4">
        <v>438.0</v>
      </c>
      <c r="B441" s="4" t="s">
        <v>896</v>
      </c>
      <c r="C441" s="4" t="s">
        <v>897</v>
      </c>
      <c r="D441" s="4" t="s">
        <v>36</v>
      </c>
      <c r="E441" s="6">
        <v>0.0</v>
      </c>
      <c r="F441" s="6">
        <v>0.0</v>
      </c>
      <c r="G441" s="6">
        <v>0.0</v>
      </c>
      <c r="H441" s="6">
        <v>29546.0</v>
      </c>
    </row>
    <row r="442" ht="15.75" customHeight="1">
      <c r="A442" s="4">
        <v>439.0</v>
      </c>
      <c r="B442" s="4" t="s">
        <v>898</v>
      </c>
      <c r="C442" s="4" t="s">
        <v>899</v>
      </c>
      <c r="D442" s="4" t="s">
        <v>36</v>
      </c>
      <c r="E442" s="6">
        <v>0.0</v>
      </c>
      <c r="F442" s="6">
        <v>0.0</v>
      </c>
      <c r="G442" s="6">
        <v>0.0</v>
      </c>
      <c r="H442" s="6">
        <v>102993.0</v>
      </c>
    </row>
    <row r="443" ht="15.75" customHeight="1">
      <c r="A443" s="4">
        <v>440.0</v>
      </c>
      <c r="B443" s="4" t="s">
        <v>900</v>
      </c>
      <c r="C443" s="4" t="s">
        <v>901</v>
      </c>
      <c r="D443" s="4" t="s">
        <v>36</v>
      </c>
      <c r="E443" s="6">
        <v>0.0</v>
      </c>
      <c r="F443" s="6">
        <v>0.0</v>
      </c>
      <c r="G443" s="6">
        <v>0.0</v>
      </c>
      <c r="H443" s="6">
        <v>105011.0</v>
      </c>
    </row>
    <row r="444" ht="15.75" customHeight="1">
      <c r="A444" s="9">
        <v>441.0</v>
      </c>
      <c r="B444" s="9" t="s">
        <v>902</v>
      </c>
      <c r="C444" s="10" t="s">
        <v>903</v>
      </c>
      <c r="D444" s="9"/>
      <c r="E444" s="11"/>
      <c r="F444" s="11"/>
      <c r="G444" s="11"/>
      <c r="H444" s="11"/>
    </row>
    <row r="445" ht="15.75" customHeight="1">
      <c r="A445" s="4">
        <v>442.0</v>
      </c>
      <c r="B445" s="4" t="s">
        <v>904</v>
      </c>
      <c r="C445" s="4" t="s">
        <v>905</v>
      </c>
      <c r="D445" s="4" t="s">
        <v>27</v>
      </c>
      <c r="E445" s="6">
        <v>0.0</v>
      </c>
      <c r="F445" s="6">
        <v>0.0</v>
      </c>
      <c r="G445" s="6">
        <v>0.0</v>
      </c>
      <c r="H445" s="6">
        <v>313296.0</v>
      </c>
    </row>
    <row r="446" ht="15.75" customHeight="1">
      <c r="A446" s="4">
        <v>443.0</v>
      </c>
      <c r="B446" s="4" t="s">
        <v>906</v>
      </c>
      <c r="C446" s="4" t="s">
        <v>907</v>
      </c>
      <c r="D446" s="4" t="s">
        <v>27</v>
      </c>
      <c r="E446" s="6">
        <v>0.0</v>
      </c>
      <c r="F446" s="6">
        <v>0.0</v>
      </c>
      <c r="G446" s="6">
        <v>0.0</v>
      </c>
      <c r="H446" s="6">
        <v>235592.0</v>
      </c>
    </row>
    <row r="447" ht="15.75" customHeight="1">
      <c r="A447" s="4">
        <v>444.0</v>
      </c>
      <c r="B447" s="4" t="s">
        <v>908</v>
      </c>
      <c r="C447" s="4" t="s">
        <v>909</v>
      </c>
      <c r="D447" s="4" t="s">
        <v>27</v>
      </c>
      <c r="E447" s="6">
        <v>0.0</v>
      </c>
      <c r="F447" s="6">
        <v>0.0</v>
      </c>
      <c r="G447" s="6">
        <v>0.0</v>
      </c>
      <c r="H447" s="6">
        <v>216524.0</v>
      </c>
    </row>
    <row r="448" ht="15.75" customHeight="1">
      <c r="A448" s="4">
        <v>445.0</v>
      </c>
      <c r="B448" s="4" t="s">
        <v>910</v>
      </c>
      <c r="C448" s="4" t="s">
        <v>911</v>
      </c>
      <c r="D448" s="4" t="s">
        <v>27</v>
      </c>
      <c r="E448" s="6">
        <v>0.0</v>
      </c>
      <c r="F448" s="6">
        <v>0.0</v>
      </c>
      <c r="G448" s="6">
        <v>0.0</v>
      </c>
      <c r="H448" s="6">
        <v>218614.0</v>
      </c>
    </row>
    <row r="449" ht="15.75" customHeight="1">
      <c r="A449" s="4">
        <v>446.0</v>
      </c>
      <c r="B449" s="4" t="s">
        <v>912</v>
      </c>
      <c r="C449" s="4" t="s">
        <v>913</v>
      </c>
      <c r="D449" s="4" t="s">
        <v>27</v>
      </c>
      <c r="E449" s="6">
        <v>0.0</v>
      </c>
      <c r="F449" s="6">
        <v>0.0</v>
      </c>
      <c r="G449" s="6">
        <v>0.0</v>
      </c>
      <c r="H449" s="6">
        <v>75779.0</v>
      </c>
    </row>
    <row r="450" ht="15.75" customHeight="1">
      <c r="A450" s="4">
        <v>447.0</v>
      </c>
      <c r="B450" s="4" t="s">
        <v>914</v>
      </c>
      <c r="C450" s="4" t="s">
        <v>915</v>
      </c>
      <c r="D450" s="4" t="s">
        <v>27</v>
      </c>
      <c r="E450" s="6">
        <v>0.0</v>
      </c>
      <c r="F450" s="6">
        <v>0.0</v>
      </c>
      <c r="G450" s="6">
        <v>0.0</v>
      </c>
      <c r="H450" s="6">
        <v>73469.0</v>
      </c>
    </row>
    <row r="451" ht="15.75" customHeight="1">
      <c r="A451" s="9">
        <v>448.0</v>
      </c>
      <c r="B451" s="9" t="s">
        <v>916</v>
      </c>
      <c r="C451" s="10" t="s">
        <v>917</v>
      </c>
      <c r="D451" s="9"/>
      <c r="E451" s="11"/>
      <c r="F451" s="11"/>
      <c r="G451" s="11"/>
      <c r="H451" s="11"/>
    </row>
    <row r="452" ht="15.75" customHeight="1">
      <c r="A452" s="4">
        <v>449.0</v>
      </c>
      <c r="B452" s="4" t="s">
        <v>918</v>
      </c>
      <c r="C452" s="4" t="s">
        <v>919</v>
      </c>
      <c r="D452" s="4" t="s">
        <v>36</v>
      </c>
      <c r="E452" s="6">
        <v>0.0</v>
      </c>
      <c r="F452" s="6">
        <v>0.0</v>
      </c>
      <c r="G452" s="6">
        <v>0.0</v>
      </c>
      <c r="H452" s="6">
        <v>207102.0</v>
      </c>
    </row>
    <row r="453" ht="15.75" customHeight="1">
      <c r="A453" s="4">
        <v>450.0</v>
      </c>
      <c r="B453" s="4" t="s">
        <v>920</v>
      </c>
      <c r="C453" s="4" t="s">
        <v>921</v>
      </c>
      <c r="D453" s="4" t="s">
        <v>36</v>
      </c>
      <c r="E453" s="6">
        <v>0.0</v>
      </c>
      <c r="F453" s="6">
        <v>0.0</v>
      </c>
      <c r="G453" s="6">
        <v>0.0</v>
      </c>
      <c r="H453" s="6">
        <v>124330.0</v>
      </c>
    </row>
    <row r="454" ht="15.75" customHeight="1">
      <c r="A454" s="4">
        <v>451.0</v>
      </c>
      <c r="B454" s="4" t="s">
        <v>922</v>
      </c>
      <c r="C454" s="4" t="s">
        <v>923</v>
      </c>
      <c r="D454" s="4" t="s">
        <v>36</v>
      </c>
      <c r="E454" s="6">
        <v>0.0</v>
      </c>
      <c r="F454" s="6">
        <v>0.0</v>
      </c>
      <c r="G454" s="6">
        <v>0.0</v>
      </c>
      <c r="H454" s="6">
        <v>143429.0</v>
      </c>
    </row>
    <row r="455" ht="15.75" customHeight="1">
      <c r="A455" s="4">
        <v>452.0</v>
      </c>
      <c r="B455" s="4" t="s">
        <v>924</v>
      </c>
      <c r="C455" s="4" t="s">
        <v>925</v>
      </c>
      <c r="D455" s="4" t="s">
        <v>36</v>
      </c>
      <c r="E455" s="6">
        <v>0.0</v>
      </c>
      <c r="F455" s="6">
        <v>0.0</v>
      </c>
      <c r="G455" s="6">
        <v>0.0</v>
      </c>
      <c r="H455" s="6">
        <v>127386.0</v>
      </c>
    </row>
    <row r="456" ht="15.75" customHeight="1">
      <c r="A456" s="9">
        <v>453.0</v>
      </c>
      <c r="B456" s="9" t="s">
        <v>926</v>
      </c>
      <c r="C456" s="10" t="s">
        <v>927</v>
      </c>
      <c r="D456" s="9"/>
      <c r="E456" s="11"/>
      <c r="F456" s="11"/>
      <c r="G456" s="11"/>
      <c r="H456" s="11"/>
    </row>
    <row r="457" ht="15.75" customHeight="1">
      <c r="A457" s="9">
        <v>454.0</v>
      </c>
      <c r="B457" s="9" t="s">
        <v>928</v>
      </c>
      <c r="C457" s="10" t="s">
        <v>929</v>
      </c>
      <c r="D457" s="9"/>
      <c r="E457" s="11"/>
      <c r="F457" s="11"/>
      <c r="G457" s="11"/>
      <c r="H457" s="11"/>
    </row>
    <row r="458" ht="15.75" customHeight="1">
      <c r="A458" s="4">
        <v>455.0</v>
      </c>
      <c r="B458" s="4" t="s">
        <v>930</v>
      </c>
      <c r="C458" s="4" t="s">
        <v>931</v>
      </c>
      <c r="D458" s="4" t="s">
        <v>36</v>
      </c>
      <c r="E458" s="6">
        <v>32300.0</v>
      </c>
      <c r="F458" s="6">
        <v>74400.0</v>
      </c>
      <c r="G458" s="6">
        <v>0.0</v>
      </c>
      <c r="H458" s="6">
        <v>117370.0</v>
      </c>
    </row>
    <row r="459" ht="15.75" customHeight="1">
      <c r="A459" s="4">
        <v>456.0</v>
      </c>
      <c r="B459" s="4" t="s">
        <v>932</v>
      </c>
      <c r="C459" s="4" t="s">
        <v>933</v>
      </c>
      <c r="D459" s="4" t="s">
        <v>36</v>
      </c>
      <c r="E459" s="6">
        <v>32300.0</v>
      </c>
      <c r="F459" s="6">
        <v>80620.0</v>
      </c>
      <c r="G459" s="6">
        <v>0.0</v>
      </c>
      <c r="H459" s="6">
        <v>124212.0</v>
      </c>
    </row>
    <row r="460" ht="15.75" customHeight="1">
      <c r="A460" s="4">
        <v>457.0</v>
      </c>
      <c r="B460" s="4" t="s">
        <v>934</v>
      </c>
      <c r="C460" s="4" t="s">
        <v>935</v>
      </c>
      <c r="D460" s="4" t="s">
        <v>36</v>
      </c>
      <c r="E460" s="6">
        <v>26910.0</v>
      </c>
      <c r="F460" s="6">
        <v>36000.0</v>
      </c>
      <c r="G460" s="6">
        <v>0.0</v>
      </c>
      <c r="H460" s="6">
        <v>69201.0</v>
      </c>
    </row>
    <row r="461" ht="15.75" customHeight="1">
      <c r="A461" s="4">
        <v>458.0</v>
      </c>
      <c r="B461" s="4" t="s">
        <v>936</v>
      </c>
      <c r="C461" s="4" t="s">
        <v>937</v>
      </c>
      <c r="D461" s="4" t="s">
        <v>36</v>
      </c>
      <c r="E461" s="6">
        <v>134590.0</v>
      </c>
      <c r="F461" s="6">
        <v>98610.0</v>
      </c>
      <c r="G461" s="6">
        <v>0.0</v>
      </c>
      <c r="H461" s="6">
        <v>256520.0</v>
      </c>
    </row>
    <row r="462" ht="15.75" customHeight="1">
      <c r="A462" s="9">
        <v>459.0</v>
      </c>
      <c r="B462" s="9" t="s">
        <v>938</v>
      </c>
      <c r="C462" s="10" t="s">
        <v>939</v>
      </c>
      <c r="D462" s="9"/>
      <c r="E462" s="11"/>
      <c r="F462" s="11"/>
      <c r="G462" s="11"/>
      <c r="H462" s="11"/>
    </row>
    <row r="463" ht="15.75" customHeight="1">
      <c r="A463" s="4">
        <v>460.0</v>
      </c>
      <c r="B463" s="4" t="s">
        <v>940</v>
      </c>
      <c r="C463" s="4" t="s">
        <v>941</v>
      </c>
      <c r="D463" s="4" t="s">
        <v>36</v>
      </c>
      <c r="E463" s="6">
        <v>18465.0</v>
      </c>
      <c r="F463" s="6">
        <v>28789.9</v>
      </c>
      <c r="G463" s="6">
        <v>0.0</v>
      </c>
      <c r="H463" s="6">
        <v>51980.0</v>
      </c>
    </row>
    <row r="464" ht="15.75" customHeight="1">
      <c r="A464" s="4">
        <v>461.0</v>
      </c>
      <c r="B464" s="4" t="s">
        <v>942</v>
      </c>
      <c r="C464" s="4" t="s">
        <v>943</v>
      </c>
      <c r="D464" s="4" t="s">
        <v>36</v>
      </c>
      <c r="E464" s="6">
        <v>14835.0</v>
      </c>
      <c r="F464" s="6">
        <v>54630.0</v>
      </c>
      <c r="G464" s="6">
        <v>0.0</v>
      </c>
      <c r="H464" s="6">
        <v>76411.0</v>
      </c>
    </row>
    <row r="465" ht="15.75" customHeight="1">
      <c r="A465" s="4">
        <v>462.0</v>
      </c>
      <c r="B465" s="4" t="s">
        <v>944</v>
      </c>
      <c r="C465" s="4" t="s">
        <v>945</v>
      </c>
      <c r="D465" s="4" t="s">
        <v>36</v>
      </c>
      <c r="E465" s="6">
        <v>26910.0</v>
      </c>
      <c r="F465" s="6">
        <v>23962.5</v>
      </c>
      <c r="G465" s="6">
        <v>0.0</v>
      </c>
      <c r="H465" s="6">
        <v>0.0</v>
      </c>
    </row>
    <row r="466" ht="15.75" customHeight="1">
      <c r="A466" s="4">
        <v>463.0</v>
      </c>
      <c r="B466" s="4" t="s">
        <v>946</v>
      </c>
      <c r="C466" s="4" t="s">
        <v>947</v>
      </c>
      <c r="D466" s="4" t="s">
        <v>36</v>
      </c>
      <c r="E466" s="6">
        <v>0.0</v>
      </c>
      <c r="F466" s="6">
        <v>0.0</v>
      </c>
      <c r="G466" s="6">
        <v>0.0</v>
      </c>
      <c r="H466" s="6">
        <v>55959.0</v>
      </c>
    </row>
    <row r="467" ht="15.75" customHeight="1">
      <c r="A467" s="4">
        <v>464.0</v>
      </c>
      <c r="B467" s="4" t="s">
        <v>948</v>
      </c>
      <c r="C467" s="4" t="s">
        <v>949</v>
      </c>
      <c r="D467" s="4" t="s">
        <v>36</v>
      </c>
      <c r="E467" s="6">
        <v>0.0</v>
      </c>
      <c r="F467" s="6">
        <v>0.0</v>
      </c>
      <c r="G467" s="6">
        <v>0.0</v>
      </c>
      <c r="H467" s="6">
        <v>61116.0</v>
      </c>
    </row>
    <row r="468" ht="15.75" customHeight="1">
      <c r="A468" s="4">
        <v>465.0</v>
      </c>
      <c r="B468" s="4" t="s">
        <v>950</v>
      </c>
      <c r="C468" s="4" t="s">
        <v>951</v>
      </c>
      <c r="D468" s="4" t="s">
        <v>36</v>
      </c>
      <c r="E468" s="6">
        <v>0.0</v>
      </c>
      <c r="F468" s="6">
        <v>0.0</v>
      </c>
      <c r="G468" s="6">
        <v>0.0</v>
      </c>
      <c r="H468" s="6">
        <v>64911.0</v>
      </c>
    </row>
    <row r="469" ht="15.75" customHeight="1">
      <c r="A469" s="4">
        <v>466.0</v>
      </c>
      <c r="B469" s="4" t="s">
        <v>952</v>
      </c>
      <c r="C469" s="4" t="s">
        <v>953</v>
      </c>
      <c r="D469" s="4" t="s">
        <v>36</v>
      </c>
      <c r="E469" s="6">
        <v>215340.0</v>
      </c>
      <c r="F469" s="6">
        <v>71425.0</v>
      </c>
      <c r="G469" s="6">
        <v>0.0</v>
      </c>
      <c r="H469" s="6">
        <v>315441.0</v>
      </c>
    </row>
    <row r="470" ht="15.75" customHeight="1">
      <c r="A470" s="4">
        <v>467.0</v>
      </c>
      <c r="B470" s="4" t="s">
        <v>954</v>
      </c>
      <c r="C470" s="4" t="s">
        <v>955</v>
      </c>
      <c r="D470" s="4" t="s">
        <v>27</v>
      </c>
      <c r="E470" s="6">
        <v>6722.5</v>
      </c>
      <c r="F470" s="6">
        <v>5800.9</v>
      </c>
      <c r="G470" s="6">
        <v>0.0</v>
      </c>
      <c r="H470" s="6">
        <v>13775.0</v>
      </c>
    </row>
    <row r="471" ht="15.75" customHeight="1">
      <c r="A471" s="4">
        <v>468.0</v>
      </c>
      <c r="B471" s="4" t="s">
        <v>956</v>
      </c>
      <c r="C471" s="4" t="s">
        <v>957</v>
      </c>
      <c r="D471" s="4" t="s">
        <v>27</v>
      </c>
      <c r="E471" s="6">
        <v>6722.5</v>
      </c>
      <c r="F471" s="6">
        <v>17680.9</v>
      </c>
      <c r="G471" s="6">
        <v>0.0</v>
      </c>
      <c r="H471" s="6">
        <v>26843.0</v>
      </c>
    </row>
    <row r="472" ht="15.75" customHeight="1">
      <c r="A472" s="4">
        <v>469.0</v>
      </c>
      <c r="B472" s="4" t="s">
        <v>958</v>
      </c>
      <c r="C472" s="4" t="s">
        <v>959</v>
      </c>
      <c r="D472" s="4" t="s">
        <v>36</v>
      </c>
      <c r="E472" s="6">
        <v>26910.0</v>
      </c>
      <c r="F472" s="6">
        <v>350436.305</v>
      </c>
      <c r="G472" s="6">
        <v>0.0</v>
      </c>
      <c r="H472" s="6">
        <v>415080.0</v>
      </c>
    </row>
    <row r="473" ht="15.75" customHeight="1">
      <c r="A473" s="9">
        <v>470.0</v>
      </c>
      <c r="B473" s="9" t="s">
        <v>960</v>
      </c>
      <c r="C473" s="10" t="s">
        <v>961</v>
      </c>
      <c r="D473" s="9"/>
      <c r="E473" s="11"/>
      <c r="F473" s="11"/>
      <c r="G473" s="11"/>
      <c r="H473" s="11"/>
    </row>
    <row r="474" ht="15.75" customHeight="1">
      <c r="A474" s="4">
        <v>471.0</v>
      </c>
      <c r="B474" s="4" t="s">
        <v>962</v>
      </c>
      <c r="C474" s="4" t="s">
        <v>963</v>
      </c>
      <c r="D474" s="4" t="s">
        <v>36</v>
      </c>
      <c r="E474" s="6">
        <v>94215.0</v>
      </c>
      <c r="F474" s="6">
        <v>27277.5</v>
      </c>
      <c r="G474" s="6">
        <v>0.0</v>
      </c>
      <c r="H474" s="6">
        <v>133641.0</v>
      </c>
    </row>
    <row r="475" ht="15.75" customHeight="1">
      <c r="A475" s="4">
        <v>472.0</v>
      </c>
      <c r="B475" s="4" t="s">
        <v>964</v>
      </c>
      <c r="C475" s="4" t="s">
        <v>965</v>
      </c>
      <c r="D475" s="4" t="s">
        <v>36</v>
      </c>
      <c r="E475" s="6">
        <v>65750.0</v>
      </c>
      <c r="F475" s="6">
        <v>158213.0</v>
      </c>
      <c r="G475" s="6">
        <v>0.0</v>
      </c>
      <c r="H475" s="6">
        <v>246359.0</v>
      </c>
    </row>
    <row r="476" ht="15.75" customHeight="1">
      <c r="A476" s="4">
        <v>473.0</v>
      </c>
      <c r="B476" s="4" t="s">
        <v>966</v>
      </c>
      <c r="C476" s="4" t="s">
        <v>967</v>
      </c>
      <c r="D476" s="4" t="s">
        <v>36</v>
      </c>
      <c r="E476" s="6">
        <v>70750.0</v>
      </c>
      <c r="F476" s="6">
        <v>171491.46</v>
      </c>
      <c r="G476" s="6">
        <v>0.0</v>
      </c>
      <c r="H476" s="6">
        <v>266465.0</v>
      </c>
    </row>
    <row r="477" ht="15.75" customHeight="1">
      <c r="A477" s="9">
        <v>474.0</v>
      </c>
      <c r="B477" s="9" t="s">
        <v>968</v>
      </c>
      <c r="C477" s="10" t="s">
        <v>969</v>
      </c>
      <c r="D477" s="9"/>
      <c r="E477" s="11"/>
      <c r="F477" s="11"/>
      <c r="G477" s="11"/>
      <c r="H477" s="11"/>
    </row>
    <row r="478" ht="15.75" customHeight="1">
      <c r="A478" s="9">
        <v>475.0</v>
      </c>
      <c r="B478" s="9" t="s">
        <v>970</v>
      </c>
      <c r="C478" s="10" t="s">
        <v>971</v>
      </c>
      <c r="D478" s="9"/>
      <c r="E478" s="11"/>
      <c r="F478" s="11"/>
      <c r="G478" s="11"/>
      <c r="H478" s="11"/>
    </row>
    <row r="479" ht="15.75" customHeight="1">
      <c r="A479" s="4">
        <v>476.0</v>
      </c>
      <c r="B479" s="4" t="s">
        <v>972</v>
      </c>
      <c r="C479" s="4" t="s">
        <v>973</v>
      </c>
      <c r="D479" s="4" t="s">
        <v>36</v>
      </c>
      <c r="E479" s="6">
        <v>0.0</v>
      </c>
      <c r="F479" s="6">
        <v>179217.0</v>
      </c>
      <c r="G479" s="6">
        <v>0.0</v>
      </c>
      <c r="H479" s="6">
        <v>278362.0</v>
      </c>
    </row>
    <row r="480" ht="15.75" customHeight="1">
      <c r="A480" s="4">
        <v>477.0</v>
      </c>
      <c r="B480" s="4" t="s">
        <v>974</v>
      </c>
      <c r="C480" s="4" t="s">
        <v>975</v>
      </c>
      <c r="D480" s="4" t="s">
        <v>36</v>
      </c>
      <c r="E480" s="6">
        <v>0.0</v>
      </c>
      <c r="F480" s="6">
        <v>168527.0</v>
      </c>
      <c r="G480" s="6">
        <v>0.0</v>
      </c>
      <c r="H480" s="6">
        <v>266603.0</v>
      </c>
    </row>
    <row r="481" ht="15.75" customHeight="1">
      <c r="A481" s="4">
        <v>478.0</v>
      </c>
      <c r="B481" s="4" t="s">
        <v>976</v>
      </c>
      <c r="C481" s="4" t="s">
        <v>977</v>
      </c>
      <c r="D481" s="4" t="s">
        <v>36</v>
      </c>
      <c r="E481" s="6">
        <v>0.0</v>
      </c>
      <c r="F481" s="6">
        <v>160757.0</v>
      </c>
      <c r="G481" s="6">
        <v>0.0</v>
      </c>
      <c r="H481" s="6">
        <v>258056.0</v>
      </c>
    </row>
    <row r="482" ht="15.75" customHeight="1">
      <c r="A482" s="4">
        <v>479.0</v>
      </c>
      <c r="B482" s="4" t="s">
        <v>978</v>
      </c>
      <c r="C482" s="4" t="s">
        <v>979</v>
      </c>
      <c r="D482" s="4" t="s">
        <v>36</v>
      </c>
      <c r="E482" s="6">
        <v>0.0</v>
      </c>
      <c r="F482" s="6">
        <v>157577.0</v>
      </c>
      <c r="G482" s="6">
        <v>0.0</v>
      </c>
      <c r="H482" s="6">
        <v>254558.0</v>
      </c>
    </row>
    <row r="483" ht="15.75" customHeight="1">
      <c r="A483" s="4">
        <v>480.0</v>
      </c>
      <c r="B483" s="4" t="s">
        <v>980</v>
      </c>
      <c r="C483" s="4" t="s">
        <v>981</v>
      </c>
      <c r="D483" s="4" t="s">
        <v>36</v>
      </c>
      <c r="E483" s="6">
        <v>0.0</v>
      </c>
      <c r="F483" s="6">
        <v>158267.0</v>
      </c>
      <c r="G483" s="6">
        <v>0.0</v>
      </c>
      <c r="H483" s="6">
        <v>255317.0</v>
      </c>
    </row>
    <row r="484" ht="15.75" customHeight="1">
      <c r="A484" s="4">
        <v>481.0</v>
      </c>
      <c r="B484" s="4" t="s">
        <v>982</v>
      </c>
      <c r="C484" s="4" t="s">
        <v>983</v>
      </c>
      <c r="D484" s="4" t="s">
        <v>36</v>
      </c>
      <c r="E484" s="6">
        <v>0.0</v>
      </c>
      <c r="F484" s="6">
        <v>85422.0</v>
      </c>
      <c r="G484" s="6">
        <v>0.0</v>
      </c>
      <c r="H484" s="6">
        <v>134565.0</v>
      </c>
    </row>
    <row r="485" ht="15.75" customHeight="1">
      <c r="A485" s="4">
        <v>482.0</v>
      </c>
      <c r="B485" s="4" t="s">
        <v>984</v>
      </c>
      <c r="C485" s="4" t="s">
        <v>985</v>
      </c>
      <c r="D485" s="4" t="s">
        <v>36</v>
      </c>
      <c r="E485" s="6">
        <v>0.0</v>
      </c>
      <c r="F485" s="6">
        <v>80018.0</v>
      </c>
      <c r="G485" s="6">
        <v>0.0</v>
      </c>
      <c r="H485" s="6">
        <v>128620.0</v>
      </c>
    </row>
    <row r="486" ht="15.75" customHeight="1">
      <c r="A486" s="4">
        <v>483.0</v>
      </c>
      <c r="B486" s="4" t="s">
        <v>986</v>
      </c>
      <c r="C486" s="4" t="s">
        <v>987</v>
      </c>
      <c r="D486" s="4" t="s">
        <v>36</v>
      </c>
      <c r="E486" s="6">
        <v>0.0</v>
      </c>
      <c r="F486" s="6">
        <v>77112.0</v>
      </c>
      <c r="G486" s="6">
        <v>0.0</v>
      </c>
      <c r="H486" s="6">
        <v>125424.0</v>
      </c>
    </row>
    <row r="487" ht="15.75" customHeight="1">
      <c r="A487" s="4">
        <v>484.0</v>
      </c>
      <c r="B487" s="4" t="s">
        <v>988</v>
      </c>
      <c r="C487" s="4" t="s">
        <v>989</v>
      </c>
      <c r="D487" s="4" t="s">
        <v>36</v>
      </c>
      <c r="E487" s="6">
        <v>0.0</v>
      </c>
      <c r="F487" s="6">
        <v>75296.0</v>
      </c>
      <c r="G487" s="6">
        <v>0.0</v>
      </c>
      <c r="H487" s="6">
        <v>123426.0</v>
      </c>
    </row>
    <row r="488" ht="15.75" customHeight="1">
      <c r="A488" s="4">
        <v>485.0</v>
      </c>
      <c r="B488" s="4" t="s">
        <v>990</v>
      </c>
      <c r="C488" s="4" t="s">
        <v>991</v>
      </c>
      <c r="D488" s="4" t="s">
        <v>36</v>
      </c>
      <c r="E488" s="6">
        <v>0.0</v>
      </c>
      <c r="F488" s="6">
        <v>74628.0</v>
      </c>
      <c r="G488" s="6">
        <v>0.0</v>
      </c>
      <c r="H488" s="6">
        <v>122691.0</v>
      </c>
    </row>
    <row r="489" ht="15.75" customHeight="1">
      <c r="A489" s="9">
        <v>486.0</v>
      </c>
      <c r="B489" s="9" t="s">
        <v>992</v>
      </c>
      <c r="C489" s="10" t="s">
        <v>993</v>
      </c>
      <c r="D489" s="9"/>
      <c r="E489" s="11"/>
      <c r="F489" s="11"/>
      <c r="G489" s="11"/>
      <c r="H489" s="11"/>
    </row>
    <row r="490" ht="15.75" customHeight="1">
      <c r="A490" s="4">
        <v>487.0</v>
      </c>
      <c r="B490" s="4" t="s">
        <v>994</v>
      </c>
      <c r="C490" s="4" t="s">
        <v>995</v>
      </c>
      <c r="D490" s="4" t="s">
        <v>36</v>
      </c>
      <c r="E490" s="6">
        <v>0.0</v>
      </c>
      <c r="F490" s="6">
        <v>431416.0</v>
      </c>
      <c r="G490" s="6">
        <v>0.0</v>
      </c>
      <c r="H490" s="6">
        <v>508394.0</v>
      </c>
    </row>
    <row r="491" ht="15.75" customHeight="1">
      <c r="A491" s="4">
        <v>488.0</v>
      </c>
      <c r="B491" s="4" t="s">
        <v>996</v>
      </c>
      <c r="C491" s="4" t="s">
        <v>997</v>
      </c>
      <c r="D491" s="4" t="s">
        <v>36</v>
      </c>
      <c r="E491" s="6">
        <v>0.0</v>
      </c>
      <c r="F491" s="6">
        <v>435638.0</v>
      </c>
      <c r="G491" s="6">
        <v>0.0</v>
      </c>
      <c r="H491" s="6">
        <v>519802.0</v>
      </c>
    </row>
    <row r="492" ht="15.75" customHeight="1">
      <c r="A492" s="4">
        <v>489.0</v>
      </c>
      <c r="B492" s="4" t="s">
        <v>998</v>
      </c>
      <c r="C492" s="4" t="s">
        <v>999</v>
      </c>
      <c r="D492" s="4" t="s">
        <v>36</v>
      </c>
      <c r="E492" s="6">
        <v>0.0</v>
      </c>
      <c r="F492" s="6">
        <v>340612.0</v>
      </c>
      <c r="G492" s="6">
        <v>0.0</v>
      </c>
      <c r="H492" s="6">
        <v>408510.0</v>
      </c>
    </row>
    <row r="493" ht="15.75" customHeight="1">
      <c r="A493" s="4">
        <v>490.0</v>
      </c>
      <c r="B493" s="4" t="s">
        <v>1000</v>
      </c>
      <c r="C493" s="4" t="s">
        <v>1001</v>
      </c>
      <c r="D493" s="4" t="s">
        <v>36</v>
      </c>
      <c r="E493" s="6">
        <v>0.0</v>
      </c>
      <c r="F493" s="6">
        <v>343510.0</v>
      </c>
      <c r="G493" s="6">
        <v>0.0</v>
      </c>
      <c r="H493" s="6">
        <v>411698.0</v>
      </c>
    </row>
    <row r="494" ht="15.75" customHeight="1">
      <c r="A494" s="4">
        <v>491.0</v>
      </c>
      <c r="B494" s="4" t="s">
        <v>1002</v>
      </c>
      <c r="C494" s="4" t="s">
        <v>1003</v>
      </c>
      <c r="D494" s="4" t="s">
        <v>36</v>
      </c>
      <c r="E494" s="6">
        <v>0.0</v>
      </c>
      <c r="F494" s="6">
        <v>279608.0</v>
      </c>
      <c r="G494" s="6">
        <v>0.0</v>
      </c>
      <c r="H494" s="6">
        <v>341405.0</v>
      </c>
    </row>
    <row r="495" ht="15.75" customHeight="1">
      <c r="A495" s="4">
        <v>492.0</v>
      </c>
      <c r="B495" s="4" t="s">
        <v>1004</v>
      </c>
      <c r="C495" s="4" t="s">
        <v>1005</v>
      </c>
      <c r="D495" s="4" t="s">
        <v>36</v>
      </c>
      <c r="E495" s="6">
        <v>0.0</v>
      </c>
      <c r="F495" s="6">
        <v>282269.0</v>
      </c>
      <c r="G495" s="6">
        <v>0.0</v>
      </c>
      <c r="H495" s="6">
        <v>344333.0</v>
      </c>
    </row>
    <row r="496" ht="15.75" customHeight="1">
      <c r="A496" s="9">
        <v>493.0</v>
      </c>
      <c r="B496" s="9" t="s">
        <v>1006</v>
      </c>
      <c r="C496" s="10" t="s">
        <v>1007</v>
      </c>
      <c r="D496" s="9"/>
      <c r="E496" s="11"/>
      <c r="F496" s="11"/>
      <c r="G496" s="11"/>
      <c r="H496" s="11"/>
    </row>
    <row r="497" ht="15.75" customHeight="1">
      <c r="A497" s="4">
        <v>494.0</v>
      </c>
      <c r="B497" s="4" t="s">
        <v>1008</v>
      </c>
      <c r="C497" s="4" t="s">
        <v>1009</v>
      </c>
      <c r="D497" s="4" t="s">
        <v>36</v>
      </c>
      <c r="E497" s="6">
        <v>0.0</v>
      </c>
      <c r="F497" s="6">
        <v>574725.0</v>
      </c>
      <c r="G497" s="6">
        <v>0.0</v>
      </c>
      <c r="H497" s="6">
        <v>672798.0</v>
      </c>
    </row>
    <row r="498" ht="15.75" customHeight="1">
      <c r="A498" s="4">
        <v>495.0</v>
      </c>
      <c r="B498" s="4" t="s">
        <v>1010</v>
      </c>
      <c r="C498" s="4" t="s">
        <v>1011</v>
      </c>
      <c r="D498" s="4" t="s">
        <v>36</v>
      </c>
      <c r="E498" s="6">
        <v>0.0</v>
      </c>
      <c r="F498" s="6">
        <v>570825.0</v>
      </c>
      <c r="G498" s="6">
        <v>0.0</v>
      </c>
      <c r="H498" s="6">
        <v>668508.0</v>
      </c>
    </row>
    <row r="499" ht="15.75" customHeight="1">
      <c r="A499" s="4">
        <v>496.0</v>
      </c>
      <c r="B499" s="4" t="s">
        <v>1012</v>
      </c>
      <c r="C499" s="4" t="s">
        <v>1013</v>
      </c>
      <c r="D499" s="4" t="s">
        <v>36</v>
      </c>
      <c r="E499" s="6">
        <v>0.0</v>
      </c>
      <c r="F499" s="6">
        <v>573900.0</v>
      </c>
      <c r="G499" s="6">
        <v>0.0</v>
      </c>
      <c r="H499" s="6">
        <v>692202.0</v>
      </c>
    </row>
    <row r="500" ht="15.75" customHeight="1">
      <c r="A500" s="4">
        <v>497.0</v>
      </c>
      <c r="B500" s="4" t="s">
        <v>1014</v>
      </c>
      <c r="C500" s="4" t="s">
        <v>1015</v>
      </c>
      <c r="D500" s="4" t="s">
        <v>36</v>
      </c>
      <c r="E500" s="6">
        <v>0.0</v>
      </c>
      <c r="F500" s="6">
        <v>92625.0</v>
      </c>
      <c r="G500" s="6">
        <v>0.0</v>
      </c>
      <c r="H500" s="6">
        <v>142488.0</v>
      </c>
    </row>
    <row r="501" ht="15.75" customHeight="1">
      <c r="A501" s="4">
        <v>498.0</v>
      </c>
      <c r="B501" s="4" t="s">
        <v>1016</v>
      </c>
      <c r="C501" s="4" t="s">
        <v>1017</v>
      </c>
      <c r="D501" s="4" t="s">
        <v>36</v>
      </c>
      <c r="E501" s="6">
        <v>0.0</v>
      </c>
      <c r="F501" s="6">
        <v>420750.0</v>
      </c>
      <c r="G501" s="6">
        <v>0.0</v>
      </c>
      <c r="H501" s="6">
        <v>503426.0</v>
      </c>
    </row>
    <row r="502" ht="15.75" customHeight="1">
      <c r="A502" s="9">
        <v>499.0</v>
      </c>
      <c r="B502" s="9" t="s">
        <v>1018</v>
      </c>
      <c r="C502" s="10" t="s">
        <v>1019</v>
      </c>
      <c r="D502" s="9"/>
      <c r="E502" s="11"/>
      <c r="F502" s="11"/>
      <c r="G502" s="11"/>
      <c r="H502" s="11"/>
    </row>
    <row r="503" ht="15.75" customHeight="1">
      <c r="A503" s="4">
        <v>500.0</v>
      </c>
      <c r="B503" s="4" t="s">
        <v>1020</v>
      </c>
      <c r="C503" s="4" t="s">
        <v>1021</v>
      </c>
      <c r="D503" s="4" t="s">
        <v>36</v>
      </c>
      <c r="E503" s="6">
        <v>0.0</v>
      </c>
      <c r="F503" s="6">
        <v>79131.35</v>
      </c>
      <c r="G503" s="6">
        <v>0.0</v>
      </c>
      <c r="H503" s="6">
        <v>120991.0</v>
      </c>
    </row>
    <row r="504" ht="15.75" customHeight="1">
      <c r="A504" s="4">
        <v>501.0</v>
      </c>
      <c r="B504" s="4" t="s">
        <v>1022</v>
      </c>
      <c r="C504" s="4" t="s">
        <v>1023</v>
      </c>
      <c r="D504" s="4" t="s">
        <v>36</v>
      </c>
      <c r="E504" s="6">
        <v>0.0</v>
      </c>
      <c r="F504" s="6">
        <v>102593.65</v>
      </c>
      <c r="G504" s="6">
        <v>0.0</v>
      </c>
      <c r="H504" s="6">
        <v>146800.0</v>
      </c>
    </row>
    <row r="505" ht="15.75" customHeight="1">
      <c r="A505" s="4">
        <v>502.0</v>
      </c>
      <c r="B505" s="4" t="s">
        <v>1024</v>
      </c>
      <c r="C505" s="4" t="s">
        <v>1025</v>
      </c>
      <c r="D505" s="4" t="s">
        <v>36</v>
      </c>
      <c r="E505" s="6">
        <v>0.0</v>
      </c>
      <c r="F505" s="6">
        <v>187685.45</v>
      </c>
      <c r="G505" s="6">
        <v>0.0</v>
      </c>
      <c r="H505" s="6">
        <v>257221.0</v>
      </c>
    </row>
    <row r="506" ht="15.75" customHeight="1">
      <c r="A506" s="9">
        <v>503.0</v>
      </c>
      <c r="B506" s="9" t="s">
        <v>1026</v>
      </c>
      <c r="C506" s="10" t="s">
        <v>1027</v>
      </c>
      <c r="D506" s="9"/>
      <c r="E506" s="11"/>
      <c r="F506" s="11"/>
      <c r="G506" s="11"/>
      <c r="H506" s="11"/>
    </row>
    <row r="507" ht="15.75" customHeight="1">
      <c r="A507" s="4">
        <v>504.0</v>
      </c>
      <c r="B507" s="4" t="s">
        <v>1028</v>
      </c>
      <c r="C507" s="4" t="s">
        <v>1029</v>
      </c>
      <c r="D507" s="4" t="s">
        <v>36</v>
      </c>
      <c r="E507" s="6">
        <v>0.0</v>
      </c>
      <c r="F507" s="6">
        <v>117060.0</v>
      </c>
      <c r="G507" s="6">
        <v>0.0</v>
      </c>
      <c r="H507" s="6">
        <v>165674.0</v>
      </c>
    </row>
    <row r="508" ht="15.75" customHeight="1">
      <c r="A508" s="4">
        <v>505.0</v>
      </c>
      <c r="B508" s="4" t="s">
        <v>1030</v>
      </c>
      <c r="C508" s="4" t="s">
        <v>1031</v>
      </c>
      <c r="D508" s="4" t="s">
        <v>36</v>
      </c>
      <c r="E508" s="6">
        <v>0.0</v>
      </c>
      <c r="F508" s="6">
        <v>295638.0</v>
      </c>
      <c r="G508" s="6">
        <v>0.0</v>
      </c>
      <c r="H508" s="6">
        <v>359038.0</v>
      </c>
    </row>
    <row r="509" ht="15.75" customHeight="1">
      <c r="A509" s="9">
        <v>506.0</v>
      </c>
      <c r="B509" s="9" t="s">
        <v>1032</v>
      </c>
      <c r="C509" s="10" t="s">
        <v>1033</v>
      </c>
      <c r="D509" s="9"/>
      <c r="E509" s="11"/>
      <c r="F509" s="11"/>
      <c r="G509" s="11"/>
      <c r="H509" s="11"/>
    </row>
    <row r="510" ht="15.75" customHeight="1">
      <c r="A510" s="4">
        <v>507.0</v>
      </c>
      <c r="B510" s="4" t="s">
        <v>1034</v>
      </c>
      <c r="C510" s="4" t="s">
        <v>1035</v>
      </c>
      <c r="D510" s="4" t="s">
        <v>36</v>
      </c>
      <c r="E510" s="6">
        <v>0.0</v>
      </c>
      <c r="F510" s="6">
        <v>391819.5</v>
      </c>
      <c r="G510" s="6">
        <v>0.0</v>
      </c>
      <c r="H510" s="6">
        <v>471536.0</v>
      </c>
    </row>
    <row r="511" ht="15.75" customHeight="1">
      <c r="A511" s="9">
        <v>508.0</v>
      </c>
      <c r="B511" s="9" t="s">
        <v>1036</v>
      </c>
      <c r="C511" s="10" t="s">
        <v>1037</v>
      </c>
      <c r="D511" s="9"/>
      <c r="E511" s="11"/>
      <c r="F511" s="11"/>
      <c r="G511" s="11"/>
      <c r="H511" s="11"/>
    </row>
    <row r="512" ht="15.75" customHeight="1">
      <c r="A512" s="4">
        <v>509.0</v>
      </c>
      <c r="B512" s="4" t="s">
        <v>1038</v>
      </c>
      <c r="C512" s="4" t="s">
        <v>1039</v>
      </c>
      <c r="D512" s="4" t="s">
        <v>36</v>
      </c>
      <c r="E512" s="6">
        <v>0.0</v>
      </c>
      <c r="F512" s="6">
        <v>0.0</v>
      </c>
      <c r="G512" s="6">
        <v>0.0</v>
      </c>
      <c r="H512" s="6">
        <v>67611.0</v>
      </c>
    </row>
    <row r="513" ht="15.75" customHeight="1">
      <c r="A513" s="4">
        <v>510.0</v>
      </c>
      <c r="B513" s="4" t="s">
        <v>1040</v>
      </c>
      <c r="C513" s="4" t="s">
        <v>1041</v>
      </c>
      <c r="D513" s="4" t="s">
        <v>36</v>
      </c>
      <c r="E513" s="6">
        <v>0.0</v>
      </c>
      <c r="F513" s="6">
        <v>0.0</v>
      </c>
      <c r="G513" s="6">
        <v>0.0</v>
      </c>
      <c r="H513" s="6">
        <v>61271.0</v>
      </c>
    </row>
    <row r="514" ht="15.75" customHeight="1">
      <c r="A514" s="4">
        <v>511.0</v>
      </c>
      <c r="B514" s="4" t="s">
        <v>1042</v>
      </c>
      <c r="C514" s="4" t="s">
        <v>1043</v>
      </c>
      <c r="D514" s="4" t="s">
        <v>36</v>
      </c>
      <c r="E514" s="6">
        <v>0.0</v>
      </c>
      <c r="F514" s="6">
        <v>0.0</v>
      </c>
      <c r="G514" s="6">
        <v>0.0</v>
      </c>
      <c r="H514" s="6">
        <v>58678.0</v>
      </c>
    </row>
    <row r="515" ht="15.75" customHeight="1">
      <c r="A515" s="4">
        <v>512.0</v>
      </c>
      <c r="B515" s="4" t="s">
        <v>1044</v>
      </c>
      <c r="C515" s="4" t="s">
        <v>1045</v>
      </c>
      <c r="D515" s="4" t="s">
        <v>36</v>
      </c>
      <c r="E515" s="6">
        <v>0.0</v>
      </c>
      <c r="F515" s="6">
        <v>0.0</v>
      </c>
      <c r="G515" s="6">
        <v>0.0</v>
      </c>
      <c r="H515" s="6">
        <v>56784.0</v>
      </c>
    </row>
    <row r="516" ht="15.75" customHeight="1">
      <c r="A516" s="4">
        <v>513.0</v>
      </c>
      <c r="B516" s="4" t="s">
        <v>1046</v>
      </c>
      <c r="C516" s="4" t="s">
        <v>1047</v>
      </c>
      <c r="D516" s="4" t="s">
        <v>36</v>
      </c>
      <c r="E516" s="6">
        <v>0.0</v>
      </c>
      <c r="F516" s="6">
        <v>0.0</v>
      </c>
      <c r="G516" s="6">
        <v>0.0</v>
      </c>
      <c r="H516" s="6">
        <v>55879.0</v>
      </c>
    </row>
    <row r="517" ht="15.75" customHeight="1">
      <c r="A517" s="4">
        <v>514.0</v>
      </c>
      <c r="B517" s="4" t="s">
        <v>1048</v>
      </c>
      <c r="C517" s="4" t="s">
        <v>1049</v>
      </c>
      <c r="D517" s="4" t="s">
        <v>36</v>
      </c>
      <c r="E517" s="6">
        <v>0.0</v>
      </c>
      <c r="F517" s="6">
        <v>0.0</v>
      </c>
      <c r="G517" s="6">
        <v>0.0</v>
      </c>
      <c r="H517" s="6">
        <v>55083.0</v>
      </c>
    </row>
    <row r="518" ht="15.75" customHeight="1">
      <c r="A518" s="4">
        <v>515.0</v>
      </c>
      <c r="B518" s="4" t="s">
        <v>1050</v>
      </c>
      <c r="C518" s="4" t="s">
        <v>1051</v>
      </c>
      <c r="D518" s="4" t="s">
        <v>36</v>
      </c>
      <c r="E518" s="6">
        <v>0.0</v>
      </c>
      <c r="F518" s="6">
        <v>0.0</v>
      </c>
      <c r="G518" s="6">
        <v>0.0</v>
      </c>
      <c r="H518" s="6">
        <v>67745.0</v>
      </c>
    </row>
    <row r="519" ht="15.75" customHeight="1">
      <c r="A519" s="4">
        <v>516.0</v>
      </c>
      <c r="B519" s="4" t="s">
        <v>1052</v>
      </c>
      <c r="C519" s="4" t="s">
        <v>1053</v>
      </c>
      <c r="D519" s="4" t="s">
        <v>36</v>
      </c>
      <c r="E519" s="6">
        <v>0.0</v>
      </c>
      <c r="F519" s="6">
        <v>0.0</v>
      </c>
      <c r="G519" s="6">
        <v>0.0</v>
      </c>
      <c r="H519" s="6">
        <v>45248.0</v>
      </c>
    </row>
    <row r="520" ht="15.75" customHeight="1">
      <c r="A520" s="4">
        <v>517.0</v>
      </c>
      <c r="B520" s="4" t="s">
        <v>1054</v>
      </c>
      <c r="C520" s="4" t="s">
        <v>1055</v>
      </c>
      <c r="D520" s="4" t="s">
        <v>36</v>
      </c>
      <c r="E520" s="6">
        <v>0.0</v>
      </c>
      <c r="F520" s="6">
        <v>0.0</v>
      </c>
      <c r="G520" s="6">
        <v>0.0</v>
      </c>
      <c r="H520" s="6">
        <v>66950.0</v>
      </c>
    </row>
    <row r="521" ht="15.75" customHeight="1">
      <c r="A521" s="4">
        <v>518.0</v>
      </c>
      <c r="B521" s="4" t="s">
        <v>1056</v>
      </c>
      <c r="C521" s="4" t="s">
        <v>1057</v>
      </c>
      <c r="D521" s="4" t="s">
        <v>36</v>
      </c>
      <c r="E521" s="6">
        <v>0.0</v>
      </c>
      <c r="F521" s="6">
        <v>0.0</v>
      </c>
      <c r="G521" s="6">
        <v>0.0</v>
      </c>
      <c r="H521" s="6">
        <v>57545.0</v>
      </c>
    </row>
    <row r="522" ht="15.75" customHeight="1">
      <c r="A522" s="4">
        <v>519.0</v>
      </c>
      <c r="B522" s="4" t="s">
        <v>1058</v>
      </c>
      <c r="C522" s="4" t="s">
        <v>1059</v>
      </c>
      <c r="D522" s="4" t="s">
        <v>36</v>
      </c>
      <c r="E522" s="6">
        <v>0.0</v>
      </c>
      <c r="F522" s="6">
        <v>0.0</v>
      </c>
      <c r="G522" s="6">
        <v>0.0</v>
      </c>
      <c r="H522" s="6">
        <v>252835.0</v>
      </c>
    </row>
    <row r="523" ht="15.75" customHeight="1">
      <c r="A523" s="4">
        <v>520.0</v>
      </c>
      <c r="B523" s="4" t="s">
        <v>1060</v>
      </c>
      <c r="C523" s="4" t="s">
        <v>1061</v>
      </c>
      <c r="D523" s="4" t="s">
        <v>36</v>
      </c>
      <c r="E523" s="6">
        <v>0.0</v>
      </c>
      <c r="F523" s="6">
        <v>0.0</v>
      </c>
      <c r="G523" s="6">
        <v>0.0</v>
      </c>
      <c r="H523" s="6">
        <v>269335.0</v>
      </c>
    </row>
    <row r="524" ht="15.75" customHeight="1">
      <c r="A524" s="4">
        <v>521.0</v>
      </c>
      <c r="B524" s="4" t="s">
        <v>1062</v>
      </c>
      <c r="C524" s="4" t="s">
        <v>1063</v>
      </c>
      <c r="D524" s="4" t="s">
        <v>36</v>
      </c>
      <c r="E524" s="6">
        <v>0.0</v>
      </c>
      <c r="F524" s="6">
        <v>0.0</v>
      </c>
      <c r="G524" s="6">
        <v>0.0</v>
      </c>
      <c r="H524" s="6">
        <v>34601.0</v>
      </c>
    </row>
    <row r="525" ht="15.75" customHeight="1">
      <c r="A525" s="4">
        <v>522.0</v>
      </c>
      <c r="B525" s="4" t="s">
        <v>1064</v>
      </c>
      <c r="C525" s="4" t="s">
        <v>1065</v>
      </c>
      <c r="D525" s="4" t="s">
        <v>36</v>
      </c>
      <c r="E525" s="6">
        <v>0.0</v>
      </c>
      <c r="F525" s="6">
        <v>0.0</v>
      </c>
      <c r="G525" s="6">
        <v>0.0</v>
      </c>
      <c r="H525" s="6">
        <v>36410.0</v>
      </c>
    </row>
    <row r="526" ht="15.75" customHeight="1">
      <c r="A526" s="4">
        <v>523.0</v>
      </c>
      <c r="B526" s="4" t="s">
        <v>1066</v>
      </c>
      <c r="C526" s="4" t="s">
        <v>1067</v>
      </c>
      <c r="D526" s="4" t="s">
        <v>36</v>
      </c>
      <c r="E526" s="6">
        <v>0.0</v>
      </c>
      <c r="F526" s="6">
        <v>0.0</v>
      </c>
      <c r="G526" s="6">
        <v>0.0</v>
      </c>
      <c r="H526" s="6">
        <v>26323.0</v>
      </c>
    </row>
    <row r="527" ht="15.75" customHeight="1">
      <c r="A527" s="4">
        <v>524.0</v>
      </c>
      <c r="B527" s="4" t="s">
        <v>1068</v>
      </c>
      <c r="C527" s="4" t="s">
        <v>1069</v>
      </c>
      <c r="D527" s="4" t="s">
        <v>36</v>
      </c>
      <c r="E527" s="6">
        <v>0.0</v>
      </c>
      <c r="F527" s="6">
        <v>0.0</v>
      </c>
      <c r="G527" s="6">
        <v>0.0</v>
      </c>
      <c r="H527" s="6">
        <v>40755.0</v>
      </c>
    </row>
    <row r="528" ht="15.75" customHeight="1">
      <c r="A528" s="9">
        <v>525.0</v>
      </c>
      <c r="B528" s="9" t="s">
        <v>1070</v>
      </c>
      <c r="C528" s="10" t="s">
        <v>1071</v>
      </c>
      <c r="D528" s="9"/>
      <c r="E528" s="11"/>
      <c r="F528" s="11"/>
      <c r="G528" s="11"/>
      <c r="H528" s="11"/>
    </row>
    <row r="529" ht="15.75" customHeight="1">
      <c r="A529" s="4">
        <v>526.0</v>
      </c>
      <c r="B529" s="4" t="s">
        <v>1072</v>
      </c>
      <c r="C529" s="4" t="s">
        <v>1073</v>
      </c>
      <c r="D529" s="4" t="s">
        <v>36</v>
      </c>
      <c r="E529" s="6">
        <v>0.0</v>
      </c>
      <c r="F529" s="6">
        <v>0.0</v>
      </c>
      <c r="G529" s="6">
        <v>0.0</v>
      </c>
      <c r="H529" s="6">
        <v>19134.0</v>
      </c>
    </row>
    <row r="530" ht="15.75" customHeight="1">
      <c r="A530" s="4">
        <v>527.0</v>
      </c>
      <c r="B530" s="4" t="s">
        <v>1074</v>
      </c>
      <c r="C530" s="4" t="s">
        <v>1075</v>
      </c>
      <c r="D530" s="4" t="s">
        <v>36</v>
      </c>
      <c r="E530" s="6">
        <v>0.0</v>
      </c>
      <c r="F530" s="6">
        <v>0.0</v>
      </c>
      <c r="G530" s="6">
        <v>0.0</v>
      </c>
      <c r="H530" s="6">
        <v>19217.0</v>
      </c>
    </row>
    <row r="531" ht="15.75" customHeight="1">
      <c r="A531" s="4">
        <v>528.0</v>
      </c>
      <c r="B531" s="4" t="s">
        <v>1076</v>
      </c>
      <c r="C531" s="4" t="s">
        <v>1077</v>
      </c>
      <c r="D531" s="4" t="s">
        <v>36</v>
      </c>
      <c r="E531" s="6">
        <v>0.0</v>
      </c>
      <c r="F531" s="6">
        <v>0.0</v>
      </c>
      <c r="G531" s="6">
        <v>0.0</v>
      </c>
      <c r="H531" s="6">
        <v>19250.0</v>
      </c>
    </row>
    <row r="532" ht="15.75" customHeight="1">
      <c r="A532" s="4">
        <v>529.0</v>
      </c>
      <c r="B532" s="4" t="s">
        <v>1078</v>
      </c>
      <c r="C532" s="4" t="s">
        <v>1079</v>
      </c>
      <c r="D532" s="4" t="s">
        <v>36</v>
      </c>
      <c r="E532" s="6">
        <v>0.0</v>
      </c>
      <c r="F532" s="6">
        <v>0.0</v>
      </c>
      <c r="G532" s="6">
        <v>0.0</v>
      </c>
      <c r="H532" s="6">
        <v>47438.0</v>
      </c>
    </row>
    <row r="533" ht="15.75" customHeight="1">
      <c r="A533" s="4">
        <v>530.0</v>
      </c>
      <c r="B533" s="4" t="s">
        <v>1080</v>
      </c>
      <c r="C533" s="4" t="s">
        <v>1081</v>
      </c>
      <c r="D533" s="4" t="s">
        <v>36</v>
      </c>
      <c r="E533" s="6">
        <v>0.0</v>
      </c>
      <c r="F533" s="6">
        <v>0.0</v>
      </c>
      <c r="G533" s="6">
        <v>0.0</v>
      </c>
      <c r="H533" s="6">
        <v>71093.0</v>
      </c>
    </row>
    <row r="534" ht="15.75" customHeight="1">
      <c r="A534" s="4">
        <v>531.0</v>
      </c>
      <c r="B534" s="4" t="s">
        <v>1082</v>
      </c>
      <c r="C534" s="4" t="s">
        <v>1083</v>
      </c>
      <c r="D534" s="4" t="s">
        <v>36</v>
      </c>
      <c r="E534" s="6">
        <v>0.0</v>
      </c>
      <c r="F534" s="6">
        <v>0.0</v>
      </c>
      <c r="G534" s="6">
        <v>0.0</v>
      </c>
      <c r="H534" s="6">
        <v>27686.0</v>
      </c>
    </row>
    <row r="535" ht="15.75" customHeight="1">
      <c r="A535" s="4">
        <v>532.0</v>
      </c>
      <c r="B535" s="4" t="s">
        <v>1084</v>
      </c>
      <c r="C535" s="4" t="s">
        <v>1085</v>
      </c>
      <c r="D535" s="4" t="s">
        <v>36</v>
      </c>
      <c r="E535" s="6">
        <v>0.0</v>
      </c>
      <c r="F535" s="6">
        <v>0.0</v>
      </c>
      <c r="G535" s="6">
        <v>0.0</v>
      </c>
      <c r="H535" s="6">
        <v>63394.0</v>
      </c>
    </row>
    <row r="536" ht="15.75" customHeight="1">
      <c r="A536" s="4">
        <v>533.0</v>
      </c>
      <c r="B536" s="4" t="s">
        <v>1086</v>
      </c>
      <c r="C536" s="4" t="s">
        <v>1087</v>
      </c>
      <c r="D536" s="4" t="s">
        <v>36</v>
      </c>
      <c r="E536" s="6">
        <v>0.0</v>
      </c>
      <c r="F536" s="6">
        <v>0.0</v>
      </c>
      <c r="G536" s="6">
        <v>0.0</v>
      </c>
      <c r="H536" s="6">
        <v>20185.0</v>
      </c>
    </row>
    <row r="537" ht="15.75" customHeight="1">
      <c r="A537" s="4">
        <v>534.0</v>
      </c>
      <c r="B537" s="4" t="s">
        <v>1088</v>
      </c>
      <c r="C537" s="4" t="s">
        <v>1089</v>
      </c>
      <c r="D537" s="4" t="s">
        <v>36</v>
      </c>
      <c r="E537" s="6">
        <v>0.0</v>
      </c>
      <c r="F537" s="6">
        <v>0.0</v>
      </c>
      <c r="G537" s="6">
        <v>0.0</v>
      </c>
      <c r="H537" s="6">
        <v>56980.0</v>
      </c>
    </row>
    <row r="538" ht="15.75" customHeight="1">
      <c r="A538" s="9">
        <v>535.0</v>
      </c>
      <c r="B538" s="9" t="s">
        <v>1090</v>
      </c>
      <c r="C538" s="10" t="s">
        <v>1091</v>
      </c>
      <c r="D538" s="9"/>
      <c r="E538" s="11"/>
      <c r="F538" s="11"/>
      <c r="G538" s="11"/>
      <c r="H538" s="11"/>
    </row>
    <row r="539" ht="15.75" customHeight="1">
      <c r="A539" s="4">
        <v>536.0</v>
      </c>
      <c r="B539" s="4" t="s">
        <v>1092</v>
      </c>
      <c r="C539" s="4" t="s">
        <v>1093</v>
      </c>
      <c r="D539" s="4" t="s">
        <v>36</v>
      </c>
      <c r="E539" s="6">
        <v>17954.0</v>
      </c>
      <c r="F539" s="6">
        <v>45840.0</v>
      </c>
      <c r="G539" s="6">
        <v>0.0</v>
      </c>
      <c r="H539" s="6">
        <v>70173.0</v>
      </c>
    </row>
    <row r="540" ht="15.75" customHeight="1">
      <c r="A540" s="4">
        <v>537.0</v>
      </c>
      <c r="B540" s="4" t="s">
        <v>1094</v>
      </c>
      <c r="C540" s="4" t="s">
        <v>1095</v>
      </c>
      <c r="D540" s="4" t="s">
        <v>36</v>
      </c>
      <c r="E540" s="6">
        <v>20708.0</v>
      </c>
      <c r="F540" s="6">
        <v>48366.0</v>
      </c>
      <c r="G540" s="6">
        <v>0.0</v>
      </c>
      <c r="H540" s="6">
        <v>75981.0</v>
      </c>
    </row>
    <row r="541" ht="15.75" customHeight="1">
      <c r="A541" s="9">
        <v>538.0</v>
      </c>
      <c r="B541" s="9" t="s">
        <v>1096</v>
      </c>
      <c r="C541" s="10" t="s">
        <v>1097</v>
      </c>
      <c r="D541" s="9"/>
      <c r="E541" s="11"/>
      <c r="F541" s="11"/>
      <c r="G541" s="11"/>
      <c r="H541" s="11"/>
    </row>
    <row r="542" ht="15.75" customHeight="1">
      <c r="A542" s="4">
        <v>539.0</v>
      </c>
      <c r="B542" s="4" t="s">
        <v>1098</v>
      </c>
      <c r="C542" s="4" t="s">
        <v>1099</v>
      </c>
      <c r="D542" s="4" t="s">
        <v>36</v>
      </c>
      <c r="E542" s="6">
        <v>13465.0</v>
      </c>
      <c r="F542" s="6">
        <v>37782.0</v>
      </c>
      <c r="G542" s="6">
        <v>0.0</v>
      </c>
      <c r="H542" s="6">
        <v>56371.0</v>
      </c>
    </row>
    <row r="543" ht="15.75" customHeight="1">
      <c r="A543" s="4">
        <v>540.0</v>
      </c>
      <c r="B543" s="4" t="s">
        <v>1100</v>
      </c>
      <c r="C543" s="4" t="s">
        <v>1101</v>
      </c>
      <c r="D543" s="4" t="s">
        <v>36</v>
      </c>
      <c r="E543" s="6">
        <v>13465.0</v>
      </c>
      <c r="F543" s="6">
        <v>40008.0</v>
      </c>
      <c r="G543" s="6">
        <v>0.0</v>
      </c>
      <c r="H543" s="6">
        <v>58820.0</v>
      </c>
    </row>
    <row r="544" ht="15.75" customHeight="1">
      <c r="A544" s="4">
        <v>541.0</v>
      </c>
      <c r="B544" s="4" t="s">
        <v>1102</v>
      </c>
      <c r="C544" s="4" t="s">
        <v>1103</v>
      </c>
      <c r="D544" s="4" t="s">
        <v>36</v>
      </c>
      <c r="E544" s="6">
        <v>0.0</v>
      </c>
      <c r="F544" s="6">
        <v>0.0</v>
      </c>
      <c r="G544" s="6">
        <v>0.0</v>
      </c>
      <c r="H544" s="6">
        <v>26520.0</v>
      </c>
    </row>
    <row r="545" ht="15.75" customHeight="1">
      <c r="A545" s="4">
        <v>542.0</v>
      </c>
      <c r="B545" s="4" t="s">
        <v>1104</v>
      </c>
      <c r="C545" s="4" t="s">
        <v>1105</v>
      </c>
      <c r="D545" s="4" t="s">
        <v>36</v>
      </c>
      <c r="E545" s="6">
        <v>0.0</v>
      </c>
      <c r="F545" s="6">
        <v>0.0</v>
      </c>
      <c r="G545" s="6">
        <v>0.0</v>
      </c>
      <c r="H545" s="6">
        <v>16755.0</v>
      </c>
    </row>
    <row r="546" ht="15.75" customHeight="1">
      <c r="A546" s="4">
        <v>543.0</v>
      </c>
      <c r="B546" s="4" t="s">
        <v>1106</v>
      </c>
      <c r="C546" s="4" t="s">
        <v>1107</v>
      </c>
      <c r="D546" s="4" t="s">
        <v>36</v>
      </c>
      <c r="E546" s="6">
        <v>0.0</v>
      </c>
      <c r="F546" s="6">
        <v>0.0</v>
      </c>
      <c r="G546" s="6">
        <v>0.0</v>
      </c>
      <c r="H546" s="6">
        <v>76703.0</v>
      </c>
    </row>
    <row r="547" ht="15.75" customHeight="1">
      <c r="A547" s="4">
        <v>544.0</v>
      </c>
      <c r="B547" s="4" t="s">
        <v>1108</v>
      </c>
      <c r="C547" s="4" t="s">
        <v>1109</v>
      </c>
      <c r="D547" s="4" t="s">
        <v>36</v>
      </c>
      <c r="E547" s="6">
        <v>0.0</v>
      </c>
      <c r="F547" s="6">
        <v>0.0</v>
      </c>
      <c r="G547" s="6">
        <v>0.0</v>
      </c>
      <c r="H547" s="6">
        <v>213644.0</v>
      </c>
    </row>
    <row r="548" ht="15.75" customHeight="1">
      <c r="A548" s="4">
        <v>545.0</v>
      </c>
      <c r="B548" s="4" t="s">
        <v>1110</v>
      </c>
      <c r="C548" s="4" t="s">
        <v>1111</v>
      </c>
      <c r="D548" s="4" t="s">
        <v>36</v>
      </c>
      <c r="E548" s="6">
        <v>0.0</v>
      </c>
      <c r="F548" s="6">
        <v>0.0</v>
      </c>
      <c r="G548" s="6">
        <v>0.0</v>
      </c>
      <c r="H548" s="6">
        <v>44211.0</v>
      </c>
    </row>
    <row r="549" ht="15.75" customHeight="1">
      <c r="A549" s="4">
        <v>546.0</v>
      </c>
      <c r="B549" s="4" t="s">
        <v>1112</v>
      </c>
      <c r="C549" s="4" t="s">
        <v>1113</v>
      </c>
      <c r="D549" s="4" t="s">
        <v>36</v>
      </c>
      <c r="E549" s="6">
        <v>0.0</v>
      </c>
      <c r="F549" s="6">
        <v>0.0</v>
      </c>
      <c r="G549" s="6">
        <v>0.0</v>
      </c>
      <c r="H549" s="6">
        <v>79570.0</v>
      </c>
    </row>
    <row r="550" ht="15.75" customHeight="1">
      <c r="A550" s="4">
        <v>547.0</v>
      </c>
      <c r="B550" s="4" t="s">
        <v>1114</v>
      </c>
      <c r="C550" s="4" t="s">
        <v>1115</v>
      </c>
      <c r="D550" s="4" t="s">
        <v>36</v>
      </c>
      <c r="E550" s="6">
        <v>0.0</v>
      </c>
      <c r="F550" s="6">
        <v>0.0</v>
      </c>
      <c r="G550" s="6">
        <v>0.0</v>
      </c>
      <c r="H550" s="6">
        <v>90381.0</v>
      </c>
    </row>
    <row r="551" ht="15.75" customHeight="1">
      <c r="A551" s="4">
        <v>548.0</v>
      </c>
      <c r="B551" s="4" t="s">
        <v>1116</v>
      </c>
      <c r="C551" s="4" t="s">
        <v>1117</v>
      </c>
      <c r="D551" s="4" t="s">
        <v>36</v>
      </c>
      <c r="E551" s="6">
        <v>0.0</v>
      </c>
      <c r="F551" s="6">
        <v>0.0</v>
      </c>
      <c r="G551" s="6">
        <v>0.0</v>
      </c>
      <c r="H551" s="6">
        <v>36150.0</v>
      </c>
    </row>
    <row r="552" ht="15.75" customHeight="1">
      <c r="A552" s="4">
        <v>549.0</v>
      </c>
      <c r="B552" s="4" t="s">
        <v>1118</v>
      </c>
      <c r="C552" s="4" t="s">
        <v>1119</v>
      </c>
      <c r="D552" s="4" t="s">
        <v>36</v>
      </c>
      <c r="E552" s="6">
        <v>0.0</v>
      </c>
      <c r="F552" s="6">
        <v>0.0</v>
      </c>
      <c r="G552" s="6">
        <v>0.0</v>
      </c>
      <c r="H552" s="6">
        <v>0.0</v>
      </c>
    </row>
    <row r="553" ht="15.75" customHeight="1">
      <c r="A553" s="4">
        <v>550.0</v>
      </c>
      <c r="B553" s="4" t="s">
        <v>1120</v>
      </c>
      <c r="C553" s="4" t="s">
        <v>1121</v>
      </c>
      <c r="D553" s="4" t="s">
        <v>36</v>
      </c>
      <c r="E553" s="6">
        <v>16835.0</v>
      </c>
      <c r="F553" s="6">
        <v>37782.0</v>
      </c>
      <c r="G553" s="6">
        <v>0.0</v>
      </c>
      <c r="H553" s="6">
        <v>60078.0</v>
      </c>
    </row>
    <row r="554" ht="15.75" customHeight="1">
      <c r="A554" s="4">
        <v>551.0</v>
      </c>
      <c r="B554" s="4" t="s">
        <v>1122</v>
      </c>
      <c r="C554" s="4" t="s">
        <v>1123</v>
      </c>
      <c r="D554" s="4" t="s">
        <v>36</v>
      </c>
      <c r="E554" s="6">
        <v>16835.0</v>
      </c>
      <c r="F554" s="6">
        <v>36858.0</v>
      </c>
      <c r="G554" s="6">
        <v>0.0</v>
      </c>
      <c r="H554" s="6">
        <v>59062.0</v>
      </c>
    </row>
    <row r="555" ht="15.75" customHeight="1">
      <c r="A555" s="4">
        <v>552.0</v>
      </c>
      <c r="B555" s="4" t="s">
        <v>1124</v>
      </c>
      <c r="C555" s="4" t="s">
        <v>1125</v>
      </c>
      <c r="D555" s="4" t="s">
        <v>36</v>
      </c>
      <c r="E555" s="6">
        <v>0.0</v>
      </c>
      <c r="F555" s="6">
        <v>0.0</v>
      </c>
      <c r="G555" s="6">
        <v>0.0</v>
      </c>
      <c r="H555" s="6">
        <v>92224.0</v>
      </c>
    </row>
    <row r="556" ht="15.75" customHeight="1">
      <c r="A556" s="4">
        <v>553.0</v>
      </c>
      <c r="B556" s="4" t="s">
        <v>1126</v>
      </c>
      <c r="C556" s="4" t="s">
        <v>1127</v>
      </c>
      <c r="D556" s="4" t="s">
        <v>36</v>
      </c>
      <c r="E556" s="6">
        <v>0.0</v>
      </c>
      <c r="F556" s="6">
        <v>0.0</v>
      </c>
      <c r="G556" s="6">
        <v>0.0</v>
      </c>
      <c r="H556" s="6">
        <v>306460.0</v>
      </c>
    </row>
    <row r="557" ht="15.75" customHeight="1">
      <c r="A557" s="9">
        <v>554.0</v>
      </c>
      <c r="B557" s="9" t="s">
        <v>1128</v>
      </c>
      <c r="C557" s="10" t="s">
        <v>1129</v>
      </c>
      <c r="D557" s="9"/>
      <c r="E557" s="11"/>
      <c r="F557" s="11"/>
      <c r="G557" s="11"/>
      <c r="H557" s="11"/>
    </row>
    <row r="558" ht="15.75" customHeight="1">
      <c r="A558" s="9">
        <v>555.0</v>
      </c>
      <c r="B558" s="9" t="s">
        <v>1130</v>
      </c>
      <c r="C558" s="10" t="s">
        <v>1131</v>
      </c>
      <c r="D558" s="9"/>
      <c r="E558" s="11"/>
      <c r="F558" s="11"/>
      <c r="G558" s="11"/>
      <c r="H558" s="11"/>
    </row>
    <row r="559" ht="15.75" customHeight="1">
      <c r="A559" s="4">
        <v>556.0</v>
      </c>
      <c r="B559" s="4" t="s">
        <v>1130</v>
      </c>
      <c r="C559" s="4" t="s">
        <v>1132</v>
      </c>
      <c r="D559" s="4" t="s">
        <v>36</v>
      </c>
      <c r="E559" s="6">
        <v>0.0</v>
      </c>
      <c r="F559" s="6">
        <v>0.0</v>
      </c>
      <c r="G559" s="6">
        <v>0.0</v>
      </c>
      <c r="H559" s="6">
        <v>112486.0</v>
      </c>
    </row>
    <row r="560" ht="15.75" customHeight="1">
      <c r="A560" s="4">
        <v>557.0</v>
      </c>
      <c r="B560" s="4" t="s">
        <v>1133</v>
      </c>
      <c r="C560" s="4" t="s">
        <v>1134</v>
      </c>
      <c r="D560" s="4" t="s">
        <v>36</v>
      </c>
      <c r="E560" s="6">
        <v>26365.5</v>
      </c>
      <c r="F560" s="6">
        <v>64814.4</v>
      </c>
      <c r="G560" s="6">
        <v>0.0</v>
      </c>
      <c r="H560" s="6">
        <v>100297.0</v>
      </c>
    </row>
    <row r="561" ht="15.75" customHeight="1">
      <c r="A561" s="4">
        <v>558.0</v>
      </c>
      <c r="B561" s="4" t="s">
        <v>1135</v>
      </c>
      <c r="C561" s="4" t="s">
        <v>1136</v>
      </c>
      <c r="D561" s="4" t="s">
        <v>36</v>
      </c>
      <c r="E561" s="6">
        <v>28398.0</v>
      </c>
      <c r="F561" s="6">
        <v>55336.39999999999</v>
      </c>
      <c r="G561" s="6">
        <v>0.0</v>
      </c>
      <c r="H561" s="6">
        <v>92107.0</v>
      </c>
    </row>
    <row r="562" ht="15.75" customHeight="1">
      <c r="A562" s="4">
        <v>559.0</v>
      </c>
      <c r="B562" s="4" t="s">
        <v>1137</v>
      </c>
      <c r="C562" s="4" t="s">
        <v>1138</v>
      </c>
      <c r="D562" s="4" t="s">
        <v>36</v>
      </c>
      <c r="E562" s="6">
        <v>39091.0</v>
      </c>
      <c r="F562" s="6">
        <v>42648.6</v>
      </c>
      <c r="G562" s="6">
        <v>0.0</v>
      </c>
      <c r="H562" s="6">
        <v>89913.0</v>
      </c>
    </row>
    <row r="563" ht="15.75" customHeight="1">
      <c r="A563" s="4">
        <v>560.0</v>
      </c>
      <c r="B563" s="4" t="s">
        <v>1139</v>
      </c>
      <c r="C563" s="4" t="s">
        <v>1140</v>
      </c>
      <c r="D563" s="4" t="s">
        <v>27</v>
      </c>
      <c r="E563" s="6">
        <v>10564.5</v>
      </c>
      <c r="F563" s="6">
        <v>8290.2</v>
      </c>
      <c r="G563" s="6">
        <v>0.0</v>
      </c>
      <c r="H563" s="6">
        <v>20740.0</v>
      </c>
    </row>
    <row r="564" ht="15.75" customHeight="1">
      <c r="A564" s="4">
        <v>561.0</v>
      </c>
      <c r="B564" s="4" t="s">
        <v>1141</v>
      </c>
      <c r="C564" s="4" t="s">
        <v>1142</v>
      </c>
      <c r="D564" s="4" t="s">
        <v>27</v>
      </c>
      <c r="E564" s="6">
        <v>11531.0</v>
      </c>
      <c r="F564" s="6">
        <v>8290.2</v>
      </c>
      <c r="G564" s="6">
        <v>0.0</v>
      </c>
      <c r="H564" s="6">
        <v>21803.0</v>
      </c>
    </row>
    <row r="565" ht="15.75" customHeight="1">
      <c r="A565" s="4">
        <v>562.0</v>
      </c>
      <c r="B565" s="4" t="s">
        <v>1143</v>
      </c>
      <c r="C565" s="4" t="s">
        <v>1144</v>
      </c>
      <c r="D565" s="4" t="s">
        <v>27</v>
      </c>
      <c r="E565" s="6">
        <v>12296.0</v>
      </c>
      <c r="F565" s="6">
        <v>8290.2</v>
      </c>
      <c r="G565" s="6">
        <v>0.0</v>
      </c>
      <c r="H565" s="6">
        <v>22644.0</v>
      </c>
    </row>
    <row r="566" ht="15.75" customHeight="1">
      <c r="A566" s="4">
        <v>563.0</v>
      </c>
      <c r="B566" s="4" t="s">
        <v>1145</v>
      </c>
      <c r="C566" s="4" t="s">
        <v>1146</v>
      </c>
      <c r="D566" s="4" t="s">
        <v>27</v>
      </c>
      <c r="E566" s="6">
        <v>13186.5</v>
      </c>
      <c r="F566" s="6">
        <v>7415.2</v>
      </c>
      <c r="G566" s="6">
        <v>0.0</v>
      </c>
      <c r="H566" s="6">
        <v>22661.0</v>
      </c>
    </row>
    <row r="567" ht="15.75" customHeight="1">
      <c r="A567" s="9">
        <v>564.0</v>
      </c>
      <c r="B567" s="9" t="s">
        <v>1147</v>
      </c>
      <c r="C567" s="10" t="s">
        <v>1148</v>
      </c>
      <c r="D567" s="9"/>
      <c r="E567" s="11"/>
      <c r="F567" s="11"/>
      <c r="G567" s="11"/>
      <c r="H567" s="11"/>
    </row>
    <row r="568" ht="15.75" customHeight="1">
      <c r="A568" s="4">
        <v>565.0</v>
      </c>
      <c r="B568" s="4" t="s">
        <v>1149</v>
      </c>
      <c r="C568" s="4" t="s">
        <v>1150</v>
      </c>
      <c r="D568" s="4" t="s">
        <v>36</v>
      </c>
      <c r="E568" s="6">
        <v>24614.0</v>
      </c>
      <c r="F568" s="6">
        <v>89346.6</v>
      </c>
      <c r="G568" s="6">
        <v>0.0</v>
      </c>
      <c r="H568" s="6">
        <v>125356.0</v>
      </c>
    </row>
    <row r="569" ht="15.75" customHeight="1">
      <c r="A569" s="4">
        <v>566.0</v>
      </c>
      <c r="B569" s="4" t="s">
        <v>1151</v>
      </c>
      <c r="C569" s="4" t="s">
        <v>1152</v>
      </c>
      <c r="D569" s="4" t="s">
        <v>36</v>
      </c>
      <c r="E569" s="6">
        <v>26365.5</v>
      </c>
      <c r="F569" s="6">
        <v>89348.1</v>
      </c>
      <c r="G569" s="6">
        <v>0.0</v>
      </c>
      <c r="H569" s="6">
        <v>127284.0</v>
      </c>
    </row>
    <row r="570" ht="15.75" customHeight="1">
      <c r="A570" s="4">
        <v>567.0</v>
      </c>
      <c r="B570" s="4" t="s">
        <v>1153</v>
      </c>
      <c r="C570" s="4" t="s">
        <v>1154</v>
      </c>
      <c r="D570" s="4" t="s">
        <v>36</v>
      </c>
      <c r="E570" s="6">
        <v>28398.0</v>
      </c>
      <c r="F570" s="6">
        <v>76224.6</v>
      </c>
      <c r="G570" s="6">
        <v>0.0</v>
      </c>
      <c r="H570" s="6">
        <v>115084.0</v>
      </c>
    </row>
    <row r="571" ht="15.75" customHeight="1">
      <c r="A571" s="4">
        <v>568.0</v>
      </c>
      <c r="B571" s="4" t="s">
        <v>1155</v>
      </c>
      <c r="C571" s="4" t="s">
        <v>1156</v>
      </c>
      <c r="D571" s="4" t="s">
        <v>36</v>
      </c>
      <c r="E571" s="6">
        <v>39091.0</v>
      </c>
      <c r="F571" s="6">
        <v>60182.6</v>
      </c>
      <c r="G571" s="6">
        <v>0.0</v>
      </c>
      <c r="H571" s="6">
        <v>109200.0</v>
      </c>
    </row>
    <row r="572" ht="15.75" customHeight="1">
      <c r="A572" s="4">
        <v>569.0</v>
      </c>
      <c r="B572" s="4" t="s">
        <v>1157</v>
      </c>
      <c r="C572" s="4" t="s">
        <v>1158</v>
      </c>
      <c r="D572" s="4" t="s">
        <v>36</v>
      </c>
      <c r="E572" s="6">
        <v>10564.5</v>
      </c>
      <c r="F572" s="6">
        <v>12381.6</v>
      </c>
      <c r="G572" s="6">
        <v>0.0</v>
      </c>
      <c r="H572" s="6">
        <v>25240.0</v>
      </c>
    </row>
    <row r="573" ht="15.75" customHeight="1">
      <c r="A573" s="4">
        <v>570.0</v>
      </c>
      <c r="B573" s="4" t="s">
        <v>1159</v>
      </c>
      <c r="C573" s="4" t="s">
        <v>1160</v>
      </c>
      <c r="D573" s="4" t="s">
        <v>36</v>
      </c>
      <c r="E573" s="6">
        <v>11531.0</v>
      </c>
      <c r="F573" s="6">
        <v>11506.6</v>
      </c>
      <c r="G573" s="6">
        <v>0.0</v>
      </c>
      <c r="H573" s="6">
        <v>25341.0</v>
      </c>
    </row>
    <row r="574" ht="15.75" customHeight="1">
      <c r="A574" s="4">
        <v>571.0</v>
      </c>
      <c r="B574" s="4" t="s">
        <v>1161</v>
      </c>
      <c r="C574" s="4" t="s">
        <v>1162</v>
      </c>
      <c r="D574" s="4" t="s">
        <v>36</v>
      </c>
      <c r="E574" s="6">
        <v>12296.0</v>
      </c>
      <c r="F574" s="6">
        <v>7879506.600000001</v>
      </c>
      <c r="G574" s="6">
        <v>0.0</v>
      </c>
      <c r="H574" s="6">
        <v>8680982.0</v>
      </c>
    </row>
    <row r="575" ht="15.75" customHeight="1">
      <c r="A575" s="4">
        <v>572.0</v>
      </c>
      <c r="B575" s="4" t="s">
        <v>1163</v>
      </c>
      <c r="C575" s="4" t="s">
        <v>1164</v>
      </c>
      <c r="D575" s="4" t="s">
        <v>36</v>
      </c>
      <c r="E575" s="6">
        <v>13186.5</v>
      </c>
      <c r="F575" s="6">
        <v>12381.6</v>
      </c>
      <c r="G575" s="6">
        <v>0.0</v>
      </c>
      <c r="H575" s="6">
        <v>28124.0</v>
      </c>
    </row>
    <row r="576" ht="15.75" customHeight="1">
      <c r="A576" s="9">
        <v>573.0</v>
      </c>
      <c r="B576" s="9" t="s">
        <v>1165</v>
      </c>
      <c r="C576" s="10" t="s">
        <v>1166</v>
      </c>
      <c r="D576" s="9"/>
      <c r="E576" s="11"/>
      <c r="F576" s="11"/>
      <c r="G576" s="11"/>
      <c r="H576" s="11"/>
    </row>
    <row r="577" ht="15.75" customHeight="1">
      <c r="A577" s="4">
        <v>574.0</v>
      </c>
      <c r="B577" s="4" t="s">
        <v>1167</v>
      </c>
      <c r="C577" s="4" t="s">
        <v>1168</v>
      </c>
      <c r="D577" s="4" t="s">
        <v>36</v>
      </c>
      <c r="E577" s="6">
        <v>26365.5</v>
      </c>
      <c r="F577" s="6">
        <v>316854.6</v>
      </c>
      <c r="G577" s="6">
        <v>0.0</v>
      </c>
      <c r="H577" s="6">
        <v>377542.0</v>
      </c>
    </row>
    <row r="578" ht="15.75" customHeight="1">
      <c r="A578" s="4">
        <v>575.0</v>
      </c>
      <c r="B578" s="4" t="s">
        <v>1169</v>
      </c>
      <c r="C578" s="4" t="s">
        <v>1170</v>
      </c>
      <c r="D578" s="4" t="s">
        <v>36</v>
      </c>
      <c r="E578" s="6">
        <v>28398.0</v>
      </c>
      <c r="F578" s="6">
        <v>233736.6</v>
      </c>
      <c r="G578" s="6">
        <v>0.0</v>
      </c>
      <c r="H578" s="6">
        <v>288348.0</v>
      </c>
    </row>
    <row r="579" ht="15.75" customHeight="1">
      <c r="A579" s="4">
        <v>576.0</v>
      </c>
      <c r="B579" s="4" t="s">
        <v>1171</v>
      </c>
      <c r="C579" s="4" t="s">
        <v>1172</v>
      </c>
      <c r="D579" s="4" t="s">
        <v>36</v>
      </c>
      <c r="E579" s="6">
        <v>66450.0</v>
      </c>
      <c r="F579" s="6">
        <v>126780.0</v>
      </c>
      <c r="G579" s="6">
        <v>0.0</v>
      </c>
      <c r="H579" s="6">
        <v>212553.0</v>
      </c>
    </row>
    <row r="580" ht="15.75" customHeight="1">
      <c r="A580" s="4">
        <v>577.0</v>
      </c>
      <c r="B580" s="4" t="s">
        <v>1173</v>
      </c>
      <c r="C580" s="4" t="s">
        <v>1174</v>
      </c>
      <c r="D580" s="4" t="s">
        <v>36</v>
      </c>
      <c r="E580" s="6">
        <v>11531.0</v>
      </c>
      <c r="F580" s="6">
        <v>18506.6</v>
      </c>
      <c r="G580" s="6">
        <v>0.0</v>
      </c>
      <c r="H580" s="6">
        <v>33041.0</v>
      </c>
    </row>
    <row r="581" ht="15.75" customHeight="1">
      <c r="A581" s="4">
        <v>578.0</v>
      </c>
      <c r="B581" s="4" t="s">
        <v>1175</v>
      </c>
      <c r="C581" s="4" t="s">
        <v>1176</v>
      </c>
      <c r="D581" s="4" t="s">
        <v>36</v>
      </c>
      <c r="E581" s="6">
        <v>12296.0</v>
      </c>
      <c r="F581" s="6">
        <v>20256.6</v>
      </c>
      <c r="G581" s="6">
        <v>0.0</v>
      </c>
      <c r="H581" s="6">
        <v>35807.0</v>
      </c>
    </row>
    <row r="582" ht="15.75" customHeight="1">
      <c r="A582" s="9">
        <v>579.0</v>
      </c>
      <c r="B582" s="9" t="s">
        <v>1177</v>
      </c>
      <c r="C582" s="10" t="s">
        <v>1178</v>
      </c>
      <c r="D582" s="9"/>
      <c r="E582" s="11"/>
      <c r="F582" s="11"/>
      <c r="G582" s="11"/>
      <c r="H582" s="11"/>
    </row>
    <row r="583" ht="15.75" customHeight="1">
      <c r="A583" s="4">
        <v>580.0</v>
      </c>
      <c r="B583" s="4" t="s">
        <v>1179</v>
      </c>
      <c r="C583" s="4" t="s">
        <v>1180</v>
      </c>
      <c r="D583" s="4" t="s">
        <v>36</v>
      </c>
      <c r="E583" s="6">
        <v>26365.5</v>
      </c>
      <c r="F583" s="6">
        <v>270186.6</v>
      </c>
      <c r="G583" s="6">
        <v>0.0</v>
      </c>
      <c r="H583" s="6">
        <v>326207.0</v>
      </c>
    </row>
    <row r="584" ht="15.75" customHeight="1">
      <c r="A584" s="4">
        <v>581.0</v>
      </c>
      <c r="B584" s="4" t="s">
        <v>1181</v>
      </c>
      <c r="C584" s="4" t="s">
        <v>1182</v>
      </c>
      <c r="D584" s="4" t="s">
        <v>36</v>
      </c>
      <c r="E584" s="6">
        <v>28398.0</v>
      </c>
      <c r="F584" s="6">
        <v>233736.6</v>
      </c>
      <c r="G584" s="6">
        <v>0.0</v>
      </c>
      <c r="H584" s="6">
        <v>288348.0</v>
      </c>
    </row>
    <row r="585" ht="15.75" customHeight="1">
      <c r="A585" s="4">
        <v>582.0</v>
      </c>
      <c r="B585" s="4" t="s">
        <v>1183</v>
      </c>
      <c r="C585" s="4" t="s">
        <v>1184</v>
      </c>
      <c r="D585" s="4" t="s">
        <v>36</v>
      </c>
      <c r="E585" s="6">
        <v>39091.0</v>
      </c>
      <c r="F585" s="6">
        <v>182696.6</v>
      </c>
      <c r="G585" s="6">
        <v>0.0</v>
      </c>
      <c r="H585" s="6">
        <v>243966.0</v>
      </c>
    </row>
    <row r="586" ht="15.75" customHeight="1">
      <c r="A586" s="4">
        <v>583.0</v>
      </c>
      <c r="B586" s="4" t="s">
        <v>1185</v>
      </c>
      <c r="C586" s="4" t="s">
        <v>1186</v>
      </c>
      <c r="D586" s="4" t="s">
        <v>27</v>
      </c>
      <c r="E586" s="6">
        <v>11531.0</v>
      </c>
      <c r="F586" s="6">
        <v>22006.6</v>
      </c>
      <c r="G586" s="6">
        <v>0.0</v>
      </c>
      <c r="H586" s="6">
        <v>36891.0</v>
      </c>
    </row>
    <row r="587" ht="15.75" customHeight="1">
      <c r="A587" s="4">
        <v>584.0</v>
      </c>
      <c r="B587" s="4" t="s">
        <v>1187</v>
      </c>
      <c r="C587" s="4" t="s">
        <v>1188</v>
      </c>
      <c r="D587" s="4" t="s">
        <v>27</v>
      </c>
      <c r="E587" s="6">
        <v>12296.0</v>
      </c>
      <c r="F587" s="6">
        <v>22881.6</v>
      </c>
      <c r="G587" s="6">
        <v>0.0</v>
      </c>
      <c r="H587" s="6">
        <v>38695.0</v>
      </c>
    </row>
    <row r="588" ht="15.75" customHeight="1">
      <c r="A588" s="4">
        <v>585.0</v>
      </c>
      <c r="B588" s="4" t="s">
        <v>1189</v>
      </c>
      <c r="C588" s="4" t="s">
        <v>1190</v>
      </c>
      <c r="D588" s="4" t="s">
        <v>27</v>
      </c>
      <c r="E588" s="6">
        <v>13186.5</v>
      </c>
      <c r="F588" s="6">
        <v>22006.6</v>
      </c>
      <c r="G588" s="6">
        <v>0.0</v>
      </c>
      <c r="H588" s="6">
        <v>38712.0</v>
      </c>
    </row>
    <row r="589" ht="15.75" customHeight="1">
      <c r="A589" s="4">
        <v>586.0</v>
      </c>
      <c r="B589" s="4" t="s">
        <v>1191</v>
      </c>
      <c r="C589" s="4" t="s">
        <v>1192</v>
      </c>
      <c r="D589" s="4" t="s">
        <v>27</v>
      </c>
      <c r="E589" s="6">
        <v>26365.5</v>
      </c>
      <c r="F589" s="6">
        <v>351855.6</v>
      </c>
      <c r="G589" s="6">
        <v>0.0</v>
      </c>
      <c r="H589" s="6">
        <v>416043.0</v>
      </c>
    </row>
    <row r="590" ht="15.75" customHeight="1">
      <c r="A590" s="4">
        <v>587.0</v>
      </c>
      <c r="B590" s="4" t="s">
        <v>1193</v>
      </c>
      <c r="C590" s="4" t="s">
        <v>1194</v>
      </c>
      <c r="D590" s="4" t="s">
        <v>27</v>
      </c>
      <c r="E590" s="6">
        <v>28398.0</v>
      </c>
      <c r="F590" s="6">
        <v>292803.6</v>
      </c>
      <c r="G590" s="6">
        <v>0.0</v>
      </c>
      <c r="H590" s="6">
        <v>353321.0</v>
      </c>
    </row>
    <row r="591" ht="15.75" customHeight="1">
      <c r="A591" s="4">
        <v>588.0</v>
      </c>
      <c r="B591" s="4" t="s">
        <v>1195</v>
      </c>
      <c r="C591" s="4" t="s">
        <v>1196</v>
      </c>
      <c r="D591" s="4" t="s">
        <v>27</v>
      </c>
      <c r="E591" s="6">
        <v>39091.0</v>
      </c>
      <c r="F591" s="6">
        <v>200198.6</v>
      </c>
      <c r="G591" s="6">
        <v>0.0</v>
      </c>
      <c r="H591" s="6">
        <v>263218.0</v>
      </c>
    </row>
    <row r="592" ht="15.75" customHeight="1">
      <c r="A592" s="4">
        <v>589.0</v>
      </c>
      <c r="B592" s="4" t="s">
        <v>1197</v>
      </c>
      <c r="C592" s="4" t="s">
        <v>1198</v>
      </c>
      <c r="D592" s="4" t="s">
        <v>27</v>
      </c>
      <c r="E592" s="6">
        <v>11531.0</v>
      </c>
      <c r="F592" s="6">
        <v>29006.6</v>
      </c>
      <c r="G592" s="6">
        <v>0.0</v>
      </c>
      <c r="H592" s="6">
        <v>44591.0</v>
      </c>
    </row>
    <row r="593" ht="15.75" customHeight="1">
      <c r="A593" s="4">
        <v>590.0</v>
      </c>
      <c r="B593" s="4" t="s">
        <v>1199</v>
      </c>
      <c r="C593" s="4" t="s">
        <v>1200</v>
      </c>
      <c r="D593" s="4" t="s">
        <v>27</v>
      </c>
      <c r="E593" s="6">
        <v>12296.0</v>
      </c>
      <c r="F593" s="6">
        <v>28131.6</v>
      </c>
      <c r="G593" s="6">
        <v>0.0</v>
      </c>
      <c r="H593" s="6">
        <v>44470.0</v>
      </c>
    </row>
    <row r="594" ht="15.75" customHeight="1">
      <c r="A594" s="4">
        <v>591.0</v>
      </c>
      <c r="B594" s="4" t="s">
        <v>1201</v>
      </c>
      <c r="C594" s="4" t="s">
        <v>1202</v>
      </c>
      <c r="D594" s="4" t="s">
        <v>27</v>
      </c>
      <c r="E594" s="6">
        <v>13186.5</v>
      </c>
      <c r="F594" s="6">
        <v>27256.6</v>
      </c>
      <c r="G594" s="6">
        <v>0.0</v>
      </c>
      <c r="H594" s="6">
        <v>44487.0</v>
      </c>
    </row>
    <row r="595" ht="15.75" customHeight="1">
      <c r="A595" s="9">
        <v>592.0</v>
      </c>
      <c r="B595" s="9" t="s">
        <v>1203</v>
      </c>
      <c r="C595" s="10" t="s">
        <v>1204</v>
      </c>
      <c r="D595" s="9"/>
      <c r="E595" s="11"/>
      <c r="F595" s="11"/>
      <c r="G595" s="11"/>
      <c r="H595" s="11"/>
    </row>
    <row r="596" ht="15.75" customHeight="1">
      <c r="A596" s="4">
        <v>593.0</v>
      </c>
      <c r="B596" s="4" t="s">
        <v>1205</v>
      </c>
      <c r="C596" s="4" t="s">
        <v>1206</v>
      </c>
      <c r="D596" s="4" t="s">
        <v>36</v>
      </c>
      <c r="E596" s="6">
        <v>26365.5</v>
      </c>
      <c r="F596" s="6">
        <v>202518.0</v>
      </c>
      <c r="G596" s="6">
        <v>0.0</v>
      </c>
      <c r="H596" s="6">
        <v>251771.0</v>
      </c>
    </row>
    <row r="597" ht="15.75" customHeight="1">
      <c r="A597" s="4">
        <v>594.0</v>
      </c>
      <c r="B597" s="4" t="s">
        <v>1207</v>
      </c>
      <c r="C597" s="4" t="s">
        <v>1208</v>
      </c>
      <c r="D597" s="4" t="s">
        <v>36</v>
      </c>
      <c r="E597" s="6">
        <v>28398.0</v>
      </c>
      <c r="F597" s="6">
        <v>168106.6</v>
      </c>
      <c r="G597" s="6">
        <v>0.0</v>
      </c>
      <c r="H597" s="6">
        <v>216155.0</v>
      </c>
    </row>
    <row r="598" ht="15.75" customHeight="1">
      <c r="A598" s="4">
        <v>595.0</v>
      </c>
      <c r="B598" s="4" t="s">
        <v>1209</v>
      </c>
      <c r="C598" s="4" t="s">
        <v>1210</v>
      </c>
      <c r="D598" s="4" t="s">
        <v>36</v>
      </c>
      <c r="E598" s="6">
        <v>39091.0</v>
      </c>
      <c r="F598" s="6">
        <v>124356.6</v>
      </c>
      <c r="G598" s="6">
        <v>0.0</v>
      </c>
      <c r="H598" s="6">
        <v>179792.0</v>
      </c>
    </row>
    <row r="599" ht="15.75" customHeight="1">
      <c r="A599" s="4">
        <v>596.0</v>
      </c>
      <c r="B599" s="4" t="s">
        <v>1211</v>
      </c>
      <c r="C599" s="4" t="s">
        <v>1212</v>
      </c>
      <c r="D599" s="4" t="s">
        <v>36</v>
      </c>
      <c r="E599" s="6">
        <v>11531.0</v>
      </c>
      <c r="F599" s="6">
        <v>25506.6</v>
      </c>
      <c r="G599" s="6">
        <v>0.0</v>
      </c>
      <c r="H599" s="6">
        <v>40741.0</v>
      </c>
    </row>
    <row r="600" ht="15.75" customHeight="1">
      <c r="A600" s="4">
        <v>597.0</v>
      </c>
      <c r="B600" s="4" t="s">
        <v>1213</v>
      </c>
      <c r="C600" s="4" t="s">
        <v>1214</v>
      </c>
      <c r="D600" s="4" t="s">
        <v>36</v>
      </c>
      <c r="E600" s="6">
        <v>12296.0</v>
      </c>
      <c r="F600" s="6">
        <v>25506.6</v>
      </c>
      <c r="G600" s="6">
        <v>0.0</v>
      </c>
      <c r="H600" s="6">
        <v>41582.0</v>
      </c>
    </row>
    <row r="601" ht="15.75" customHeight="1">
      <c r="A601" s="4">
        <v>598.0</v>
      </c>
      <c r="B601" s="4" t="s">
        <v>1215</v>
      </c>
      <c r="C601" s="4" t="s">
        <v>1216</v>
      </c>
      <c r="D601" s="4" t="s">
        <v>36</v>
      </c>
      <c r="E601" s="6">
        <v>13186.5</v>
      </c>
      <c r="F601" s="6">
        <v>22006.6</v>
      </c>
      <c r="G601" s="6">
        <v>0.0</v>
      </c>
      <c r="H601" s="6">
        <v>38712.0</v>
      </c>
    </row>
    <row r="602" ht="15.75" customHeight="1">
      <c r="A602" s="9">
        <v>599.0</v>
      </c>
      <c r="B602" s="9" t="s">
        <v>1217</v>
      </c>
      <c r="C602" s="10" t="s">
        <v>1218</v>
      </c>
      <c r="D602" s="9"/>
      <c r="E602" s="11"/>
      <c r="F602" s="11"/>
      <c r="G602" s="11"/>
      <c r="H602" s="11"/>
    </row>
    <row r="603" ht="15.75" customHeight="1">
      <c r="A603" s="4">
        <v>600.0</v>
      </c>
      <c r="B603" s="4" t="s">
        <v>1219</v>
      </c>
      <c r="C603" s="4" t="s">
        <v>1220</v>
      </c>
      <c r="D603" s="4" t="s">
        <v>36</v>
      </c>
      <c r="E603" s="6">
        <v>26365.5</v>
      </c>
      <c r="F603" s="6">
        <v>561861.6</v>
      </c>
      <c r="G603" s="6">
        <v>0.0</v>
      </c>
      <c r="H603" s="6">
        <v>647049.0</v>
      </c>
    </row>
    <row r="604" ht="15.75" customHeight="1">
      <c r="A604" s="4">
        <v>601.0</v>
      </c>
      <c r="B604" s="4" t="s">
        <v>1221</v>
      </c>
      <c r="C604" s="4" t="s">
        <v>1222</v>
      </c>
      <c r="D604" s="4" t="s">
        <v>36</v>
      </c>
      <c r="E604" s="6">
        <v>28398.0</v>
      </c>
      <c r="F604" s="6">
        <v>430626.6</v>
      </c>
      <c r="G604" s="6">
        <v>0.0</v>
      </c>
      <c r="H604" s="6">
        <v>504927.0</v>
      </c>
    </row>
    <row r="605" ht="15.75" customHeight="1">
      <c r="A605" s="4">
        <v>602.0</v>
      </c>
      <c r="B605" s="4" t="s">
        <v>1223</v>
      </c>
      <c r="C605" s="4" t="s">
        <v>1224</v>
      </c>
      <c r="D605" s="4" t="s">
        <v>36</v>
      </c>
      <c r="E605" s="6">
        <v>39091.0</v>
      </c>
      <c r="F605" s="6">
        <v>241036.6</v>
      </c>
      <c r="G605" s="6">
        <v>0.0</v>
      </c>
      <c r="H605" s="6">
        <v>308140.0</v>
      </c>
    </row>
    <row r="606" ht="15.75" customHeight="1">
      <c r="A606" s="4">
        <v>603.0</v>
      </c>
      <c r="B606" s="4" t="s">
        <v>1225</v>
      </c>
      <c r="C606" s="4" t="s">
        <v>1226</v>
      </c>
      <c r="D606" s="4" t="s">
        <v>36</v>
      </c>
      <c r="E606" s="6">
        <v>11531.0</v>
      </c>
      <c r="F606" s="6">
        <v>11506.6</v>
      </c>
      <c r="G606" s="6">
        <v>0.0</v>
      </c>
      <c r="H606" s="6">
        <v>25341.0</v>
      </c>
    </row>
    <row r="607" ht="15.75" customHeight="1">
      <c r="A607" s="4">
        <v>604.0</v>
      </c>
      <c r="B607" s="4" t="s">
        <v>1227</v>
      </c>
      <c r="C607" s="4" t="s">
        <v>1228</v>
      </c>
      <c r="D607" s="4" t="s">
        <v>36</v>
      </c>
      <c r="E607" s="6">
        <v>12296.0</v>
      </c>
      <c r="F607" s="6">
        <v>12381.6</v>
      </c>
      <c r="G607" s="6">
        <v>0.0</v>
      </c>
      <c r="H607" s="6">
        <v>27145.0</v>
      </c>
    </row>
    <row r="608" ht="15.75" customHeight="1">
      <c r="A608" s="4">
        <v>605.0</v>
      </c>
      <c r="B608" s="4" t="s">
        <v>1229</v>
      </c>
      <c r="C608" s="4" t="s">
        <v>1230</v>
      </c>
      <c r="D608" s="4" t="s">
        <v>36</v>
      </c>
      <c r="E608" s="6">
        <v>13186.5</v>
      </c>
      <c r="F608" s="6">
        <v>11506.6</v>
      </c>
      <c r="G608" s="6">
        <v>0.0</v>
      </c>
      <c r="H608" s="6">
        <v>27162.0</v>
      </c>
    </row>
    <row r="609" ht="15.75" customHeight="1">
      <c r="A609" s="4">
        <v>606.0</v>
      </c>
      <c r="B609" s="4" t="s">
        <v>1231</v>
      </c>
      <c r="C609" s="4" t="s">
        <v>1232</v>
      </c>
      <c r="D609" s="4" t="s">
        <v>36</v>
      </c>
      <c r="E609" s="6">
        <v>11531.0</v>
      </c>
      <c r="F609" s="6">
        <v>13256.6</v>
      </c>
      <c r="G609" s="6">
        <v>0.0</v>
      </c>
      <c r="H609" s="6">
        <v>27266.0</v>
      </c>
    </row>
    <row r="610" ht="15.75" customHeight="1">
      <c r="A610" s="4">
        <v>607.0</v>
      </c>
      <c r="B610" s="4" t="s">
        <v>1233</v>
      </c>
      <c r="C610" s="4" t="s">
        <v>1234</v>
      </c>
      <c r="D610" s="4" t="s">
        <v>36</v>
      </c>
      <c r="E610" s="6">
        <v>12296.0</v>
      </c>
      <c r="F610" s="6">
        <v>12381.6</v>
      </c>
      <c r="G610" s="6">
        <v>0.0</v>
      </c>
      <c r="H610" s="6">
        <v>27145.0</v>
      </c>
    </row>
    <row r="611" ht="15.75" customHeight="1">
      <c r="A611" s="4">
        <v>608.0</v>
      </c>
      <c r="B611" s="4" t="s">
        <v>1235</v>
      </c>
      <c r="C611" s="4" t="s">
        <v>1236</v>
      </c>
      <c r="D611" s="4" t="s">
        <v>36</v>
      </c>
      <c r="E611" s="6">
        <v>13186.5</v>
      </c>
      <c r="F611" s="6">
        <v>11506.6</v>
      </c>
      <c r="G611" s="6">
        <v>0.0</v>
      </c>
      <c r="H611" s="6">
        <v>27162.0</v>
      </c>
    </row>
    <row r="612" ht="15.75" customHeight="1">
      <c r="A612" s="9">
        <v>609.0</v>
      </c>
      <c r="B612" s="9" t="s">
        <v>1237</v>
      </c>
      <c r="C612" s="10" t="s">
        <v>1238</v>
      </c>
      <c r="D612" s="9"/>
      <c r="E612" s="11"/>
      <c r="F612" s="11"/>
      <c r="G612" s="11"/>
      <c r="H612" s="11"/>
    </row>
    <row r="613" ht="15.75" customHeight="1">
      <c r="A613" s="4">
        <v>610.0</v>
      </c>
      <c r="B613" s="4" t="s">
        <v>1239</v>
      </c>
      <c r="C613" s="4" t="s">
        <v>1240</v>
      </c>
      <c r="D613" s="4" t="s">
        <v>36</v>
      </c>
      <c r="E613" s="6">
        <v>61544.0</v>
      </c>
      <c r="F613" s="6">
        <v>200909.6</v>
      </c>
      <c r="G613" s="6">
        <v>0.0</v>
      </c>
      <c r="H613" s="6">
        <v>288698.0</v>
      </c>
    </row>
    <row r="614" ht="15.75" customHeight="1">
      <c r="A614" s="4">
        <v>611.0</v>
      </c>
      <c r="B614" s="4" t="s">
        <v>1241</v>
      </c>
      <c r="C614" s="4" t="s">
        <v>1242</v>
      </c>
      <c r="D614" s="4" t="s">
        <v>36</v>
      </c>
      <c r="E614" s="6">
        <v>61544.0</v>
      </c>
      <c r="F614" s="6">
        <v>194346.6</v>
      </c>
      <c r="G614" s="6">
        <v>0.0</v>
      </c>
      <c r="H614" s="6">
        <v>281479.0</v>
      </c>
    </row>
    <row r="615" ht="15.75" customHeight="1">
      <c r="A615" s="4">
        <v>612.0</v>
      </c>
      <c r="B615" s="4" t="s">
        <v>1243</v>
      </c>
      <c r="C615" s="4" t="s">
        <v>1244</v>
      </c>
      <c r="D615" s="4" t="s">
        <v>36</v>
      </c>
      <c r="E615" s="6">
        <v>129215.0</v>
      </c>
      <c r="F615" s="6">
        <v>89346.6</v>
      </c>
      <c r="G615" s="6">
        <v>0.0</v>
      </c>
      <c r="H615" s="6">
        <v>240417.0</v>
      </c>
    </row>
    <row r="616" ht="15.75" customHeight="1">
      <c r="A616" s="4">
        <v>613.0</v>
      </c>
      <c r="B616" s="4" t="s">
        <v>1245</v>
      </c>
      <c r="C616" s="4" t="s">
        <v>1246</v>
      </c>
      <c r="D616" s="4" t="s">
        <v>36</v>
      </c>
      <c r="E616" s="6">
        <v>129215.0</v>
      </c>
      <c r="F616" s="6">
        <v>71847.6</v>
      </c>
      <c r="G616" s="6">
        <v>0.0</v>
      </c>
      <c r="H616" s="6">
        <v>221168.0</v>
      </c>
    </row>
    <row r="617" ht="15.75" customHeight="1">
      <c r="A617" s="4">
        <v>614.0</v>
      </c>
      <c r="B617" s="4" t="s">
        <v>1247</v>
      </c>
      <c r="C617" s="4" t="s">
        <v>1248</v>
      </c>
      <c r="D617" s="4" t="s">
        <v>36</v>
      </c>
      <c r="E617" s="6">
        <v>129215.0</v>
      </c>
      <c r="F617" s="6">
        <v>63098.6</v>
      </c>
      <c r="G617" s="6">
        <v>0.0</v>
      </c>
      <c r="H617" s="6">
        <v>211544.0</v>
      </c>
    </row>
    <row r="618" ht="15.75" customHeight="1">
      <c r="A618" s="4">
        <v>615.0</v>
      </c>
      <c r="B618" s="4" t="s">
        <v>1249</v>
      </c>
      <c r="C618" s="4" t="s">
        <v>1250</v>
      </c>
      <c r="D618" s="4" t="s">
        <v>36</v>
      </c>
      <c r="E618" s="6">
        <v>201875.0</v>
      </c>
      <c r="F618" s="6">
        <v>31006.6</v>
      </c>
      <c r="G618" s="6">
        <v>0.0</v>
      </c>
      <c r="H618" s="6">
        <v>256169.0</v>
      </c>
    </row>
    <row r="619" ht="15.75" customHeight="1">
      <c r="A619" s="9">
        <v>616.0</v>
      </c>
      <c r="B619" s="9" t="s">
        <v>1251</v>
      </c>
      <c r="C619" s="10" t="s">
        <v>1252</v>
      </c>
      <c r="D619" s="9"/>
      <c r="E619" s="11"/>
      <c r="F619" s="11"/>
      <c r="G619" s="11"/>
      <c r="H619" s="11"/>
    </row>
    <row r="620" ht="15.75" customHeight="1">
      <c r="A620" s="4">
        <v>617.0</v>
      </c>
      <c r="B620" s="4" t="s">
        <v>1253</v>
      </c>
      <c r="C620" s="4" t="s">
        <v>1254</v>
      </c>
      <c r="D620" s="4" t="s">
        <v>36</v>
      </c>
      <c r="E620" s="6">
        <v>24614.0</v>
      </c>
      <c r="F620" s="6">
        <v>94596.6</v>
      </c>
      <c r="G620" s="6">
        <v>0.0</v>
      </c>
      <c r="H620" s="6">
        <v>131131.0</v>
      </c>
    </row>
    <row r="621" ht="15.75" customHeight="1">
      <c r="A621" s="4">
        <v>618.0</v>
      </c>
      <c r="B621" s="4" t="s">
        <v>1255</v>
      </c>
      <c r="C621" s="4" t="s">
        <v>1256</v>
      </c>
      <c r="D621" s="4" t="s">
        <v>36</v>
      </c>
      <c r="E621" s="6">
        <v>26365.5</v>
      </c>
      <c r="F621" s="6">
        <v>83514.6</v>
      </c>
      <c r="G621" s="6">
        <v>0.0</v>
      </c>
      <c r="H621" s="6">
        <v>120868.0</v>
      </c>
    </row>
    <row r="622" ht="15.75" customHeight="1">
      <c r="A622" s="4">
        <v>619.0</v>
      </c>
      <c r="B622" s="4" t="s">
        <v>1257</v>
      </c>
      <c r="C622" s="4" t="s">
        <v>1258</v>
      </c>
      <c r="D622" s="4" t="s">
        <v>36</v>
      </c>
      <c r="E622" s="6">
        <v>28398.0</v>
      </c>
      <c r="F622" s="6">
        <v>90006.9</v>
      </c>
      <c r="G622" s="6">
        <v>0.0</v>
      </c>
      <c r="H622" s="6">
        <v>130245.0</v>
      </c>
    </row>
    <row r="623" ht="15.75" customHeight="1">
      <c r="A623" s="9">
        <v>620.0</v>
      </c>
      <c r="B623" s="9" t="s">
        <v>1259</v>
      </c>
      <c r="C623" s="10" t="s">
        <v>1260</v>
      </c>
      <c r="D623" s="9"/>
      <c r="E623" s="11"/>
      <c r="F623" s="11"/>
      <c r="G623" s="11"/>
      <c r="H623" s="11"/>
    </row>
    <row r="624" ht="15.75" customHeight="1">
      <c r="A624" s="4">
        <v>621.0</v>
      </c>
      <c r="B624" s="4" t="s">
        <v>1261</v>
      </c>
      <c r="C624" s="4" t="s">
        <v>1262</v>
      </c>
      <c r="D624" s="4" t="s">
        <v>36</v>
      </c>
      <c r="E624" s="6">
        <v>0.0</v>
      </c>
      <c r="F624" s="6">
        <v>0.0</v>
      </c>
      <c r="G624" s="6">
        <v>0.0</v>
      </c>
      <c r="H624" s="6">
        <v>294915.0</v>
      </c>
    </row>
    <row r="625" ht="15.75" customHeight="1">
      <c r="A625" s="4">
        <v>622.0</v>
      </c>
      <c r="B625" s="4" t="s">
        <v>1263</v>
      </c>
      <c r="C625" s="4" t="s">
        <v>1264</v>
      </c>
      <c r="D625" s="4" t="s">
        <v>36</v>
      </c>
      <c r="E625" s="6">
        <v>0.0</v>
      </c>
      <c r="F625" s="6">
        <v>0.0</v>
      </c>
      <c r="G625" s="6">
        <v>0.0</v>
      </c>
      <c r="H625" s="6">
        <v>302056.0</v>
      </c>
    </row>
    <row r="626" ht="15.75" customHeight="1">
      <c r="A626" s="4">
        <v>623.0</v>
      </c>
      <c r="B626" s="4" t="s">
        <v>1265</v>
      </c>
      <c r="C626" s="4" t="s">
        <v>1266</v>
      </c>
      <c r="D626" s="4" t="s">
        <v>36</v>
      </c>
      <c r="E626" s="6">
        <v>10564.5</v>
      </c>
      <c r="F626" s="6">
        <v>15006.6</v>
      </c>
      <c r="G626" s="6">
        <v>0.0</v>
      </c>
      <c r="H626" s="6">
        <v>28128.0</v>
      </c>
    </row>
    <row r="627" ht="15.75" customHeight="1">
      <c r="A627" s="4">
        <v>624.0</v>
      </c>
      <c r="B627" s="4" t="s">
        <v>1267</v>
      </c>
      <c r="C627" s="4" t="s">
        <v>1268</v>
      </c>
      <c r="D627" s="4" t="s">
        <v>36</v>
      </c>
      <c r="E627" s="6">
        <v>11531.0</v>
      </c>
      <c r="F627" s="6">
        <v>15006.6</v>
      </c>
      <c r="G627" s="6">
        <v>0.0</v>
      </c>
      <c r="H627" s="6">
        <v>29191.0</v>
      </c>
    </row>
    <row r="628" ht="15.75" customHeight="1">
      <c r="A628" s="4">
        <v>625.0</v>
      </c>
      <c r="B628" s="4" t="s">
        <v>1269</v>
      </c>
      <c r="C628" s="4" t="s">
        <v>1270</v>
      </c>
      <c r="D628" s="4" t="s">
        <v>36</v>
      </c>
      <c r="E628" s="6">
        <v>12296.0</v>
      </c>
      <c r="F628" s="6">
        <v>15006.6</v>
      </c>
      <c r="G628" s="6">
        <v>0.0</v>
      </c>
      <c r="H628" s="6">
        <v>30032.0</v>
      </c>
    </row>
    <row r="629" ht="15.75" customHeight="1">
      <c r="A629" s="4">
        <v>626.0</v>
      </c>
      <c r="B629" s="4" t="s">
        <v>1271</v>
      </c>
      <c r="C629" s="4" t="s">
        <v>1272</v>
      </c>
      <c r="D629" s="4" t="s">
        <v>36</v>
      </c>
      <c r="E629" s="6">
        <v>13186.5</v>
      </c>
      <c r="F629" s="6">
        <v>13256.6</v>
      </c>
      <c r="G629" s="6">
        <v>0.0</v>
      </c>
      <c r="H629" s="6">
        <v>29087.0</v>
      </c>
    </row>
    <row r="630" ht="15.75" customHeight="1">
      <c r="A630" s="4">
        <v>627.0</v>
      </c>
      <c r="B630" s="4" t="s">
        <v>1273</v>
      </c>
      <c r="C630" s="4" t="s">
        <v>1274</v>
      </c>
      <c r="D630" s="4" t="s">
        <v>36</v>
      </c>
      <c r="E630" s="6">
        <v>13186.5</v>
      </c>
      <c r="F630" s="6">
        <v>53506.6</v>
      </c>
      <c r="G630" s="6">
        <v>0.0</v>
      </c>
      <c r="H630" s="6">
        <v>73362.0</v>
      </c>
    </row>
    <row r="631" ht="15.75" customHeight="1">
      <c r="A631" s="9">
        <v>628.0</v>
      </c>
      <c r="B631" s="9" t="s">
        <v>1275</v>
      </c>
      <c r="C631" s="10" t="s">
        <v>1276</v>
      </c>
      <c r="D631" s="9"/>
      <c r="E631" s="11"/>
      <c r="F631" s="11"/>
      <c r="G631" s="11"/>
      <c r="H631" s="11"/>
    </row>
    <row r="632" ht="15.75" customHeight="1">
      <c r="A632" s="4">
        <v>629.0</v>
      </c>
      <c r="B632" s="4" t="s">
        <v>1277</v>
      </c>
      <c r="C632" s="4" t="s">
        <v>1278</v>
      </c>
      <c r="D632" s="4" t="s">
        <v>36</v>
      </c>
      <c r="E632" s="6">
        <v>129215.0</v>
      </c>
      <c r="F632" s="6">
        <v>872067.2</v>
      </c>
      <c r="G632" s="6">
        <v>0.0</v>
      </c>
      <c r="H632" s="6">
        <v>1101410.0</v>
      </c>
    </row>
    <row r="633" ht="15.75" customHeight="1">
      <c r="A633" s="4">
        <v>630.0</v>
      </c>
      <c r="B633" s="4" t="s">
        <v>1279</v>
      </c>
      <c r="C633" s="4" t="s">
        <v>1280</v>
      </c>
      <c r="D633" s="4" t="s">
        <v>36</v>
      </c>
      <c r="E633" s="6">
        <v>45765.0</v>
      </c>
      <c r="F633" s="6">
        <v>73500.0</v>
      </c>
      <c r="G633" s="6">
        <v>0.0</v>
      </c>
      <c r="H633" s="6">
        <v>131191.0</v>
      </c>
    </row>
    <row r="634" ht="15.75" customHeight="1">
      <c r="A634" s="4">
        <v>631.0</v>
      </c>
      <c r="B634" s="4" t="s">
        <v>1281</v>
      </c>
      <c r="C634" s="4" t="s">
        <v>1282</v>
      </c>
      <c r="D634" s="4" t="s">
        <v>36</v>
      </c>
      <c r="E634" s="6">
        <v>32300.0</v>
      </c>
      <c r="F634" s="6">
        <v>36750.0</v>
      </c>
      <c r="G634" s="6">
        <v>0.0</v>
      </c>
      <c r="H634" s="6">
        <v>75955.0</v>
      </c>
    </row>
    <row r="635" ht="15.75" customHeight="1">
      <c r="A635" s="4">
        <v>632.0</v>
      </c>
      <c r="B635" s="4" t="s">
        <v>1283</v>
      </c>
      <c r="C635" s="4" t="s">
        <v>1284</v>
      </c>
      <c r="D635" s="4" t="s">
        <v>36</v>
      </c>
      <c r="E635" s="6">
        <v>129215.0</v>
      </c>
      <c r="F635" s="6">
        <v>331770.0</v>
      </c>
      <c r="G635" s="6">
        <v>0.0</v>
      </c>
      <c r="H635" s="6">
        <v>507083.0</v>
      </c>
    </row>
    <row r="636" ht="15.75" customHeight="1">
      <c r="A636" s="4">
        <v>633.0</v>
      </c>
      <c r="B636" s="4" t="s">
        <v>1285</v>
      </c>
      <c r="C636" s="4" t="s">
        <v>1286</v>
      </c>
      <c r="D636" s="4" t="s">
        <v>36</v>
      </c>
      <c r="E636" s="6">
        <v>129215.0</v>
      </c>
      <c r="F636" s="6">
        <v>219840.0</v>
      </c>
      <c r="G636" s="6">
        <v>0.0</v>
      </c>
      <c r="H636" s="6">
        <v>383960.0</v>
      </c>
    </row>
    <row r="637" ht="15.75" customHeight="1">
      <c r="A637" s="4">
        <v>634.0</v>
      </c>
      <c r="B637" s="4" t="s">
        <v>1287</v>
      </c>
      <c r="C637" s="4" t="s">
        <v>1288</v>
      </c>
      <c r="D637" s="4" t="s">
        <v>36</v>
      </c>
      <c r="E637" s="6">
        <v>32300.0</v>
      </c>
      <c r="F637" s="6">
        <v>79504.5</v>
      </c>
      <c r="G637" s="6">
        <v>0.0</v>
      </c>
      <c r="H637" s="6">
        <v>122984.0</v>
      </c>
    </row>
    <row r="638" ht="15.75" customHeight="1">
      <c r="A638" s="4">
        <v>635.0</v>
      </c>
      <c r="B638" s="4" t="s">
        <v>1289</v>
      </c>
      <c r="C638" s="4" t="s">
        <v>1290</v>
      </c>
      <c r="D638" s="4" t="s">
        <v>36</v>
      </c>
      <c r="E638" s="6">
        <v>40375.0</v>
      </c>
      <c r="F638" s="6">
        <v>104090.0</v>
      </c>
      <c r="G638" s="6">
        <v>0.0</v>
      </c>
      <c r="H638" s="6">
        <v>158911.0</v>
      </c>
    </row>
    <row r="639" ht="15.75" customHeight="1">
      <c r="A639" s="4">
        <v>636.0</v>
      </c>
      <c r="B639" s="4" t="s">
        <v>1291</v>
      </c>
      <c r="C639" s="4" t="s">
        <v>1292</v>
      </c>
      <c r="D639" s="4" t="s">
        <v>36</v>
      </c>
      <c r="E639" s="6">
        <v>21540.0</v>
      </c>
      <c r="F639" s="6">
        <v>26500.0</v>
      </c>
      <c r="G639" s="6">
        <v>0.0</v>
      </c>
      <c r="H639" s="6">
        <v>52844.0</v>
      </c>
    </row>
    <row r="640" ht="15.75" customHeight="1">
      <c r="A640" s="4">
        <v>637.0</v>
      </c>
      <c r="B640" s="4" t="s">
        <v>1293</v>
      </c>
      <c r="C640" s="4" t="s">
        <v>1294</v>
      </c>
      <c r="D640" s="4" t="s">
        <v>36</v>
      </c>
      <c r="E640" s="6">
        <v>32300.0</v>
      </c>
      <c r="F640" s="6">
        <v>25000.0</v>
      </c>
      <c r="G640" s="6">
        <v>0.0</v>
      </c>
      <c r="H640" s="6">
        <v>63030.0</v>
      </c>
    </row>
    <row r="641" ht="15.75" customHeight="1">
      <c r="A641" s="4">
        <v>638.0</v>
      </c>
      <c r="B641" s="4" t="s">
        <v>1295</v>
      </c>
      <c r="C641" s="4" t="s">
        <v>1296</v>
      </c>
      <c r="D641" s="4" t="s">
        <v>36</v>
      </c>
      <c r="E641" s="6">
        <v>36910.0</v>
      </c>
      <c r="F641" s="6">
        <v>1355000.0</v>
      </c>
      <c r="G641" s="6">
        <v>0.0</v>
      </c>
      <c r="H641" s="6">
        <v>1531101.0</v>
      </c>
    </row>
    <row r="642" ht="15.75" customHeight="1">
      <c r="A642" s="4">
        <v>639.0</v>
      </c>
      <c r="B642" s="4" t="s">
        <v>1297</v>
      </c>
      <c r="C642" s="4" t="s">
        <v>1298</v>
      </c>
      <c r="D642" s="4" t="s">
        <v>36</v>
      </c>
      <c r="E642" s="6">
        <v>41012.0</v>
      </c>
      <c r="F642" s="6">
        <v>20677.0</v>
      </c>
      <c r="G642" s="6">
        <v>15000.0</v>
      </c>
      <c r="H642" s="6">
        <v>84357.0</v>
      </c>
    </row>
    <row r="643" ht="15.75" customHeight="1">
      <c r="A643" s="4">
        <v>640.0</v>
      </c>
      <c r="B643" s="4" t="s">
        <v>1299</v>
      </c>
      <c r="C643" s="4" t="s">
        <v>1300</v>
      </c>
      <c r="D643" s="4" t="s">
        <v>36</v>
      </c>
      <c r="E643" s="6">
        <v>26365.5</v>
      </c>
      <c r="F643" s="6">
        <v>466500.6</v>
      </c>
      <c r="G643" s="6">
        <v>0.0</v>
      </c>
      <c r="H643" s="6">
        <v>542152.0</v>
      </c>
    </row>
    <row r="644" ht="15.75" customHeight="1">
      <c r="A644" s="4">
        <v>641.0</v>
      </c>
      <c r="B644" s="4" t="s">
        <v>1301</v>
      </c>
      <c r="C644" s="4" t="s">
        <v>1302</v>
      </c>
      <c r="D644" s="4" t="s">
        <v>36</v>
      </c>
      <c r="E644" s="6">
        <v>28398.0</v>
      </c>
      <c r="F644" s="6">
        <v>296085.1</v>
      </c>
      <c r="G644" s="6">
        <v>0.0</v>
      </c>
      <c r="H644" s="6">
        <v>356931.0</v>
      </c>
    </row>
    <row r="645" ht="15.75" customHeight="1">
      <c r="A645" s="9">
        <v>642.0</v>
      </c>
      <c r="B645" s="9" t="s">
        <v>1303</v>
      </c>
      <c r="C645" s="10" t="s">
        <v>1304</v>
      </c>
      <c r="D645" s="9"/>
      <c r="E645" s="11"/>
      <c r="F645" s="11"/>
      <c r="G645" s="11"/>
      <c r="H645" s="11"/>
    </row>
    <row r="646" ht="15.75" customHeight="1">
      <c r="A646" s="9">
        <v>643.0</v>
      </c>
      <c r="B646" s="9" t="s">
        <v>1305</v>
      </c>
      <c r="C646" s="10" t="s">
        <v>1306</v>
      </c>
      <c r="D646" s="9"/>
      <c r="E646" s="11"/>
      <c r="F646" s="11"/>
      <c r="G646" s="11"/>
      <c r="H646" s="11"/>
    </row>
    <row r="647" ht="15.75" customHeight="1">
      <c r="A647" s="4">
        <v>644.0</v>
      </c>
      <c r="B647" s="4" t="s">
        <v>1307</v>
      </c>
      <c r="C647" s="4" t="s">
        <v>1308</v>
      </c>
      <c r="D647" s="4" t="s">
        <v>36</v>
      </c>
      <c r="E647" s="6">
        <v>123046.0</v>
      </c>
      <c r="F647" s="6">
        <v>169740.0</v>
      </c>
      <c r="G647" s="6">
        <v>0.0</v>
      </c>
      <c r="H647" s="6">
        <v>322064.0</v>
      </c>
    </row>
    <row r="648" ht="15.75" customHeight="1">
      <c r="A648" s="4">
        <v>645.0</v>
      </c>
      <c r="B648" s="4" t="s">
        <v>1309</v>
      </c>
      <c r="C648" s="4" t="s">
        <v>1310</v>
      </c>
      <c r="D648" s="4" t="s">
        <v>36</v>
      </c>
      <c r="E648" s="6">
        <v>167750.0</v>
      </c>
      <c r="F648" s="6">
        <v>249660.0</v>
      </c>
      <c r="G648" s="6">
        <v>0.0</v>
      </c>
      <c r="H648" s="6">
        <v>459151.0</v>
      </c>
    </row>
    <row r="649" ht="15.75" customHeight="1">
      <c r="A649" s="4">
        <v>646.0</v>
      </c>
      <c r="B649" s="4" t="s">
        <v>1311</v>
      </c>
      <c r="C649" s="4" t="s">
        <v>1312</v>
      </c>
      <c r="D649" s="4" t="s">
        <v>36</v>
      </c>
      <c r="E649" s="6">
        <v>92225.0</v>
      </c>
      <c r="F649" s="6">
        <v>142490.0</v>
      </c>
      <c r="G649" s="6">
        <v>0.0</v>
      </c>
      <c r="H649" s="6">
        <v>258186.0</v>
      </c>
    </row>
    <row r="650" ht="15.75" customHeight="1">
      <c r="A650" s="4">
        <v>647.0</v>
      </c>
      <c r="B650" s="4" t="s">
        <v>1313</v>
      </c>
      <c r="C650" s="4" t="s">
        <v>1314</v>
      </c>
      <c r="D650" s="4" t="s">
        <v>36</v>
      </c>
      <c r="E650" s="6">
        <v>73900.0</v>
      </c>
      <c r="F650" s="6">
        <v>110172.0</v>
      </c>
      <c r="G650" s="6">
        <v>0.0</v>
      </c>
      <c r="H650" s="6">
        <v>202479.0</v>
      </c>
    </row>
    <row r="651" ht="15.75" customHeight="1">
      <c r="A651" s="9">
        <v>648.0</v>
      </c>
      <c r="B651" s="9" t="s">
        <v>1315</v>
      </c>
      <c r="C651" s="10" t="s">
        <v>1316</v>
      </c>
      <c r="D651" s="9"/>
      <c r="E651" s="11"/>
      <c r="F651" s="11"/>
      <c r="G651" s="11"/>
      <c r="H651" s="11"/>
    </row>
    <row r="652" ht="15.75" customHeight="1">
      <c r="A652" s="4">
        <v>649.0</v>
      </c>
      <c r="B652" s="4" t="s">
        <v>1317</v>
      </c>
      <c r="C652" s="4" t="s">
        <v>1318</v>
      </c>
      <c r="D652" s="4" t="s">
        <v>36</v>
      </c>
      <c r="E652" s="6">
        <v>184590.0</v>
      </c>
      <c r="F652" s="6">
        <v>273780.0</v>
      </c>
      <c r="G652" s="6">
        <v>0.0</v>
      </c>
      <c r="H652" s="6">
        <v>504207.0</v>
      </c>
    </row>
    <row r="653" ht="15.75" customHeight="1">
      <c r="A653" s="4">
        <v>650.0</v>
      </c>
      <c r="B653" s="4" t="s">
        <v>1319</v>
      </c>
      <c r="C653" s="4" t="s">
        <v>1320</v>
      </c>
      <c r="D653" s="4" t="s">
        <v>36</v>
      </c>
      <c r="E653" s="6">
        <v>166125.0</v>
      </c>
      <c r="F653" s="6">
        <v>213840.0</v>
      </c>
      <c r="G653" s="6">
        <v>0.0</v>
      </c>
      <c r="H653" s="6">
        <v>417961.0</v>
      </c>
    </row>
    <row r="654" ht="15.75" customHeight="1">
      <c r="A654" s="4">
        <v>651.0</v>
      </c>
      <c r="B654" s="4" t="s">
        <v>1321</v>
      </c>
      <c r="C654" s="4" t="s">
        <v>1322</v>
      </c>
      <c r="D654" s="4" t="s">
        <v>36</v>
      </c>
      <c r="E654" s="6">
        <v>73900.0</v>
      </c>
      <c r="F654" s="6">
        <v>119240.0</v>
      </c>
      <c r="G654" s="6">
        <v>0.0</v>
      </c>
      <c r="H654" s="6">
        <v>212454.0</v>
      </c>
    </row>
    <row r="655" ht="15.75" customHeight="1">
      <c r="A655" s="4">
        <v>652.0</v>
      </c>
      <c r="B655" s="4" t="s">
        <v>1323</v>
      </c>
      <c r="C655" s="4" t="s">
        <v>1324</v>
      </c>
      <c r="D655" s="4" t="s">
        <v>36</v>
      </c>
      <c r="E655" s="6">
        <v>184590.0</v>
      </c>
      <c r="F655" s="6">
        <v>273780.0</v>
      </c>
      <c r="G655" s="6">
        <v>0.0</v>
      </c>
      <c r="H655" s="6">
        <v>504207.0</v>
      </c>
    </row>
    <row r="656" ht="15.75" customHeight="1">
      <c r="A656" s="4">
        <v>653.0</v>
      </c>
      <c r="B656" s="4" t="s">
        <v>1325</v>
      </c>
      <c r="C656" s="4" t="s">
        <v>1326</v>
      </c>
      <c r="D656" s="4" t="s">
        <v>36</v>
      </c>
      <c r="E656" s="6">
        <v>166125.0</v>
      </c>
      <c r="F656" s="6">
        <v>213840.0</v>
      </c>
      <c r="G656" s="6">
        <v>0.0</v>
      </c>
      <c r="H656" s="6">
        <v>417961.0</v>
      </c>
    </row>
    <row r="657" ht="15.75" customHeight="1">
      <c r="A657" s="4">
        <v>654.0</v>
      </c>
      <c r="B657" s="4" t="s">
        <v>1327</v>
      </c>
      <c r="C657" s="4" t="s">
        <v>1328</v>
      </c>
      <c r="D657" s="4" t="s">
        <v>36</v>
      </c>
      <c r="E657" s="6">
        <v>73900.0</v>
      </c>
      <c r="F657" s="6">
        <v>119240.0</v>
      </c>
      <c r="G657" s="6">
        <v>0.0</v>
      </c>
      <c r="H657" s="6">
        <v>212454.0</v>
      </c>
    </row>
    <row r="658" ht="15.75" customHeight="1">
      <c r="A658" s="9">
        <v>655.0</v>
      </c>
      <c r="B658" s="9" t="s">
        <v>1329</v>
      </c>
      <c r="C658" s="10" t="s">
        <v>1330</v>
      </c>
      <c r="D658" s="9"/>
      <c r="E658" s="11"/>
      <c r="F658" s="11"/>
      <c r="G658" s="11"/>
      <c r="H658" s="11"/>
    </row>
    <row r="659" ht="15.75" customHeight="1">
      <c r="A659" s="4">
        <v>656.0</v>
      </c>
      <c r="B659" s="4" t="s">
        <v>1331</v>
      </c>
      <c r="C659" s="4" t="s">
        <v>1332</v>
      </c>
      <c r="D659" s="4" t="s">
        <v>36</v>
      </c>
      <c r="E659" s="6">
        <v>184590.0</v>
      </c>
      <c r="F659" s="6">
        <v>108090.0</v>
      </c>
      <c r="G659" s="6">
        <v>0.0</v>
      </c>
      <c r="H659" s="6">
        <v>321948.0</v>
      </c>
    </row>
    <row r="660" ht="15.75" customHeight="1">
      <c r="A660" s="4">
        <v>657.0</v>
      </c>
      <c r="B660" s="4" t="s">
        <v>1333</v>
      </c>
      <c r="C660" s="4" t="s">
        <v>1334</v>
      </c>
      <c r="D660" s="4" t="s">
        <v>36</v>
      </c>
      <c r="E660" s="6">
        <v>166125.0</v>
      </c>
      <c r="F660" s="6">
        <v>144490.0</v>
      </c>
      <c r="G660" s="6">
        <v>0.0</v>
      </c>
      <c r="H660" s="6">
        <v>341676.0</v>
      </c>
    </row>
    <row r="661" ht="15.75" customHeight="1">
      <c r="A661" s="4">
        <v>658.0</v>
      </c>
      <c r="B661" s="4" t="s">
        <v>1335</v>
      </c>
      <c r="C661" s="4" t="s">
        <v>1336</v>
      </c>
      <c r="D661" s="4" t="s">
        <v>36</v>
      </c>
      <c r="E661" s="6">
        <v>46152.5</v>
      </c>
      <c r="F661" s="6">
        <v>137172.0</v>
      </c>
      <c r="G661" s="6">
        <v>0.0</v>
      </c>
      <c r="H661" s="6">
        <v>201656.0</v>
      </c>
    </row>
    <row r="662" ht="15.75" customHeight="1">
      <c r="A662" s="9">
        <v>659.0</v>
      </c>
      <c r="B662" s="9" t="s">
        <v>1337</v>
      </c>
      <c r="C662" s="10" t="s">
        <v>1338</v>
      </c>
      <c r="D662" s="9"/>
      <c r="E662" s="11"/>
      <c r="F662" s="11"/>
      <c r="G662" s="11"/>
      <c r="H662" s="11"/>
    </row>
    <row r="663" ht="15.75" customHeight="1">
      <c r="A663" s="4">
        <v>660.0</v>
      </c>
      <c r="B663" s="4" t="s">
        <v>1339</v>
      </c>
      <c r="C663" s="4" t="s">
        <v>1340</v>
      </c>
      <c r="D663" s="4" t="s">
        <v>36</v>
      </c>
      <c r="E663" s="6">
        <v>184650.0</v>
      </c>
      <c r="F663" s="6">
        <v>201997.0</v>
      </c>
      <c r="G663" s="6">
        <v>0.0</v>
      </c>
      <c r="H663" s="6">
        <v>425311.0</v>
      </c>
    </row>
    <row r="664" ht="15.75" customHeight="1">
      <c r="A664" s="4">
        <v>661.0</v>
      </c>
      <c r="B664" s="4" t="s">
        <v>1341</v>
      </c>
      <c r="C664" s="4" t="s">
        <v>1342</v>
      </c>
      <c r="D664" s="4" t="s">
        <v>36</v>
      </c>
      <c r="E664" s="6">
        <v>129275.0</v>
      </c>
      <c r="F664" s="6">
        <v>162400.0</v>
      </c>
      <c r="G664" s="6">
        <v>0.0</v>
      </c>
      <c r="H664" s="6">
        <v>320842.0</v>
      </c>
    </row>
    <row r="665" ht="15.75" customHeight="1">
      <c r="A665" s="4">
        <v>662.0</v>
      </c>
      <c r="B665" s="4" t="s">
        <v>1343</v>
      </c>
      <c r="C665" s="4" t="s">
        <v>1344</v>
      </c>
      <c r="D665" s="4" t="s">
        <v>36</v>
      </c>
      <c r="E665" s="6">
        <v>129275.0</v>
      </c>
      <c r="F665" s="6">
        <v>158660.0</v>
      </c>
      <c r="G665" s="6">
        <v>0.0</v>
      </c>
      <c r="H665" s="6">
        <v>316728.0</v>
      </c>
    </row>
    <row r="666" ht="15.75" customHeight="1">
      <c r="A666" s="9">
        <v>663.0</v>
      </c>
      <c r="B666" s="9" t="s">
        <v>1345</v>
      </c>
      <c r="C666" s="10" t="s">
        <v>1346</v>
      </c>
      <c r="D666" s="9"/>
      <c r="E666" s="11"/>
      <c r="F666" s="11"/>
      <c r="G666" s="11"/>
      <c r="H666" s="11"/>
    </row>
    <row r="667" ht="15.75" customHeight="1">
      <c r="A667" s="4">
        <v>664.0</v>
      </c>
      <c r="B667" s="4" t="s">
        <v>1347</v>
      </c>
      <c r="C667" s="4" t="s">
        <v>1348</v>
      </c>
      <c r="D667" s="4" t="s">
        <v>36</v>
      </c>
      <c r="E667" s="6">
        <v>64725.0</v>
      </c>
      <c r="F667" s="6">
        <v>44700.0</v>
      </c>
      <c r="G667" s="6">
        <v>0.0</v>
      </c>
      <c r="H667" s="6">
        <v>120367.0</v>
      </c>
    </row>
    <row r="668" ht="15.75" customHeight="1">
      <c r="A668" s="4">
        <v>665.0</v>
      </c>
      <c r="B668" s="4" t="s">
        <v>1349</v>
      </c>
      <c r="C668" s="4" t="s">
        <v>1350</v>
      </c>
      <c r="D668" s="4" t="s">
        <v>36</v>
      </c>
      <c r="E668" s="6">
        <v>91125.0</v>
      </c>
      <c r="F668" s="6">
        <v>411284.0</v>
      </c>
      <c r="G668" s="6">
        <v>0.0</v>
      </c>
      <c r="H668" s="6">
        <v>552649.0</v>
      </c>
    </row>
    <row r="669" ht="15.75" customHeight="1">
      <c r="A669" s="4">
        <v>666.0</v>
      </c>
      <c r="B669" s="4" t="s">
        <v>1351</v>
      </c>
      <c r="C669" s="4" t="s">
        <v>1352</v>
      </c>
      <c r="D669" s="4" t="s">
        <v>36</v>
      </c>
      <c r="E669" s="6">
        <v>364500.0</v>
      </c>
      <c r="F669" s="6">
        <v>188413.5</v>
      </c>
      <c r="G669" s="6">
        <v>0.0</v>
      </c>
      <c r="H669" s="6">
        <v>608204.0</v>
      </c>
    </row>
    <row r="670" ht="15.75" customHeight="1">
      <c r="A670" s="4">
        <v>667.0</v>
      </c>
      <c r="B670" s="4" t="s">
        <v>1353</v>
      </c>
      <c r="C670" s="4" t="s">
        <v>1354</v>
      </c>
      <c r="D670" s="4" t="s">
        <v>36</v>
      </c>
      <c r="E670" s="6">
        <v>37875.0</v>
      </c>
      <c r="F670" s="6">
        <v>2520380.0</v>
      </c>
      <c r="G670" s="6">
        <v>0.0</v>
      </c>
      <c r="H670" s="6">
        <v>2814080.0</v>
      </c>
    </row>
    <row r="671" ht="15.75" customHeight="1">
      <c r="A671" s="4">
        <v>668.0</v>
      </c>
      <c r="B671" s="4" t="s">
        <v>1355</v>
      </c>
      <c r="C671" s="4" t="s">
        <v>1356</v>
      </c>
      <c r="D671" s="4" t="s">
        <v>36</v>
      </c>
      <c r="E671" s="6">
        <v>18525.0</v>
      </c>
      <c r="F671" s="6">
        <v>98740.0</v>
      </c>
      <c r="G671" s="6">
        <v>0.0</v>
      </c>
      <c r="H671" s="6">
        <v>128991.0</v>
      </c>
    </row>
    <row r="672" ht="15.75" customHeight="1">
      <c r="A672" s="4">
        <v>669.0</v>
      </c>
      <c r="B672" s="4" t="s">
        <v>1357</v>
      </c>
      <c r="C672" s="4" t="s">
        <v>1358</v>
      </c>
      <c r="D672" s="4" t="s">
        <v>36</v>
      </c>
      <c r="E672" s="6">
        <v>284650.0</v>
      </c>
      <c r="F672" s="6">
        <v>1122952.889</v>
      </c>
      <c r="G672" s="6">
        <v>0.0</v>
      </c>
      <c r="H672" s="6">
        <v>1548363.0</v>
      </c>
    </row>
    <row r="673" ht="15.75" customHeight="1">
      <c r="A673" s="4">
        <v>670.0</v>
      </c>
      <c r="B673" s="4" t="s">
        <v>1359</v>
      </c>
      <c r="C673" s="4" t="s">
        <v>1360</v>
      </c>
      <c r="D673" s="4" t="s">
        <v>36</v>
      </c>
      <c r="E673" s="6">
        <v>284650.0</v>
      </c>
      <c r="F673" s="6">
        <v>914117.0000000001</v>
      </c>
      <c r="G673" s="6">
        <v>0.0</v>
      </c>
      <c r="H673" s="6">
        <v>1318643.0</v>
      </c>
    </row>
    <row r="674" ht="15.75" customHeight="1">
      <c r="A674" s="9">
        <v>671.0</v>
      </c>
      <c r="B674" s="9" t="s">
        <v>1361</v>
      </c>
      <c r="C674" s="10" t="s">
        <v>1362</v>
      </c>
      <c r="D674" s="9"/>
      <c r="E674" s="11"/>
      <c r="F674" s="11"/>
      <c r="G674" s="11"/>
      <c r="H674" s="11"/>
    </row>
    <row r="675" ht="15.75" customHeight="1">
      <c r="A675" s="4">
        <v>672.0</v>
      </c>
      <c r="B675" s="4" t="s">
        <v>1363</v>
      </c>
      <c r="C675" s="4" t="s">
        <v>1364</v>
      </c>
      <c r="D675" s="4" t="s">
        <v>36</v>
      </c>
      <c r="E675" s="6">
        <v>33700.0</v>
      </c>
      <c r="F675" s="6">
        <v>28077.5</v>
      </c>
      <c r="G675" s="6">
        <v>0.0</v>
      </c>
      <c r="H675" s="6">
        <v>67955.0</v>
      </c>
    </row>
    <row r="676" ht="15.75" customHeight="1">
      <c r="A676" s="4">
        <v>673.0</v>
      </c>
      <c r="B676" s="4" t="s">
        <v>1365</v>
      </c>
      <c r="C676" s="4" t="s">
        <v>1366</v>
      </c>
      <c r="D676" s="4" t="s">
        <v>36</v>
      </c>
      <c r="E676" s="6">
        <v>86125.0</v>
      </c>
      <c r="F676" s="6">
        <v>563000.0</v>
      </c>
      <c r="G676" s="6">
        <v>0.0</v>
      </c>
      <c r="H676" s="6">
        <v>714037.0</v>
      </c>
    </row>
    <row r="677" ht="15.75" customHeight="1">
      <c r="A677" s="4">
        <v>674.0</v>
      </c>
      <c r="B677" s="4" t="s">
        <v>1367</v>
      </c>
      <c r="C677" s="4" t="s">
        <v>1368</v>
      </c>
      <c r="D677" s="4" t="s">
        <v>36</v>
      </c>
      <c r="E677" s="6">
        <v>37505.0</v>
      </c>
      <c r="F677" s="6">
        <v>44552.5</v>
      </c>
      <c r="G677" s="6">
        <v>0.0</v>
      </c>
      <c r="H677" s="6">
        <v>90263.0</v>
      </c>
    </row>
    <row r="678" ht="15.75" customHeight="1">
      <c r="A678" s="9">
        <v>675.0</v>
      </c>
      <c r="B678" s="9" t="s">
        <v>1369</v>
      </c>
      <c r="C678" s="10" t="s">
        <v>1370</v>
      </c>
      <c r="D678" s="9"/>
      <c r="E678" s="11"/>
      <c r="F678" s="11"/>
      <c r="G678" s="11"/>
      <c r="H678" s="11"/>
    </row>
    <row r="679" ht="15.75" customHeight="1">
      <c r="A679" s="9">
        <v>676.0</v>
      </c>
      <c r="B679" s="9" t="s">
        <v>1371</v>
      </c>
      <c r="C679" s="10" t="s">
        <v>1372</v>
      </c>
      <c r="D679" s="9"/>
      <c r="E679" s="11"/>
      <c r="F679" s="11"/>
      <c r="G679" s="11"/>
      <c r="H679" s="11"/>
    </row>
    <row r="680" ht="15.75" customHeight="1">
      <c r="A680" s="4">
        <v>677.0</v>
      </c>
      <c r="B680" s="4" t="s">
        <v>1373</v>
      </c>
      <c r="C680" s="4" t="s">
        <v>1374</v>
      </c>
      <c r="D680" s="4" t="s">
        <v>36</v>
      </c>
      <c r="E680" s="6">
        <v>24614.0</v>
      </c>
      <c r="F680" s="6">
        <v>509100.0</v>
      </c>
      <c r="G680" s="6">
        <v>208.4375</v>
      </c>
      <c r="H680" s="6">
        <v>587314.0</v>
      </c>
    </row>
    <row r="681" ht="15.75" customHeight="1">
      <c r="A681" s="4">
        <v>678.0</v>
      </c>
      <c r="B681" s="4" t="s">
        <v>1375</v>
      </c>
      <c r="C681" s="4" t="s">
        <v>1376</v>
      </c>
      <c r="D681" s="4" t="s">
        <v>36</v>
      </c>
      <c r="E681" s="6">
        <v>18465.0</v>
      </c>
      <c r="F681" s="6">
        <v>600600.0</v>
      </c>
      <c r="G681" s="6">
        <v>0.0</v>
      </c>
      <c r="H681" s="6">
        <v>680971.0</v>
      </c>
    </row>
    <row r="682" ht="15.75" customHeight="1">
      <c r="A682" s="4">
        <v>679.0</v>
      </c>
      <c r="B682" s="4" t="s">
        <v>1377</v>
      </c>
      <c r="C682" s="4" t="s">
        <v>1378</v>
      </c>
      <c r="D682" s="4" t="s">
        <v>36</v>
      </c>
      <c r="E682" s="6">
        <v>14700.0</v>
      </c>
      <c r="F682" s="6">
        <v>750000.0</v>
      </c>
      <c r="G682" s="6">
        <v>0.0</v>
      </c>
      <c r="H682" s="6">
        <v>841170.0</v>
      </c>
    </row>
    <row r="683" ht="15.75" customHeight="1">
      <c r="A683" s="4">
        <v>680.0</v>
      </c>
      <c r="B683" s="4" t="s">
        <v>1379</v>
      </c>
      <c r="C683" s="4" t="s">
        <v>1380</v>
      </c>
      <c r="D683" s="4" t="s">
        <v>36</v>
      </c>
      <c r="E683" s="6">
        <v>23000.0</v>
      </c>
      <c r="F683" s="6">
        <v>1302000.0</v>
      </c>
      <c r="G683" s="6">
        <v>0.0</v>
      </c>
      <c r="H683" s="6">
        <v>1457500.0</v>
      </c>
    </row>
    <row r="684" ht="15.75" customHeight="1">
      <c r="A684" s="4">
        <v>681.0</v>
      </c>
      <c r="B684" s="4" t="s">
        <v>1381</v>
      </c>
      <c r="C684" s="4" t="s">
        <v>1382</v>
      </c>
      <c r="D684" s="4" t="s">
        <v>36</v>
      </c>
      <c r="E684" s="6">
        <v>23000.0</v>
      </c>
      <c r="F684" s="6">
        <v>197037.0</v>
      </c>
      <c r="G684" s="6">
        <v>0.0</v>
      </c>
      <c r="H684" s="6">
        <v>242040.0</v>
      </c>
    </row>
    <row r="685" ht="15.75" customHeight="1">
      <c r="A685" s="4">
        <v>682.0</v>
      </c>
      <c r="B685" s="4" t="s">
        <v>1383</v>
      </c>
      <c r="C685" s="4" t="s">
        <v>1384</v>
      </c>
      <c r="D685" s="4" t="s">
        <v>36</v>
      </c>
      <c r="E685" s="6">
        <v>23000.0</v>
      </c>
      <c r="F685" s="6">
        <v>197037.0</v>
      </c>
      <c r="G685" s="6">
        <v>0.0</v>
      </c>
      <c r="H685" s="6">
        <v>242040.0</v>
      </c>
    </row>
    <row r="686" ht="15.75" customHeight="1">
      <c r="A686" s="4">
        <v>683.0</v>
      </c>
      <c r="B686" s="4" t="s">
        <v>1385</v>
      </c>
      <c r="C686" s="4" t="s">
        <v>1386</v>
      </c>
      <c r="D686" s="4" t="s">
        <v>36</v>
      </c>
      <c r="E686" s="6">
        <v>109867.0</v>
      </c>
      <c r="F686" s="6">
        <v>560900.0</v>
      </c>
      <c r="G686" s="6">
        <v>0.0</v>
      </c>
      <c r="H686" s="6">
        <v>737843.0</v>
      </c>
    </row>
    <row r="687" ht="15.75" customHeight="1">
      <c r="A687" s="4">
        <v>684.0</v>
      </c>
      <c r="B687" s="4" t="s">
        <v>1387</v>
      </c>
      <c r="C687" s="4" t="s">
        <v>1388</v>
      </c>
      <c r="D687" s="4" t="s">
        <v>36</v>
      </c>
      <c r="E687" s="6">
        <v>212625.0</v>
      </c>
      <c r="F687" s="6">
        <v>321000.0</v>
      </c>
      <c r="G687" s="6">
        <v>0.0</v>
      </c>
      <c r="H687" s="6">
        <v>586987.0</v>
      </c>
    </row>
    <row r="688" ht="15.75" customHeight="1">
      <c r="A688" s="4">
        <v>685.0</v>
      </c>
      <c r="B688" s="4" t="s">
        <v>1389</v>
      </c>
      <c r="C688" s="4" t="s">
        <v>1390</v>
      </c>
      <c r="D688" s="4" t="s">
        <v>36</v>
      </c>
      <c r="E688" s="6">
        <v>109867.0</v>
      </c>
      <c r="F688" s="6">
        <v>340920.0</v>
      </c>
      <c r="G688" s="6">
        <v>0.0</v>
      </c>
      <c r="H688" s="6">
        <v>495865.0</v>
      </c>
    </row>
    <row r="689" ht="15.75" customHeight="1">
      <c r="A689" s="4">
        <v>686.0</v>
      </c>
      <c r="B689" s="4" t="s">
        <v>1391</v>
      </c>
      <c r="C689" s="4" t="s">
        <v>1392</v>
      </c>
      <c r="D689" s="4" t="s">
        <v>36</v>
      </c>
      <c r="E689" s="6">
        <v>607500.0</v>
      </c>
      <c r="F689" s="6">
        <v>904200.0</v>
      </c>
      <c r="G689" s="6">
        <v>0.0</v>
      </c>
      <c r="H689" s="6">
        <v>1662870.0</v>
      </c>
    </row>
    <row r="690" ht="15.75" customHeight="1">
      <c r="A690" s="4">
        <v>687.0</v>
      </c>
      <c r="B690" s="4" t="s">
        <v>1393</v>
      </c>
      <c r="C690" s="4" t="s">
        <v>1394</v>
      </c>
      <c r="D690" s="4" t="s">
        <v>36</v>
      </c>
      <c r="E690" s="6">
        <v>607500.0</v>
      </c>
      <c r="F690" s="6">
        <v>568200.0</v>
      </c>
      <c r="G690" s="6">
        <v>0.0</v>
      </c>
      <c r="H690" s="6">
        <v>1293270.0</v>
      </c>
    </row>
    <row r="691" ht="15.75" customHeight="1">
      <c r="A691" s="4">
        <v>688.0</v>
      </c>
      <c r="B691" s="4" t="s">
        <v>1395</v>
      </c>
      <c r="C691" s="4" t="s">
        <v>1396</v>
      </c>
      <c r="D691" s="4" t="s">
        <v>36</v>
      </c>
      <c r="E691" s="6">
        <v>425250.0</v>
      </c>
      <c r="F691" s="6">
        <v>433650.0</v>
      </c>
      <c r="G691" s="6">
        <v>0.0</v>
      </c>
      <c r="H691" s="6">
        <v>944790.0</v>
      </c>
    </row>
    <row r="692" ht="15.75" customHeight="1">
      <c r="A692" s="4">
        <v>689.0</v>
      </c>
      <c r="B692" s="4" t="s">
        <v>1397</v>
      </c>
      <c r="C692" s="4" t="s">
        <v>1398</v>
      </c>
      <c r="D692" s="4" t="s">
        <v>36</v>
      </c>
      <c r="E692" s="6">
        <v>478000.0</v>
      </c>
      <c r="F692" s="6">
        <v>442050.0</v>
      </c>
      <c r="G692" s="6">
        <v>0.0</v>
      </c>
      <c r="H692" s="6">
        <v>1012055.0</v>
      </c>
    </row>
    <row r="693" ht="15.75" customHeight="1">
      <c r="A693" s="4">
        <v>690.0</v>
      </c>
      <c r="B693" s="4" t="s">
        <v>1399</v>
      </c>
      <c r="C693" s="4" t="s">
        <v>1400</v>
      </c>
      <c r="D693" s="4" t="s">
        <v>36</v>
      </c>
      <c r="E693" s="6">
        <v>738340.0</v>
      </c>
      <c r="F693" s="6">
        <v>1.0E7</v>
      </c>
      <c r="G693" s="6">
        <v>0.0</v>
      </c>
      <c r="H693" s="6">
        <v>1.1812174E7</v>
      </c>
    </row>
    <row r="694" ht="15.75" customHeight="1">
      <c r="A694" s="4">
        <v>691.0</v>
      </c>
      <c r="B694" s="4" t="s">
        <v>1401</v>
      </c>
      <c r="C694" s="4" t="s">
        <v>1402</v>
      </c>
      <c r="D694" s="4" t="s">
        <v>36</v>
      </c>
      <c r="E694" s="6">
        <v>282625.0</v>
      </c>
      <c r="F694" s="6">
        <v>997277.5</v>
      </c>
      <c r="G694" s="6">
        <v>0.0</v>
      </c>
      <c r="H694" s="6">
        <v>1407892.0</v>
      </c>
    </row>
    <row r="695" ht="15.75" customHeight="1">
      <c r="A695" s="4">
        <v>692.0</v>
      </c>
      <c r="B695" s="4" t="s">
        <v>1403</v>
      </c>
      <c r="C695" s="4" t="s">
        <v>1404</v>
      </c>
      <c r="D695" s="4" t="s">
        <v>36</v>
      </c>
      <c r="E695" s="6">
        <v>423937.5</v>
      </c>
      <c r="F695" s="6">
        <v>8000000.0</v>
      </c>
      <c r="G695" s="6">
        <v>0.0</v>
      </c>
      <c r="H695" s="6">
        <v>9266331.0</v>
      </c>
    </row>
    <row r="696" ht="15.75" customHeight="1">
      <c r="A696" s="4">
        <v>693.0</v>
      </c>
      <c r="B696" s="4" t="s">
        <v>1405</v>
      </c>
      <c r="C696" s="4" t="s">
        <v>1406</v>
      </c>
      <c r="D696" s="4" t="s">
        <v>36</v>
      </c>
      <c r="E696" s="6">
        <v>607500.0</v>
      </c>
      <c r="F696" s="6">
        <v>718800.0</v>
      </c>
      <c r="G696" s="6">
        <v>0.0</v>
      </c>
      <c r="H696" s="6">
        <v>1458930.0</v>
      </c>
    </row>
    <row r="697" ht="15.75" customHeight="1">
      <c r="A697" s="4">
        <v>694.0</v>
      </c>
      <c r="B697" s="4" t="s">
        <v>1407</v>
      </c>
      <c r="C697" s="4" t="s">
        <v>1408</v>
      </c>
      <c r="D697" s="4" t="s">
        <v>36</v>
      </c>
      <c r="E697" s="6">
        <v>45016.5</v>
      </c>
      <c r="F697" s="6">
        <v>1043100.0</v>
      </c>
      <c r="G697" s="6">
        <v>0.0</v>
      </c>
      <c r="H697" s="6">
        <v>1196928.0</v>
      </c>
    </row>
    <row r="698" ht="15.75" customHeight="1">
      <c r="A698" s="4">
        <v>695.0</v>
      </c>
      <c r="B698" s="4" t="s">
        <v>1409</v>
      </c>
      <c r="C698" s="4" t="s">
        <v>1410</v>
      </c>
      <c r="D698" s="4" t="s">
        <v>36</v>
      </c>
      <c r="E698" s="6">
        <v>45016.5</v>
      </c>
      <c r="F698" s="6">
        <v>730000.0</v>
      </c>
      <c r="G698" s="6">
        <v>0.0</v>
      </c>
      <c r="H698" s="6">
        <v>852518.0</v>
      </c>
    </row>
    <row r="699" ht="15.75" customHeight="1">
      <c r="A699" s="9">
        <v>696.0</v>
      </c>
      <c r="B699" s="9" t="s">
        <v>1411</v>
      </c>
      <c r="C699" s="10" t="s">
        <v>1412</v>
      </c>
      <c r="D699" s="9"/>
      <c r="E699" s="11"/>
      <c r="F699" s="11"/>
      <c r="G699" s="11"/>
      <c r="H699" s="11"/>
    </row>
    <row r="700" ht="15.75" customHeight="1">
      <c r="A700" s="4">
        <v>697.0</v>
      </c>
      <c r="B700" s="4" t="s">
        <v>1413</v>
      </c>
      <c r="C700" s="4" t="s">
        <v>1414</v>
      </c>
      <c r="D700" s="4" t="s">
        <v>36</v>
      </c>
      <c r="E700" s="6">
        <v>53900.0</v>
      </c>
      <c r="F700" s="6">
        <v>282200.0</v>
      </c>
      <c r="G700" s="6">
        <v>0.0</v>
      </c>
      <c r="H700" s="6">
        <v>369710.0</v>
      </c>
    </row>
    <row r="701" ht="15.75" customHeight="1">
      <c r="A701" s="4">
        <v>698.0</v>
      </c>
      <c r="B701" s="4" t="s">
        <v>1415</v>
      </c>
      <c r="C701" s="4" t="s">
        <v>1416</v>
      </c>
      <c r="D701" s="4" t="s">
        <v>43</v>
      </c>
      <c r="E701" s="6">
        <v>53900.0</v>
      </c>
      <c r="F701" s="6">
        <v>317200.0</v>
      </c>
      <c r="G701" s="6">
        <v>0.0</v>
      </c>
      <c r="H701" s="6">
        <v>408210.0</v>
      </c>
    </row>
    <row r="702" ht="15.75" customHeight="1">
      <c r="A702" s="4">
        <v>699.0</v>
      </c>
      <c r="B702" s="4" t="s">
        <v>1417</v>
      </c>
      <c r="C702" s="4" t="s">
        <v>1418</v>
      </c>
      <c r="D702" s="4" t="s">
        <v>43</v>
      </c>
      <c r="E702" s="6">
        <v>22335.0</v>
      </c>
      <c r="F702" s="6">
        <v>2000000.0</v>
      </c>
      <c r="G702" s="6">
        <v>0.0</v>
      </c>
      <c r="H702" s="6">
        <v>2224568.0</v>
      </c>
    </row>
    <row r="703" ht="15.75" customHeight="1">
      <c r="A703" s="9">
        <v>700.0</v>
      </c>
      <c r="B703" s="9" t="s">
        <v>1419</v>
      </c>
      <c r="C703" s="10" t="s">
        <v>1420</v>
      </c>
      <c r="D703" s="9"/>
      <c r="E703" s="11"/>
      <c r="F703" s="11"/>
      <c r="G703" s="11"/>
      <c r="H703" s="11"/>
    </row>
    <row r="704" ht="15.75" customHeight="1">
      <c r="A704" s="9">
        <v>701.0</v>
      </c>
      <c r="B704" s="9" t="s">
        <v>1421</v>
      </c>
      <c r="C704" s="10" t="s">
        <v>1422</v>
      </c>
      <c r="D704" s="9"/>
      <c r="E704" s="11"/>
      <c r="F704" s="11"/>
      <c r="G704" s="11"/>
      <c r="H704" s="11"/>
    </row>
    <row r="705" ht="15.75" customHeight="1">
      <c r="A705" s="4">
        <v>702.0</v>
      </c>
      <c r="B705" s="4" t="s">
        <v>1423</v>
      </c>
      <c r="C705" s="4" t="s">
        <v>1424</v>
      </c>
      <c r="D705" s="4" t="s">
        <v>27</v>
      </c>
      <c r="E705" s="6">
        <v>52753.0</v>
      </c>
      <c r="F705" s="6">
        <v>231591.4</v>
      </c>
      <c r="G705" s="6">
        <v>0.0</v>
      </c>
      <c r="H705" s="6">
        <v>312778.0</v>
      </c>
    </row>
    <row r="706" ht="15.75" customHeight="1">
      <c r="A706" s="4">
        <v>703.0</v>
      </c>
      <c r="B706" s="4" t="s">
        <v>1425</v>
      </c>
      <c r="C706" s="4" t="s">
        <v>1426</v>
      </c>
      <c r="D706" s="4" t="s">
        <v>27</v>
      </c>
      <c r="E706" s="6">
        <v>52753.0</v>
      </c>
      <c r="F706" s="6">
        <v>286591.4</v>
      </c>
      <c r="G706" s="6">
        <v>0.0</v>
      </c>
      <c r="H706" s="6">
        <v>373278.0</v>
      </c>
    </row>
    <row r="707" ht="15.75" customHeight="1">
      <c r="A707" s="4">
        <v>704.0</v>
      </c>
      <c r="B707" s="4" t="s">
        <v>1427</v>
      </c>
      <c r="C707" s="4" t="s">
        <v>1428</v>
      </c>
      <c r="D707" s="4" t="s">
        <v>27</v>
      </c>
      <c r="E707" s="6">
        <v>52753.0</v>
      </c>
      <c r="F707" s="6">
        <v>119361.4</v>
      </c>
      <c r="G707" s="6">
        <v>0.0</v>
      </c>
      <c r="H707" s="6">
        <v>189325.0</v>
      </c>
    </row>
    <row r="708" ht="15.75" customHeight="1">
      <c r="A708" s="4">
        <v>705.0</v>
      </c>
      <c r="B708" s="4" t="s">
        <v>1429</v>
      </c>
      <c r="C708" s="4" t="s">
        <v>1430</v>
      </c>
      <c r="D708" s="4" t="s">
        <v>27</v>
      </c>
      <c r="E708" s="6">
        <v>52753.0</v>
      </c>
      <c r="F708" s="6">
        <v>145651.4</v>
      </c>
      <c r="G708" s="6">
        <v>0.0</v>
      </c>
      <c r="H708" s="6">
        <v>218244.0</v>
      </c>
    </row>
    <row r="709" ht="15.75" customHeight="1">
      <c r="A709" s="4">
        <v>706.0</v>
      </c>
      <c r="B709" s="4" t="s">
        <v>1431</v>
      </c>
      <c r="C709" s="4" t="s">
        <v>1432</v>
      </c>
      <c r="D709" s="4" t="s">
        <v>36</v>
      </c>
      <c r="E709" s="6">
        <v>405340.0</v>
      </c>
      <c r="F709" s="6">
        <v>842250.0</v>
      </c>
      <c r="G709" s="6">
        <v>0.0</v>
      </c>
      <c r="H709" s="6">
        <v>1372349.0</v>
      </c>
    </row>
    <row r="710" ht="15.75" customHeight="1">
      <c r="A710" s="4">
        <v>707.0</v>
      </c>
      <c r="B710" s="4" t="s">
        <v>1433</v>
      </c>
      <c r="C710" s="4" t="s">
        <v>1434</v>
      </c>
      <c r="D710" s="4" t="s">
        <v>43</v>
      </c>
      <c r="E710" s="6">
        <v>15170.0</v>
      </c>
      <c r="F710" s="6">
        <v>49500.0</v>
      </c>
      <c r="G710" s="6">
        <v>0.0</v>
      </c>
      <c r="H710" s="6">
        <v>71137.0</v>
      </c>
    </row>
    <row r="711" ht="15.75" customHeight="1">
      <c r="A711" s="4">
        <v>708.0</v>
      </c>
      <c r="B711" s="4" t="s">
        <v>1435</v>
      </c>
      <c r="C711" s="4" t="s">
        <v>1436</v>
      </c>
      <c r="D711" s="4" t="s">
        <v>43</v>
      </c>
      <c r="E711" s="6">
        <v>15170.0</v>
      </c>
      <c r="F711" s="6">
        <v>270000.0</v>
      </c>
      <c r="G711" s="6">
        <v>0.0</v>
      </c>
      <c r="H711" s="6">
        <v>313687.0</v>
      </c>
    </row>
    <row r="712" ht="15.75" customHeight="1">
      <c r="A712" s="9">
        <v>709.0</v>
      </c>
      <c r="B712" s="9" t="s">
        <v>1437</v>
      </c>
      <c r="C712" s="10" t="s">
        <v>1438</v>
      </c>
      <c r="D712" s="9"/>
      <c r="E712" s="11"/>
      <c r="F712" s="11"/>
      <c r="G712" s="11"/>
      <c r="H712" s="11"/>
    </row>
    <row r="713" ht="15.75" customHeight="1">
      <c r="A713" s="4">
        <v>710.0</v>
      </c>
      <c r="B713" s="4" t="s">
        <v>1439</v>
      </c>
      <c r="C713" s="4" t="s">
        <v>1440</v>
      </c>
      <c r="D713" s="4" t="s">
        <v>43</v>
      </c>
      <c r="E713" s="6">
        <v>107500.0</v>
      </c>
      <c r="F713" s="6">
        <v>144300.0</v>
      </c>
      <c r="G713" s="6">
        <v>0.0</v>
      </c>
      <c r="H713" s="6">
        <v>276980.0</v>
      </c>
    </row>
    <row r="714" ht="15.75" customHeight="1">
      <c r="A714" s="4">
        <v>711.0</v>
      </c>
      <c r="B714" s="4" t="s">
        <v>1441</v>
      </c>
      <c r="C714" s="4" t="s">
        <v>1442</v>
      </c>
      <c r="D714" s="4" t="s">
        <v>43</v>
      </c>
      <c r="E714" s="6">
        <v>85650.0</v>
      </c>
      <c r="F714" s="6">
        <v>65800.0</v>
      </c>
      <c r="G714" s="6">
        <v>0.0</v>
      </c>
      <c r="H714" s="6">
        <v>166595.0</v>
      </c>
    </row>
    <row r="715" ht="15.75" customHeight="1">
      <c r="A715" s="4">
        <v>712.0</v>
      </c>
      <c r="B715" s="4" t="s">
        <v>1443</v>
      </c>
      <c r="C715" s="4" t="s">
        <v>1444</v>
      </c>
      <c r="D715" s="4" t="s">
        <v>43</v>
      </c>
      <c r="E715" s="6">
        <v>85150.0</v>
      </c>
      <c r="F715" s="6">
        <v>46900.0</v>
      </c>
      <c r="G715" s="6">
        <v>0.0</v>
      </c>
      <c r="H715" s="6">
        <v>145255.0</v>
      </c>
    </row>
    <row r="716" ht="15.75" customHeight="1">
      <c r="A716" s="4">
        <v>713.0</v>
      </c>
      <c r="B716" s="4" t="s">
        <v>1445</v>
      </c>
      <c r="C716" s="4" t="s">
        <v>1446</v>
      </c>
      <c r="D716" s="4" t="s">
        <v>43</v>
      </c>
      <c r="E716" s="6">
        <v>85150.0</v>
      </c>
      <c r="F716" s="6">
        <v>70000.0</v>
      </c>
      <c r="G716" s="6">
        <v>0.0</v>
      </c>
      <c r="H716" s="6">
        <v>170665.0</v>
      </c>
    </row>
    <row r="717" ht="15.75" customHeight="1">
      <c r="A717" s="4">
        <v>714.0</v>
      </c>
      <c r="B717" s="4" t="s">
        <v>1447</v>
      </c>
      <c r="C717" s="4" t="s">
        <v>1448</v>
      </c>
      <c r="D717" s="4" t="s">
        <v>43</v>
      </c>
      <c r="E717" s="6">
        <v>26875.0</v>
      </c>
      <c r="F717" s="6">
        <v>31500.0</v>
      </c>
      <c r="G717" s="6">
        <v>0.0</v>
      </c>
      <c r="H717" s="6">
        <v>64212.0</v>
      </c>
    </row>
    <row r="718" ht="15.75" customHeight="1">
      <c r="A718" s="4">
        <v>715.0</v>
      </c>
      <c r="B718" s="4" t="s">
        <v>1449</v>
      </c>
      <c r="C718" s="4" t="s">
        <v>1450</v>
      </c>
      <c r="D718" s="4" t="s">
        <v>43</v>
      </c>
      <c r="E718" s="6">
        <v>87660.0</v>
      </c>
      <c r="F718" s="6">
        <v>500000.0</v>
      </c>
      <c r="G718" s="6">
        <v>0.0</v>
      </c>
      <c r="H718" s="6">
        <v>646426.0</v>
      </c>
    </row>
    <row r="719" ht="15.75" customHeight="1">
      <c r="A719" s="4">
        <v>716.0</v>
      </c>
      <c r="B719" s="4" t="s">
        <v>1451</v>
      </c>
      <c r="C719" s="4" t="s">
        <v>1452</v>
      </c>
      <c r="D719" s="4" t="s">
        <v>43</v>
      </c>
      <c r="E719" s="6">
        <v>89650.0</v>
      </c>
      <c r="F719" s="6">
        <v>167500.0</v>
      </c>
      <c r="G719" s="6">
        <v>0.0</v>
      </c>
      <c r="H719" s="6">
        <v>282865.0</v>
      </c>
    </row>
    <row r="720" ht="15.75" customHeight="1">
      <c r="A720" s="4">
        <v>717.0</v>
      </c>
      <c r="B720" s="4" t="s">
        <v>1453</v>
      </c>
      <c r="C720" s="4" t="s">
        <v>1454</v>
      </c>
      <c r="D720" s="4" t="s">
        <v>43</v>
      </c>
      <c r="E720" s="6">
        <v>89650.0</v>
      </c>
      <c r="F720" s="6">
        <v>81000.0</v>
      </c>
      <c r="G720" s="6">
        <v>0.0</v>
      </c>
      <c r="H720" s="6">
        <v>187715.0</v>
      </c>
    </row>
    <row r="721" ht="15.75" customHeight="1">
      <c r="A721" s="4">
        <v>718.0</v>
      </c>
      <c r="B721" s="4" t="s">
        <v>1455</v>
      </c>
      <c r="C721" s="4" t="s">
        <v>1456</v>
      </c>
      <c r="D721" s="4" t="s">
        <v>43</v>
      </c>
      <c r="E721" s="6">
        <v>17850.0</v>
      </c>
      <c r="F721" s="6">
        <v>58500.0</v>
      </c>
      <c r="G721" s="6">
        <v>0.0</v>
      </c>
      <c r="H721" s="6">
        <v>83985.0</v>
      </c>
    </row>
    <row r="722" ht="15.75" customHeight="1">
      <c r="A722" s="4">
        <v>719.0</v>
      </c>
      <c r="B722" s="4" t="s">
        <v>1457</v>
      </c>
      <c r="C722" s="4" t="s">
        <v>1458</v>
      </c>
      <c r="D722" s="4" t="s">
        <v>43</v>
      </c>
      <c r="E722" s="6">
        <v>107500.0</v>
      </c>
      <c r="F722" s="6">
        <v>243100.0</v>
      </c>
      <c r="G722" s="6">
        <v>0.0</v>
      </c>
      <c r="H722" s="6">
        <v>385660.0</v>
      </c>
    </row>
    <row r="723" ht="15.75" customHeight="1">
      <c r="A723" s="4">
        <v>720.0</v>
      </c>
      <c r="B723" s="4" t="s">
        <v>1459</v>
      </c>
      <c r="C723" s="4" t="s">
        <v>1460</v>
      </c>
      <c r="D723" s="4" t="s">
        <v>43</v>
      </c>
      <c r="E723" s="6">
        <v>94215.0</v>
      </c>
      <c r="F723" s="6">
        <v>140000.0</v>
      </c>
      <c r="G723" s="6">
        <v>0.0</v>
      </c>
      <c r="H723" s="6">
        <v>257636.0</v>
      </c>
    </row>
    <row r="724" ht="15.75" customHeight="1">
      <c r="A724" s="4">
        <v>721.0</v>
      </c>
      <c r="B724" s="4" t="s">
        <v>1461</v>
      </c>
      <c r="C724" s="4" t="s">
        <v>1462</v>
      </c>
      <c r="D724" s="4" t="s">
        <v>43</v>
      </c>
      <c r="E724" s="6">
        <v>29902.0</v>
      </c>
      <c r="F724" s="6">
        <v>150000.0</v>
      </c>
      <c r="G724" s="6">
        <v>0.0</v>
      </c>
      <c r="H724" s="6">
        <v>197892.0</v>
      </c>
    </row>
    <row r="725" ht="15.75" customHeight="1">
      <c r="A725" s="4">
        <v>722.0</v>
      </c>
      <c r="B725" s="4" t="s">
        <v>1463</v>
      </c>
      <c r="C725" s="4" t="s">
        <v>1464</v>
      </c>
      <c r="D725" s="4" t="s">
        <v>43</v>
      </c>
      <c r="E725" s="6">
        <v>59804.0</v>
      </c>
      <c r="F725" s="6">
        <v>114946.4</v>
      </c>
      <c r="G725" s="6">
        <v>694.375</v>
      </c>
      <c r="H725" s="6">
        <v>192989.0</v>
      </c>
    </row>
    <row r="726" ht="15.75" customHeight="1">
      <c r="A726" s="4">
        <v>723.0</v>
      </c>
      <c r="B726" s="4" t="s">
        <v>1465</v>
      </c>
      <c r="C726" s="4" t="s">
        <v>1466</v>
      </c>
      <c r="D726" s="4" t="s">
        <v>43</v>
      </c>
      <c r="E726" s="6">
        <v>0.0</v>
      </c>
      <c r="F726" s="6">
        <v>0.0</v>
      </c>
      <c r="G726" s="6">
        <v>0.0</v>
      </c>
      <c r="H726" s="6">
        <v>99744.0</v>
      </c>
    </row>
    <row r="727" ht="15.75" customHeight="1">
      <c r="A727" s="4">
        <v>724.0</v>
      </c>
      <c r="B727" s="4" t="s">
        <v>1467</v>
      </c>
      <c r="C727" s="4" t="s">
        <v>1468</v>
      </c>
      <c r="D727" s="4" t="s">
        <v>43</v>
      </c>
      <c r="E727" s="6">
        <v>35840.0</v>
      </c>
      <c r="F727" s="6">
        <v>15000.0</v>
      </c>
      <c r="G727" s="6">
        <v>0.0</v>
      </c>
      <c r="H727" s="6">
        <v>55924.0</v>
      </c>
    </row>
    <row r="728" ht="15.75" customHeight="1">
      <c r="A728" s="4">
        <v>725.0</v>
      </c>
      <c r="B728" s="4" t="s">
        <v>1469</v>
      </c>
      <c r="C728" s="4" t="s">
        <v>1470</v>
      </c>
      <c r="D728" s="4" t="s">
        <v>43</v>
      </c>
      <c r="E728" s="6">
        <v>17910.0</v>
      </c>
      <c r="F728" s="6">
        <v>41700.0</v>
      </c>
      <c r="G728" s="6">
        <v>0.0</v>
      </c>
      <c r="H728" s="6">
        <v>65571.0</v>
      </c>
    </row>
    <row r="729" ht="15.75" customHeight="1">
      <c r="A729" s="4">
        <v>726.0</v>
      </c>
      <c r="B729" s="4" t="s">
        <v>1471</v>
      </c>
      <c r="C729" s="4" t="s">
        <v>1472</v>
      </c>
      <c r="D729" s="4" t="s">
        <v>43</v>
      </c>
      <c r="E729" s="6">
        <v>43840.0</v>
      </c>
      <c r="F729" s="6">
        <v>27400.0</v>
      </c>
      <c r="G729" s="6">
        <v>0.0</v>
      </c>
      <c r="H729" s="6">
        <v>78364.0</v>
      </c>
    </row>
    <row r="730" ht="15.75" customHeight="1">
      <c r="A730" s="4">
        <v>727.0</v>
      </c>
      <c r="B730" s="4" t="s">
        <v>1473</v>
      </c>
      <c r="C730" s="4" t="s">
        <v>1474</v>
      </c>
      <c r="D730" s="4" t="s">
        <v>43</v>
      </c>
      <c r="E730" s="6">
        <v>26875.0</v>
      </c>
      <c r="F730" s="6">
        <v>21600.0</v>
      </c>
      <c r="G730" s="6">
        <v>0.0</v>
      </c>
      <c r="H730" s="6">
        <v>53322.0</v>
      </c>
    </row>
    <row r="731" ht="15.75" customHeight="1">
      <c r="A731" s="4">
        <v>728.0</v>
      </c>
      <c r="B731" s="4" t="s">
        <v>1475</v>
      </c>
      <c r="C731" s="4" t="s">
        <v>1476</v>
      </c>
      <c r="D731" s="4" t="s">
        <v>43</v>
      </c>
      <c r="E731" s="6">
        <v>26875.0</v>
      </c>
      <c r="F731" s="6">
        <v>12000.0</v>
      </c>
      <c r="G731" s="6">
        <v>0.0</v>
      </c>
      <c r="H731" s="6">
        <v>42762.0</v>
      </c>
    </row>
    <row r="732" ht="15.75" customHeight="1">
      <c r="A732" s="4">
        <v>729.0</v>
      </c>
      <c r="B732" s="4" t="s">
        <v>1477</v>
      </c>
      <c r="C732" s="4" t="s">
        <v>1478</v>
      </c>
      <c r="D732" s="4" t="s">
        <v>43</v>
      </c>
      <c r="E732" s="6">
        <v>43385.0</v>
      </c>
      <c r="F732" s="6">
        <v>14100.0</v>
      </c>
      <c r="G732" s="6">
        <v>0.0</v>
      </c>
      <c r="H732" s="6">
        <v>63233.0</v>
      </c>
    </row>
    <row r="733" ht="15.75" customHeight="1">
      <c r="A733" s="4">
        <v>730.0</v>
      </c>
      <c r="B733" s="4" t="s">
        <v>1479</v>
      </c>
      <c r="C733" s="4" t="s">
        <v>1480</v>
      </c>
      <c r="D733" s="4" t="s">
        <v>43</v>
      </c>
      <c r="E733" s="6">
        <v>26875.0</v>
      </c>
      <c r="F733" s="6">
        <v>15000.0</v>
      </c>
      <c r="G733" s="6">
        <v>0.0</v>
      </c>
      <c r="H733" s="6">
        <v>46062.0</v>
      </c>
    </row>
    <row r="734" ht="15.75" customHeight="1">
      <c r="A734" s="4">
        <v>731.0</v>
      </c>
      <c r="B734" s="4" t="s">
        <v>1481</v>
      </c>
      <c r="C734" s="4" t="s">
        <v>1482</v>
      </c>
      <c r="D734" s="4" t="s">
        <v>43</v>
      </c>
      <c r="E734" s="6">
        <v>40312.5</v>
      </c>
      <c r="F734" s="6">
        <v>150000.0</v>
      </c>
      <c r="G734" s="6">
        <v>0.0</v>
      </c>
      <c r="H734" s="6">
        <v>209343.0</v>
      </c>
    </row>
    <row r="735" ht="15.75" customHeight="1">
      <c r="A735" s="4">
        <v>732.0</v>
      </c>
      <c r="B735" s="4" t="s">
        <v>1483</v>
      </c>
      <c r="C735" s="4" t="s">
        <v>1484</v>
      </c>
      <c r="D735" s="4" t="s">
        <v>43</v>
      </c>
      <c r="E735" s="6">
        <v>9720.0</v>
      </c>
      <c r="F735" s="6">
        <v>58500.0</v>
      </c>
      <c r="G735" s="6">
        <v>0.0</v>
      </c>
      <c r="H735" s="6">
        <v>75042.0</v>
      </c>
    </row>
    <row r="736" ht="15.75" customHeight="1">
      <c r="A736" s="9">
        <v>733.0</v>
      </c>
      <c r="B736" s="9" t="s">
        <v>1485</v>
      </c>
      <c r="C736" s="10" t="s">
        <v>1486</v>
      </c>
      <c r="D736" s="9"/>
      <c r="E736" s="11"/>
      <c r="F736" s="11"/>
      <c r="G736" s="11"/>
      <c r="H736" s="11"/>
    </row>
    <row r="737" ht="15.75" customHeight="1">
      <c r="A737" s="4">
        <v>734.0</v>
      </c>
      <c r="B737" s="4" t="s">
        <v>1487</v>
      </c>
      <c r="C737" s="4" t="s">
        <v>1488</v>
      </c>
      <c r="D737" s="4" t="s">
        <v>36</v>
      </c>
      <c r="E737" s="6">
        <v>0.0</v>
      </c>
      <c r="F737" s="6">
        <v>0.0</v>
      </c>
      <c r="G737" s="6">
        <v>0.0</v>
      </c>
      <c r="H737" s="6">
        <v>577764.0</v>
      </c>
    </row>
    <row r="738" ht="15.75" customHeight="1">
      <c r="A738" s="4">
        <v>735.0</v>
      </c>
      <c r="B738" s="4" t="s">
        <v>1489</v>
      </c>
      <c r="C738" s="4" t="s">
        <v>1490</v>
      </c>
      <c r="D738" s="4" t="s">
        <v>36</v>
      </c>
      <c r="E738" s="6">
        <v>0.0</v>
      </c>
      <c r="F738" s="6">
        <v>0.0</v>
      </c>
      <c r="G738" s="6">
        <v>0.0</v>
      </c>
      <c r="H738" s="6">
        <v>176583.0</v>
      </c>
    </row>
    <row r="739" ht="15.75" customHeight="1">
      <c r="A739" s="4">
        <v>736.0</v>
      </c>
      <c r="B739" s="4" t="s">
        <v>1491</v>
      </c>
      <c r="C739" s="4" t="s">
        <v>1492</v>
      </c>
      <c r="D739" s="4" t="s">
        <v>36</v>
      </c>
      <c r="E739" s="6">
        <v>0.0</v>
      </c>
      <c r="F739" s="6">
        <v>0.0</v>
      </c>
      <c r="G739" s="6">
        <v>0.0</v>
      </c>
      <c r="H739" s="6">
        <v>270963.0</v>
      </c>
    </row>
    <row r="740" ht="15.75" customHeight="1">
      <c r="A740" s="4">
        <v>737.0</v>
      </c>
      <c r="B740" s="4" t="s">
        <v>1493</v>
      </c>
      <c r="C740" s="4" t="s">
        <v>1494</v>
      </c>
      <c r="D740" s="4" t="s">
        <v>36</v>
      </c>
      <c r="E740" s="6">
        <v>0.0</v>
      </c>
      <c r="F740" s="6">
        <v>0.0</v>
      </c>
      <c r="G740" s="6">
        <v>0.0</v>
      </c>
      <c r="H740" s="6">
        <v>320116.0</v>
      </c>
    </row>
    <row r="741" ht="15.75" customHeight="1">
      <c r="A741" s="4">
        <v>738.0</v>
      </c>
      <c r="B741" s="4" t="s">
        <v>1495</v>
      </c>
      <c r="C741" s="4" t="s">
        <v>1496</v>
      </c>
      <c r="D741" s="4" t="s">
        <v>36</v>
      </c>
      <c r="E741" s="6">
        <v>0.0</v>
      </c>
      <c r="F741" s="6">
        <v>0.0</v>
      </c>
      <c r="G741" s="6">
        <v>0.0</v>
      </c>
      <c r="H741" s="6">
        <v>310004.0</v>
      </c>
    </row>
    <row r="742" ht="15.75" customHeight="1">
      <c r="A742" s="4">
        <v>739.0</v>
      </c>
      <c r="B742" s="4" t="s">
        <v>1497</v>
      </c>
      <c r="C742" s="4" t="s">
        <v>1498</v>
      </c>
      <c r="D742" s="4" t="s">
        <v>36</v>
      </c>
      <c r="E742" s="6">
        <v>0.0</v>
      </c>
      <c r="F742" s="6">
        <v>0.0</v>
      </c>
      <c r="G742" s="6">
        <v>0.0</v>
      </c>
      <c r="H742" s="6">
        <v>435382.0</v>
      </c>
    </row>
    <row r="743" ht="15.75" customHeight="1">
      <c r="A743" s="4">
        <v>740.0</v>
      </c>
      <c r="B743" s="4" t="s">
        <v>1499</v>
      </c>
      <c r="C743" s="4" t="s">
        <v>1500</v>
      </c>
      <c r="D743" s="4" t="s">
        <v>36</v>
      </c>
      <c r="E743" s="6">
        <v>0.0</v>
      </c>
      <c r="F743" s="6">
        <v>0.0</v>
      </c>
      <c r="G743" s="6">
        <v>0.0</v>
      </c>
      <c r="H743" s="6">
        <v>268994.0</v>
      </c>
    </row>
    <row r="744" ht="15.75" customHeight="1">
      <c r="A744" s="4">
        <v>741.0</v>
      </c>
      <c r="B744" s="4" t="s">
        <v>1501</v>
      </c>
      <c r="C744" s="4" t="s">
        <v>1502</v>
      </c>
      <c r="D744" s="4" t="s">
        <v>36</v>
      </c>
      <c r="E744" s="6">
        <v>0.0</v>
      </c>
      <c r="F744" s="6">
        <v>0.0</v>
      </c>
      <c r="G744" s="6">
        <v>0.0</v>
      </c>
      <c r="H744" s="6">
        <v>996792.0</v>
      </c>
    </row>
    <row r="745" ht="15.75" customHeight="1">
      <c r="A745" s="4">
        <v>742.0</v>
      </c>
      <c r="B745" s="4" t="s">
        <v>1503</v>
      </c>
      <c r="C745" s="4" t="s">
        <v>1504</v>
      </c>
      <c r="D745" s="4" t="s">
        <v>36</v>
      </c>
      <c r="E745" s="6">
        <v>0.0</v>
      </c>
      <c r="F745" s="6">
        <v>0.0</v>
      </c>
      <c r="G745" s="6">
        <v>0.0</v>
      </c>
      <c r="H745" s="6">
        <v>204770.0</v>
      </c>
    </row>
    <row r="746" ht="15.75" customHeight="1">
      <c r="A746" s="4">
        <v>743.0</v>
      </c>
      <c r="B746" s="4" t="s">
        <v>1505</v>
      </c>
      <c r="C746" s="4" t="s">
        <v>1506</v>
      </c>
      <c r="D746" s="4" t="s">
        <v>36</v>
      </c>
      <c r="E746" s="6">
        <v>0.0</v>
      </c>
      <c r="F746" s="6">
        <v>0.0</v>
      </c>
      <c r="G746" s="6">
        <v>0.0</v>
      </c>
      <c r="H746" s="6">
        <v>1872706.0</v>
      </c>
    </row>
    <row r="747" ht="15.75" customHeight="1">
      <c r="A747" s="4">
        <v>744.0</v>
      </c>
      <c r="B747" s="4" t="s">
        <v>1507</v>
      </c>
      <c r="C747" s="4" t="s">
        <v>1508</v>
      </c>
      <c r="D747" s="4" t="s">
        <v>36</v>
      </c>
      <c r="E747" s="6">
        <v>0.0</v>
      </c>
      <c r="F747" s="6">
        <v>0.0</v>
      </c>
      <c r="G747" s="6">
        <v>0.0</v>
      </c>
      <c r="H747" s="6">
        <v>1673026.0</v>
      </c>
    </row>
    <row r="748" ht="15.75" customHeight="1">
      <c r="A748" s="4">
        <v>745.0</v>
      </c>
      <c r="B748" s="4" t="s">
        <v>1509</v>
      </c>
      <c r="C748" s="4" t="s">
        <v>1510</v>
      </c>
      <c r="D748" s="4" t="s">
        <v>36</v>
      </c>
      <c r="E748" s="6">
        <v>0.0</v>
      </c>
      <c r="F748" s="6">
        <v>0.0</v>
      </c>
      <c r="G748" s="6">
        <v>0.0</v>
      </c>
      <c r="H748" s="6">
        <v>1857641.0</v>
      </c>
    </row>
    <row r="749" ht="15.75" customHeight="1">
      <c r="A749" s="4">
        <v>746.0</v>
      </c>
      <c r="B749" s="4" t="s">
        <v>1511</v>
      </c>
      <c r="C749" s="4" t="s">
        <v>1512</v>
      </c>
      <c r="D749" s="4" t="s">
        <v>36</v>
      </c>
      <c r="E749" s="6">
        <v>0.0</v>
      </c>
      <c r="F749" s="6">
        <v>0.0</v>
      </c>
      <c r="G749" s="6">
        <v>0.0</v>
      </c>
      <c r="H749" s="6">
        <v>771807.0</v>
      </c>
    </row>
    <row r="750" ht="15.75" customHeight="1">
      <c r="A750" s="4">
        <v>747.0</v>
      </c>
      <c r="B750" s="4" t="s">
        <v>1513</v>
      </c>
      <c r="C750" s="4" t="s">
        <v>1514</v>
      </c>
      <c r="D750" s="4" t="s">
        <v>36</v>
      </c>
      <c r="E750" s="6">
        <v>0.0</v>
      </c>
      <c r="F750" s="6">
        <v>0.0</v>
      </c>
      <c r="G750" s="6">
        <v>0.0</v>
      </c>
      <c r="H750" s="6">
        <v>1329641.0</v>
      </c>
    </row>
    <row r="751" ht="15.75" customHeight="1">
      <c r="A751" s="9">
        <v>748.0</v>
      </c>
      <c r="B751" s="9" t="s">
        <v>1515</v>
      </c>
      <c r="C751" s="10" t="s">
        <v>1516</v>
      </c>
      <c r="D751" s="9"/>
      <c r="E751" s="11"/>
      <c r="F751" s="11"/>
      <c r="G751" s="11"/>
      <c r="H751" s="11"/>
    </row>
    <row r="752" ht="15.75" customHeight="1">
      <c r="A752" s="4">
        <v>749.0</v>
      </c>
      <c r="B752" s="4" t="s">
        <v>1517</v>
      </c>
      <c r="C752" s="4" t="s">
        <v>1518</v>
      </c>
      <c r="D752" s="4" t="s">
        <v>27</v>
      </c>
      <c r="E752" s="6">
        <v>0.0</v>
      </c>
      <c r="F752" s="6">
        <v>0.0</v>
      </c>
      <c r="G752" s="6">
        <v>0.0</v>
      </c>
      <c r="H752" s="6">
        <v>88844.0</v>
      </c>
    </row>
    <row r="753" ht="15.75" customHeight="1">
      <c r="A753" s="4">
        <v>750.0</v>
      </c>
      <c r="B753" s="4" t="s">
        <v>1519</v>
      </c>
      <c r="C753" s="4" t="s">
        <v>1520</v>
      </c>
      <c r="D753" s="4" t="s">
        <v>36</v>
      </c>
      <c r="E753" s="6">
        <v>0.0</v>
      </c>
      <c r="F753" s="6">
        <v>0.0</v>
      </c>
      <c r="G753" s="6">
        <v>0.0</v>
      </c>
      <c r="H753" s="6">
        <v>740544.0</v>
      </c>
    </row>
    <row r="754" ht="15.75" customHeight="1">
      <c r="A754" s="4">
        <v>751.0</v>
      </c>
      <c r="B754" s="4" t="s">
        <v>1521</v>
      </c>
      <c r="C754" s="4" t="s">
        <v>1522</v>
      </c>
      <c r="D754" s="4" t="s">
        <v>27</v>
      </c>
      <c r="E754" s="6">
        <v>0.0</v>
      </c>
      <c r="F754" s="6">
        <v>0.0</v>
      </c>
      <c r="G754" s="6">
        <v>0.0</v>
      </c>
      <c r="H754" s="6">
        <v>16853.0</v>
      </c>
    </row>
    <row r="755" ht="15.75" customHeight="1">
      <c r="A755" s="4">
        <v>752.0</v>
      </c>
      <c r="B755" s="4" t="s">
        <v>1523</v>
      </c>
      <c r="C755" s="4" t="s">
        <v>1524</v>
      </c>
      <c r="D755" s="4" t="s">
        <v>27</v>
      </c>
      <c r="E755" s="6">
        <v>0.0</v>
      </c>
      <c r="F755" s="6">
        <v>0.0</v>
      </c>
      <c r="G755" s="6">
        <v>0.0</v>
      </c>
      <c r="H755" s="6">
        <v>488500.0</v>
      </c>
    </row>
    <row r="756" ht="15.75" customHeight="1">
      <c r="A756" s="4">
        <v>753.0</v>
      </c>
      <c r="B756" s="4" t="s">
        <v>1525</v>
      </c>
      <c r="C756" s="4" t="s">
        <v>1526</v>
      </c>
      <c r="D756" s="4" t="s">
        <v>27</v>
      </c>
      <c r="E756" s="6">
        <v>0.0</v>
      </c>
      <c r="F756" s="6">
        <v>0.0</v>
      </c>
      <c r="G756" s="6">
        <v>0.0</v>
      </c>
      <c r="H756" s="6">
        <v>301338.0</v>
      </c>
    </row>
    <row r="757" ht="15.75" customHeight="1">
      <c r="A757" s="4">
        <v>754.0</v>
      </c>
      <c r="B757" s="4" t="s">
        <v>1527</v>
      </c>
      <c r="C757" s="4" t="s">
        <v>1528</v>
      </c>
      <c r="D757" s="4" t="s">
        <v>43</v>
      </c>
      <c r="E757" s="6">
        <v>0.0</v>
      </c>
      <c r="F757" s="6">
        <v>0.0</v>
      </c>
      <c r="G757" s="6">
        <v>0.0</v>
      </c>
      <c r="H757" s="6">
        <v>1998249.0</v>
      </c>
    </row>
    <row r="758" ht="15.75" customHeight="1">
      <c r="A758" s="9">
        <v>755.0</v>
      </c>
      <c r="B758" s="9" t="s">
        <v>1529</v>
      </c>
      <c r="C758" s="10" t="s">
        <v>1530</v>
      </c>
      <c r="D758" s="9"/>
      <c r="E758" s="11"/>
      <c r="F758" s="11"/>
      <c r="G758" s="11"/>
      <c r="H758" s="11"/>
    </row>
    <row r="759" ht="15.75" customHeight="1">
      <c r="A759" s="9">
        <v>756.0</v>
      </c>
      <c r="B759" s="9" t="s">
        <v>1531</v>
      </c>
      <c r="C759" s="10" t="s">
        <v>1532</v>
      </c>
      <c r="D759" s="9"/>
      <c r="E759" s="11"/>
      <c r="F759" s="11"/>
      <c r="G759" s="11"/>
      <c r="H759" s="11"/>
    </row>
    <row r="760" ht="15.75" customHeight="1">
      <c r="A760" s="9">
        <v>757.0</v>
      </c>
      <c r="B760" s="9" t="s">
        <v>1533</v>
      </c>
      <c r="C760" s="10" t="s">
        <v>1534</v>
      </c>
      <c r="D760" s="9"/>
      <c r="E760" s="11"/>
      <c r="F760" s="11"/>
      <c r="G760" s="11"/>
      <c r="H760" s="11"/>
    </row>
    <row r="761" ht="15.75" customHeight="1">
      <c r="A761" s="9">
        <v>758.0</v>
      </c>
      <c r="B761" s="9" t="s">
        <v>1535</v>
      </c>
      <c r="C761" s="10" t="s">
        <v>1536</v>
      </c>
      <c r="D761" s="9"/>
      <c r="E761" s="11"/>
      <c r="F761" s="11"/>
      <c r="G761" s="11"/>
      <c r="H761" s="11"/>
    </row>
    <row r="762" ht="15.75" customHeight="1">
      <c r="A762" s="4">
        <v>759.0</v>
      </c>
      <c r="B762" s="4" t="s">
        <v>1537</v>
      </c>
      <c r="C762" s="4" t="s">
        <v>1538</v>
      </c>
      <c r="D762" s="4" t="s">
        <v>43</v>
      </c>
      <c r="E762" s="6">
        <v>0.0</v>
      </c>
      <c r="F762" s="6">
        <v>0.0</v>
      </c>
      <c r="G762" s="6">
        <v>0.0</v>
      </c>
      <c r="H762" s="6">
        <v>728417.0</v>
      </c>
    </row>
    <row r="763" ht="15.75" customHeight="1">
      <c r="A763" s="9">
        <v>760.0</v>
      </c>
      <c r="B763" s="9" t="s">
        <v>1539</v>
      </c>
      <c r="C763" s="10" t="s">
        <v>1540</v>
      </c>
      <c r="D763" s="9"/>
      <c r="E763" s="11"/>
      <c r="F763" s="11"/>
      <c r="G763" s="11"/>
      <c r="H763" s="11"/>
    </row>
    <row r="764" ht="15.75" customHeight="1">
      <c r="A764" s="9">
        <v>761.0</v>
      </c>
      <c r="B764" s="9" t="s">
        <v>1541</v>
      </c>
      <c r="C764" s="10" t="s">
        <v>1542</v>
      </c>
      <c r="D764" s="9"/>
      <c r="E764" s="11"/>
      <c r="F764" s="11"/>
      <c r="G764" s="11"/>
      <c r="H764" s="11"/>
    </row>
    <row r="765" ht="15.75" customHeight="1">
      <c r="A765" s="4">
        <v>762.0</v>
      </c>
      <c r="B765" s="4" t="s">
        <v>1543</v>
      </c>
      <c r="C765" s="4" t="s">
        <v>1544</v>
      </c>
      <c r="D765" s="4" t="s">
        <v>43</v>
      </c>
      <c r="E765" s="6">
        <v>369100.0</v>
      </c>
      <c r="F765" s="6">
        <v>477300.0</v>
      </c>
      <c r="G765" s="6">
        <v>586.6666666666666</v>
      </c>
      <c r="H765" s="6">
        <v>931685.0</v>
      </c>
    </row>
    <row r="766" ht="15.75" customHeight="1">
      <c r="A766" s="4">
        <v>763.0</v>
      </c>
      <c r="B766" s="4" t="s">
        <v>1545</v>
      </c>
      <c r="C766" s="4" t="s">
        <v>1546</v>
      </c>
      <c r="D766" s="4" t="s">
        <v>43</v>
      </c>
      <c r="E766" s="6">
        <v>369100.0</v>
      </c>
      <c r="F766" s="6">
        <v>1.96968E7</v>
      </c>
      <c r="G766" s="6">
        <v>322000.0</v>
      </c>
      <c r="H766" s="6">
        <v>2.242669E7</v>
      </c>
    </row>
    <row r="767" ht="15.75" customHeight="1">
      <c r="A767" s="4">
        <v>764.0</v>
      </c>
      <c r="B767" s="4" t="s">
        <v>1547</v>
      </c>
      <c r="C767" s="4" t="s">
        <v>1548</v>
      </c>
      <c r="D767" s="4" t="s">
        <v>43</v>
      </c>
      <c r="E767" s="6">
        <v>0.0</v>
      </c>
      <c r="F767" s="6">
        <v>0.0</v>
      </c>
      <c r="G767" s="6">
        <v>0.0</v>
      </c>
      <c r="H767" s="6">
        <v>1731224.0</v>
      </c>
    </row>
    <row r="768" ht="15.75" customHeight="1">
      <c r="A768" s="4">
        <v>765.0</v>
      </c>
      <c r="B768" s="4" t="s">
        <v>1549</v>
      </c>
      <c r="C768" s="4" t="s">
        <v>1550</v>
      </c>
      <c r="D768" s="4" t="s">
        <v>43</v>
      </c>
      <c r="E768" s="6">
        <v>26910.0</v>
      </c>
      <c r="F768" s="6">
        <v>1500000.0</v>
      </c>
      <c r="G768" s="6">
        <v>0.0</v>
      </c>
      <c r="H768" s="6">
        <v>1679601.0</v>
      </c>
    </row>
    <row r="769" ht="15.75" customHeight="1">
      <c r="A769" s="4">
        <v>766.0</v>
      </c>
      <c r="B769" s="4" t="s">
        <v>1551</v>
      </c>
      <c r="C769" s="4" t="s">
        <v>1552</v>
      </c>
      <c r="D769" s="4" t="s">
        <v>43</v>
      </c>
      <c r="E769" s="6">
        <v>0.0</v>
      </c>
      <c r="F769" s="6">
        <v>0.0</v>
      </c>
      <c r="G769" s="6">
        <v>0.0</v>
      </c>
      <c r="H769" s="6">
        <v>169180.0</v>
      </c>
    </row>
    <row r="770" ht="15.75" customHeight="1">
      <c r="A770" s="4">
        <v>767.0</v>
      </c>
      <c r="B770" s="4" t="s">
        <v>1553</v>
      </c>
      <c r="C770" s="4" t="s">
        <v>1554</v>
      </c>
      <c r="D770" s="4" t="s">
        <v>36</v>
      </c>
      <c r="E770" s="6">
        <v>0.0</v>
      </c>
      <c r="F770" s="6">
        <v>0.0</v>
      </c>
      <c r="G770" s="6">
        <v>0.0</v>
      </c>
      <c r="H770" s="6">
        <v>123249.0</v>
      </c>
    </row>
    <row r="771" ht="15.75" customHeight="1">
      <c r="A771" s="4">
        <v>768.0</v>
      </c>
      <c r="B771" s="4" t="s">
        <v>1555</v>
      </c>
      <c r="C771" s="4" t="s">
        <v>1556</v>
      </c>
      <c r="D771" s="4" t="s">
        <v>1557</v>
      </c>
      <c r="E771" s="6">
        <v>0.0</v>
      </c>
      <c r="F771" s="6">
        <v>0.0</v>
      </c>
      <c r="G771" s="6">
        <v>0.0</v>
      </c>
      <c r="H771" s="6">
        <v>138275.0</v>
      </c>
    </row>
    <row r="772" ht="15.75" customHeight="1">
      <c r="A772" s="4">
        <v>769.0</v>
      </c>
      <c r="B772" s="4" t="s">
        <v>1558</v>
      </c>
      <c r="C772" s="4" t="s">
        <v>1559</v>
      </c>
      <c r="D772" s="4" t="s">
        <v>43</v>
      </c>
      <c r="E772" s="6">
        <v>0.0</v>
      </c>
      <c r="F772" s="6">
        <v>0.0</v>
      </c>
      <c r="G772" s="6">
        <v>0.0</v>
      </c>
      <c r="H772" s="6">
        <v>455757.0</v>
      </c>
    </row>
    <row r="773" ht="15.75" customHeight="1">
      <c r="A773" s="4">
        <v>770.0</v>
      </c>
      <c r="B773" s="4" t="s">
        <v>1560</v>
      </c>
      <c r="C773" s="4" t="s">
        <v>1561</v>
      </c>
      <c r="D773" s="4" t="s">
        <v>43</v>
      </c>
      <c r="E773" s="6">
        <v>0.0</v>
      </c>
      <c r="F773" s="6">
        <v>0.0</v>
      </c>
      <c r="G773" s="6">
        <v>0.0</v>
      </c>
      <c r="H773" s="6">
        <v>76257.0</v>
      </c>
    </row>
    <row r="774" ht="15.75" customHeight="1">
      <c r="A774" s="9">
        <v>771.0</v>
      </c>
      <c r="B774" s="9" t="s">
        <v>1562</v>
      </c>
      <c r="C774" s="10" t="s">
        <v>1563</v>
      </c>
      <c r="D774" s="9"/>
      <c r="E774" s="11"/>
      <c r="F774" s="11"/>
      <c r="G774" s="11"/>
      <c r="H774" s="11"/>
    </row>
    <row r="775" ht="15.75" customHeight="1">
      <c r="A775" s="9">
        <v>772.0</v>
      </c>
      <c r="B775" s="9" t="s">
        <v>1564</v>
      </c>
      <c r="C775" s="10" t="s">
        <v>1565</v>
      </c>
      <c r="D775" s="9"/>
      <c r="E775" s="11"/>
      <c r="F775" s="11"/>
      <c r="G775" s="11"/>
      <c r="H775" s="11"/>
    </row>
    <row r="776" ht="15.75" customHeight="1">
      <c r="A776" s="9">
        <v>773.0</v>
      </c>
      <c r="B776" s="9" t="s">
        <v>1566</v>
      </c>
      <c r="C776" s="10" t="s">
        <v>1567</v>
      </c>
      <c r="D776" s="9"/>
      <c r="E776" s="11"/>
      <c r="F776" s="11"/>
      <c r="G776" s="11"/>
      <c r="H776" s="11"/>
    </row>
    <row r="777" ht="15.75" customHeight="1">
      <c r="A777" s="4">
        <v>774.0</v>
      </c>
      <c r="B777" s="4" t="s">
        <v>1568</v>
      </c>
      <c r="C777" s="4" t="s">
        <v>1569</v>
      </c>
      <c r="D777" s="4" t="s">
        <v>43</v>
      </c>
      <c r="E777" s="6">
        <v>184590.0</v>
      </c>
      <c r="F777" s="6">
        <v>400670.0</v>
      </c>
      <c r="G777" s="6">
        <v>0.0</v>
      </c>
      <c r="H777" s="6">
        <v>643786.0</v>
      </c>
    </row>
    <row r="778" ht="15.75" customHeight="1">
      <c r="A778" s="9">
        <v>775.0</v>
      </c>
      <c r="B778" s="9" t="s">
        <v>1570</v>
      </c>
      <c r="C778" s="10" t="s">
        <v>1571</v>
      </c>
      <c r="D778" s="9"/>
      <c r="E778" s="11"/>
      <c r="F778" s="11"/>
      <c r="G778" s="11"/>
      <c r="H778" s="11"/>
    </row>
    <row r="779" ht="15.75" customHeight="1">
      <c r="A779" s="4">
        <v>776.0</v>
      </c>
      <c r="B779" s="4" t="s">
        <v>1572</v>
      </c>
      <c r="C779" s="4" t="s">
        <v>1573</v>
      </c>
      <c r="D779" s="4" t="s">
        <v>43</v>
      </c>
      <c r="E779" s="6">
        <v>53750.0</v>
      </c>
      <c r="F779" s="6">
        <v>552500.0</v>
      </c>
      <c r="G779" s="6">
        <v>0.0</v>
      </c>
      <c r="H779" s="6">
        <v>666875.0</v>
      </c>
    </row>
    <row r="780" ht="15.75" customHeight="1">
      <c r="A780" s="4">
        <v>777.0</v>
      </c>
      <c r="B780" s="4" t="s">
        <v>1574</v>
      </c>
      <c r="C780" s="4" t="s">
        <v>1575</v>
      </c>
      <c r="D780" s="4" t="s">
        <v>43</v>
      </c>
      <c r="E780" s="6">
        <v>89590.0</v>
      </c>
      <c r="F780" s="6">
        <v>957900.0</v>
      </c>
      <c r="G780" s="6">
        <v>0.0</v>
      </c>
      <c r="H780" s="6">
        <v>1152239.0</v>
      </c>
    </row>
    <row r="781" ht="15.75" customHeight="1">
      <c r="A781" s="9">
        <v>778.0</v>
      </c>
      <c r="B781" s="9" t="s">
        <v>1576</v>
      </c>
      <c r="C781" s="10" t="s">
        <v>1577</v>
      </c>
      <c r="D781" s="9"/>
      <c r="E781" s="11"/>
      <c r="F781" s="11"/>
      <c r="G781" s="11"/>
      <c r="H781" s="11"/>
    </row>
    <row r="782" ht="15.75" customHeight="1">
      <c r="A782" s="4">
        <v>779.0</v>
      </c>
      <c r="B782" s="4" t="s">
        <v>1578</v>
      </c>
      <c r="C782" s="4" t="s">
        <v>1579</v>
      </c>
      <c r="D782" s="4" t="s">
        <v>43</v>
      </c>
      <c r="E782" s="6">
        <v>253000.0</v>
      </c>
      <c r="F782" s="6">
        <v>1579400.0</v>
      </c>
      <c r="G782" s="6">
        <v>0.0</v>
      </c>
      <c r="H782" s="6">
        <v>2015640.0</v>
      </c>
    </row>
    <row r="783" ht="15.75" customHeight="1">
      <c r="A783" s="4">
        <v>780.0</v>
      </c>
      <c r="B783" s="4" t="s">
        <v>1580</v>
      </c>
      <c r="C783" s="4" t="s">
        <v>1581</v>
      </c>
      <c r="D783" s="4" t="s">
        <v>43</v>
      </c>
      <c r="E783" s="6">
        <v>134590.0</v>
      </c>
      <c r="F783" s="6">
        <v>254630.32</v>
      </c>
      <c r="G783" s="6">
        <v>0.0</v>
      </c>
      <c r="H783" s="6">
        <v>428142.0</v>
      </c>
    </row>
    <row r="784" ht="15.75" customHeight="1">
      <c r="A784" s="4">
        <v>781.0</v>
      </c>
      <c r="B784" s="4" t="s">
        <v>1582</v>
      </c>
      <c r="C784" s="4" t="s">
        <v>1583</v>
      </c>
      <c r="D784" s="4" t="s">
        <v>36</v>
      </c>
      <c r="E784" s="6">
        <v>18465.0</v>
      </c>
      <c r="F784" s="6">
        <v>2054000.0</v>
      </c>
      <c r="G784" s="6">
        <v>0.0</v>
      </c>
      <c r="H784" s="6">
        <v>2279711.0</v>
      </c>
    </row>
    <row r="785" ht="15.75" customHeight="1">
      <c r="A785" s="9">
        <v>782.0</v>
      </c>
      <c r="B785" s="9" t="s">
        <v>1584</v>
      </c>
      <c r="C785" s="10" t="s">
        <v>1585</v>
      </c>
      <c r="D785" s="9"/>
      <c r="E785" s="11"/>
      <c r="F785" s="11"/>
      <c r="G785" s="11"/>
      <c r="H785" s="11"/>
    </row>
    <row r="786" ht="15.75" customHeight="1">
      <c r="A786" s="4">
        <v>783.0</v>
      </c>
      <c r="B786" s="4" t="s">
        <v>1586</v>
      </c>
      <c r="C786" s="4" t="s">
        <v>1587</v>
      </c>
      <c r="D786" s="4" t="s">
        <v>43</v>
      </c>
      <c r="E786" s="6">
        <v>269160.0</v>
      </c>
      <c r="F786" s="6">
        <v>467350.0</v>
      </c>
      <c r="G786" s="6">
        <v>0.0</v>
      </c>
      <c r="H786" s="6">
        <v>810161.0</v>
      </c>
    </row>
    <row r="787" ht="15.75" customHeight="1">
      <c r="A787" s="4">
        <v>784.0</v>
      </c>
      <c r="B787" s="4" t="s">
        <v>1588</v>
      </c>
      <c r="C787" s="4" t="s">
        <v>1589</v>
      </c>
      <c r="D787" s="4" t="s">
        <v>43</v>
      </c>
      <c r="E787" s="6">
        <v>219160.0</v>
      </c>
      <c r="F787" s="6">
        <v>700142.5</v>
      </c>
      <c r="G787" s="6">
        <v>0.0</v>
      </c>
      <c r="H787" s="6">
        <v>1011232.0</v>
      </c>
    </row>
    <row r="788" ht="15.75" customHeight="1">
      <c r="A788" s="9">
        <v>785.0</v>
      </c>
      <c r="B788" s="9" t="s">
        <v>1590</v>
      </c>
      <c r="C788" s="10" t="s">
        <v>1591</v>
      </c>
      <c r="D788" s="9"/>
      <c r="E788" s="11"/>
      <c r="F788" s="11"/>
      <c r="G788" s="11"/>
      <c r="H788" s="11"/>
    </row>
    <row r="789" ht="15.75" customHeight="1">
      <c r="A789" s="4">
        <v>786.0</v>
      </c>
      <c r="B789" s="4" t="s">
        <v>1592</v>
      </c>
      <c r="C789" s="4" t="s">
        <v>1593</v>
      </c>
      <c r="D789" s="4" t="s">
        <v>43</v>
      </c>
      <c r="E789" s="6">
        <v>1061250.0</v>
      </c>
      <c r="F789" s="6">
        <v>505000.0</v>
      </c>
      <c r="G789" s="6">
        <v>0.0</v>
      </c>
      <c r="H789" s="6">
        <v>1722875.0</v>
      </c>
    </row>
    <row r="790" ht="15.75" customHeight="1">
      <c r="A790" s="4">
        <v>787.0</v>
      </c>
      <c r="B790" s="4" t="s">
        <v>1594</v>
      </c>
      <c r="C790" s="4" t="s">
        <v>1595</v>
      </c>
      <c r="D790" s="4" t="s">
        <v>43</v>
      </c>
      <c r="E790" s="6">
        <v>1107500.0</v>
      </c>
      <c r="F790" s="6">
        <v>703500.0</v>
      </c>
      <c r="G790" s="6">
        <v>0.0</v>
      </c>
      <c r="H790" s="6">
        <v>1992100.0</v>
      </c>
    </row>
    <row r="791" ht="15.75" customHeight="1">
      <c r="A791" s="4">
        <v>788.0</v>
      </c>
      <c r="B791" s="4" t="s">
        <v>1596</v>
      </c>
      <c r="C791" s="4" t="s">
        <v>1597</v>
      </c>
      <c r="D791" s="4" t="s">
        <v>43</v>
      </c>
      <c r="E791" s="6">
        <v>238040.5</v>
      </c>
      <c r="F791" s="6">
        <v>351900.0</v>
      </c>
      <c r="G791" s="6">
        <v>0.0</v>
      </c>
      <c r="H791" s="6">
        <v>648934.0</v>
      </c>
    </row>
    <row r="792" ht="15.75" customHeight="1">
      <c r="A792" s="4">
        <v>789.0</v>
      </c>
      <c r="B792" s="4" t="s">
        <v>1598</v>
      </c>
      <c r="C792" s="4" t="s">
        <v>1599</v>
      </c>
      <c r="D792" s="4" t="s">
        <v>43</v>
      </c>
      <c r="E792" s="6">
        <v>238085.0</v>
      </c>
      <c r="F792" s="6">
        <v>423500.0</v>
      </c>
      <c r="G792" s="6">
        <v>0.0</v>
      </c>
      <c r="H792" s="6">
        <v>727743.0</v>
      </c>
    </row>
    <row r="793" ht="15.75" customHeight="1">
      <c r="A793" s="4">
        <v>790.0</v>
      </c>
      <c r="B793" s="4" t="s">
        <v>1600</v>
      </c>
      <c r="C793" s="4" t="s">
        <v>1601</v>
      </c>
      <c r="D793" s="4" t="s">
        <v>43</v>
      </c>
      <c r="E793" s="6">
        <v>1111250.0</v>
      </c>
      <c r="F793" s="6">
        <v>6141139.5</v>
      </c>
      <c r="G793" s="6">
        <v>0.0</v>
      </c>
      <c r="H793" s="6">
        <v>7977628.0</v>
      </c>
    </row>
    <row r="794" ht="15.75" customHeight="1">
      <c r="A794" s="4">
        <v>791.0</v>
      </c>
      <c r="B794" s="4" t="s">
        <v>1602</v>
      </c>
      <c r="C794" s="4" t="s">
        <v>1603</v>
      </c>
      <c r="D794" s="4" t="s">
        <v>43</v>
      </c>
      <c r="E794" s="6">
        <v>134375.0</v>
      </c>
      <c r="F794" s="6">
        <v>2559000.0</v>
      </c>
      <c r="G794" s="6">
        <v>0.0</v>
      </c>
      <c r="H794" s="6">
        <v>2962712.0</v>
      </c>
    </row>
    <row r="795" ht="15.75" customHeight="1">
      <c r="A795" s="9">
        <v>792.0</v>
      </c>
      <c r="B795" s="9" t="s">
        <v>1604</v>
      </c>
      <c r="C795" s="10" t="s">
        <v>1605</v>
      </c>
      <c r="D795" s="9"/>
      <c r="E795" s="11"/>
      <c r="F795" s="11"/>
      <c r="G795" s="11"/>
      <c r="H795" s="11"/>
    </row>
    <row r="796" ht="15.75" customHeight="1">
      <c r="A796" s="4">
        <v>793.0</v>
      </c>
      <c r="B796" s="4" t="s">
        <v>1606</v>
      </c>
      <c r="C796" s="4" t="s">
        <v>1607</v>
      </c>
      <c r="D796" s="4" t="s">
        <v>43</v>
      </c>
      <c r="E796" s="6">
        <v>17910.0</v>
      </c>
      <c r="F796" s="6">
        <v>44700.0</v>
      </c>
      <c r="G796" s="6">
        <v>0.0</v>
      </c>
      <c r="H796" s="6">
        <v>68871.0</v>
      </c>
    </row>
    <row r="797" ht="15.75" customHeight="1">
      <c r="A797" s="4">
        <v>794.0</v>
      </c>
      <c r="B797" s="4" t="s">
        <v>1608</v>
      </c>
      <c r="C797" s="4" t="s">
        <v>1609</v>
      </c>
      <c r="D797" s="4" t="s">
        <v>43</v>
      </c>
      <c r="E797" s="6">
        <v>68660.0</v>
      </c>
      <c r="F797" s="6">
        <v>41842.5</v>
      </c>
      <c r="G797" s="6">
        <v>0.0</v>
      </c>
      <c r="H797" s="6">
        <v>0.0</v>
      </c>
    </row>
    <row r="798" ht="15.75" customHeight="1">
      <c r="A798" s="4">
        <v>795.0</v>
      </c>
      <c r="B798" s="4" t="s">
        <v>1610</v>
      </c>
      <c r="C798" s="4" t="s">
        <v>1611</v>
      </c>
      <c r="D798" s="4" t="s">
        <v>43</v>
      </c>
      <c r="E798" s="6">
        <v>0.0</v>
      </c>
      <c r="F798" s="6">
        <v>0.0</v>
      </c>
      <c r="G798" s="6">
        <v>0.0</v>
      </c>
      <c r="H798" s="6">
        <v>121552.0</v>
      </c>
    </row>
    <row r="799" ht="15.75" customHeight="1">
      <c r="A799" s="4">
        <v>796.0</v>
      </c>
      <c r="B799" s="4" t="s">
        <v>1612</v>
      </c>
      <c r="C799" s="4" t="s">
        <v>1613</v>
      </c>
      <c r="D799" s="4" t="s">
        <v>43</v>
      </c>
      <c r="E799" s="6">
        <v>68660.0</v>
      </c>
      <c r="F799" s="6">
        <v>100142.5</v>
      </c>
      <c r="G799" s="6">
        <v>0.0</v>
      </c>
      <c r="H799" s="6">
        <v>185682.0</v>
      </c>
    </row>
    <row r="800" ht="15.75" customHeight="1">
      <c r="A800" s="4">
        <v>797.0</v>
      </c>
      <c r="B800" s="4" t="s">
        <v>1614</v>
      </c>
      <c r="C800" s="4" t="s">
        <v>1615</v>
      </c>
      <c r="D800" s="4" t="s">
        <v>43</v>
      </c>
      <c r="E800" s="6">
        <v>17910.0</v>
      </c>
      <c r="F800" s="6">
        <v>70000.0</v>
      </c>
      <c r="G800" s="6">
        <v>0.0</v>
      </c>
      <c r="H800" s="6">
        <v>96701.0</v>
      </c>
    </row>
    <row r="801" ht="15.75" customHeight="1">
      <c r="A801" s="4">
        <v>798.0</v>
      </c>
      <c r="B801" s="4" t="s">
        <v>1616</v>
      </c>
      <c r="C801" s="4" t="s">
        <v>1617</v>
      </c>
      <c r="D801" s="4" t="s">
        <v>43</v>
      </c>
      <c r="E801" s="6">
        <v>17910.0</v>
      </c>
      <c r="F801" s="6">
        <v>150000.0</v>
      </c>
      <c r="G801" s="6">
        <v>0.0</v>
      </c>
      <c r="H801" s="6">
        <v>184701.0</v>
      </c>
    </row>
    <row r="802" ht="15.75" customHeight="1">
      <c r="A802" s="4">
        <v>799.0</v>
      </c>
      <c r="B802" s="4" t="s">
        <v>1618</v>
      </c>
      <c r="C802" s="4" t="s">
        <v>1619</v>
      </c>
      <c r="D802" s="4" t="s">
        <v>43</v>
      </c>
      <c r="E802" s="6">
        <v>17910.0</v>
      </c>
      <c r="F802" s="6">
        <v>120000.0</v>
      </c>
      <c r="G802" s="6">
        <v>0.0</v>
      </c>
      <c r="H802" s="6">
        <v>151701.0</v>
      </c>
    </row>
    <row r="803" ht="15.75" customHeight="1">
      <c r="A803" s="4">
        <v>800.0</v>
      </c>
      <c r="B803" s="4" t="s">
        <v>1620</v>
      </c>
      <c r="C803" s="4" t="s">
        <v>1621</v>
      </c>
      <c r="D803" s="4" t="s">
        <v>43</v>
      </c>
      <c r="E803" s="6">
        <v>17910.0</v>
      </c>
      <c r="F803" s="6">
        <v>150000.0</v>
      </c>
      <c r="G803" s="6">
        <v>0.0</v>
      </c>
      <c r="H803" s="6">
        <v>184701.0</v>
      </c>
    </row>
    <row r="804" ht="15.75" customHeight="1">
      <c r="A804" s="4">
        <v>801.0</v>
      </c>
      <c r="B804" s="4" t="s">
        <v>1622</v>
      </c>
      <c r="C804" s="4" t="s">
        <v>1623</v>
      </c>
      <c r="D804" s="4" t="s">
        <v>43</v>
      </c>
      <c r="E804" s="6">
        <v>17910.0</v>
      </c>
      <c r="F804" s="6">
        <v>150000.0</v>
      </c>
      <c r="G804" s="6">
        <v>0.0</v>
      </c>
      <c r="H804" s="6">
        <v>184701.0</v>
      </c>
    </row>
    <row r="805" ht="15.75" customHeight="1">
      <c r="A805" s="4">
        <v>802.0</v>
      </c>
      <c r="B805" s="4" t="s">
        <v>1624</v>
      </c>
      <c r="C805" s="4" t="s">
        <v>1625</v>
      </c>
      <c r="D805" s="4" t="s">
        <v>43</v>
      </c>
      <c r="E805" s="6">
        <v>68660.0</v>
      </c>
      <c r="F805" s="6">
        <v>142.5</v>
      </c>
      <c r="G805" s="6">
        <v>0.0</v>
      </c>
      <c r="H805" s="6">
        <v>75682.0</v>
      </c>
    </row>
    <row r="806" ht="15.75" customHeight="1">
      <c r="A806" s="9">
        <v>803.0</v>
      </c>
      <c r="B806" s="9" t="s">
        <v>1626</v>
      </c>
      <c r="C806" s="10" t="s">
        <v>1627</v>
      </c>
      <c r="D806" s="9"/>
      <c r="E806" s="11"/>
      <c r="F806" s="11"/>
      <c r="G806" s="11"/>
      <c r="H806" s="11"/>
    </row>
    <row r="807" ht="15.75" customHeight="1">
      <c r="A807" s="9">
        <v>804.0</v>
      </c>
      <c r="B807" s="9" t="s">
        <v>1628</v>
      </c>
      <c r="C807" s="10" t="s">
        <v>1629</v>
      </c>
      <c r="D807" s="9"/>
      <c r="E807" s="11"/>
      <c r="F807" s="11"/>
      <c r="G807" s="11"/>
      <c r="H807" s="11"/>
    </row>
    <row r="808" ht="15.75" customHeight="1">
      <c r="A808" s="9">
        <v>805.0</v>
      </c>
      <c r="B808" s="9" t="s">
        <v>1630</v>
      </c>
      <c r="C808" s="10" t="s">
        <v>1631</v>
      </c>
      <c r="D808" s="9"/>
      <c r="E808" s="11"/>
      <c r="F808" s="11"/>
      <c r="G808" s="11"/>
      <c r="H808" s="11"/>
    </row>
    <row r="809" ht="15.75" customHeight="1">
      <c r="A809" s="9">
        <v>806.0</v>
      </c>
      <c r="B809" s="9" t="s">
        <v>1632</v>
      </c>
      <c r="C809" s="10" t="s">
        <v>1633</v>
      </c>
      <c r="D809" s="9" t="s">
        <v>43</v>
      </c>
      <c r="E809" s="11"/>
      <c r="F809" s="11"/>
      <c r="G809" s="11"/>
      <c r="H809" s="11"/>
    </row>
    <row r="810" ht="15.75" customHeight="1">
      <c r="A810" s="9">
        <v>807.0</v>
      </c>
      <c r="B810" s="9" t="s">
        <v>1634</v>
      </c>
      <c r="C810" s="10" t="s">
        <v>1635</v>
      </c>
      <c r="D810" s="9" t="s">
        <v>43</v>
      </c>
      <c r="E810" s="11"/>
      <c r="F810" s="11"/>
      <c r="G810" s="11"/>
      <c r="H810" s="11"/>
    </row>
    <row r="811" ht="15.75" customHeight="1">
      <c r="A811" s="4">
        <v>808.0</v>
      </c>
      <c r="B811" s="4" t="s">
        <v>1636</v>
      </c>
      <c r="C811" s="4" t="s">
        <v>1637</v>
      </c>
      <c r="D811" s="4" t="s">
        <v>43</v>
      </c>
      <c r="E811" s="6">
        <v>385.0</v>
      </c>
      <c r="F811" s="6">
        <v>350000.0</v>
      </c>
      <c r="G811" s="6">
        <v>7947.002228</v>
      </c>
      <c r="H811" s="6">
        <v>394165.0</v>
      </c>
    </row>
    <row r="812" ht="15.75" customHeight="1">
      <c r="A812" s="9">
        <v>809.0</v>
      </c>
      <c r="B812" s="9" t="s">
        <v>1638</v>
      </c>
      <c r="C812" s="10" t="s">
        <v>1639</v>
      </c>
      <c r="D812" s="9" t="s">
        <v>43</v>
      </c>
      <c r="E812" s="11"/>
      <c r="F812" s="11"/>
      <c r="G812" s="11"/>
      <c r="H812" s="11"/>
    </row>
    <row r="813" ht="15.75" customHeight="1">
      <c r="A813" s="4">
        <v>810.0</v>
      </c>
      <c r="B813" s="4" t="s">
        <v>1640</v>
      </c>
      <c r="C813" s="4" t="s">
        <v>1641</v>
      </c>
      <c r="D813" s="4" t="s">
        <v>43</v>
      </c>
      <c r="E813" s="6">
        <v>448.75</v>
      </c>
      <c r="F813" s="6">
        <v>400000.0</v>
      </c>
      <c r="G813" s="6">
        <v>11157.2141952</v>
      </c>
      <c r="H813" s="6">
        <v>452766.0</v>
      </c>
    </row>
    <row r="814" ht="15.75" customHeight="1">
      <c r="A814" s="4">
        <v>811.0</v>
      </c>
      <c r="B814" s="4" t="s">
        <v>1642</v>
      </c>
      <c r="C814" s="4" t="s">
        <v>1643</v>
      </c>
      <c r="D814" s="4" t="s">
        <v>43</v>
      </c>
      <c r="E814" s="6">
        <v>0.0</v>
      </c>
      <c r="F814" s="6">
        <v>0.0</v>
      </c>
      <c r="G814" s="6">
        <v>0.0</v>
      </c>
      <c r="H814" s="6">
        <v>0.0</v>
      </c>
    </row>
    <row r="815" ht="15.75" customHeight="1">
      <c r="A815" s="4">
        <v>812.0</v>
      </c>
      <c r="B815" s="4" t="s">
        <v>1644</v>
      </c>
      <c r="C815" s="4" t="s">
        <v>1645</v>
      </c>
      <c r="D815" s="4" t="s">
        <v>43</v>
      </c>
      <c r="E815" s="6">
        <v>843.75</v>
      </c>
      <c r="F815" s="6">
        <v>500000.0</v>
      </c>
      <c r="G815" s="6">
        <v>11255.92759385542</v>
      </c>
      <c r="H815" s="6">
        <v>563309.0</v>
      </c>
    </row>
    <row r="816" ht="15.75" customHeight="1">
      <c r="A816" s="4">
        <v>813.0</v>
      </c>
      <c r="B816" s="4" t="s">
        <v>1646</v>
      </c>
      <c r="C816" s="4" t="s">
        <v>1647</v>
      </c>
      <c r="D816" s="4" t="s">
        <v>43</v>
      </c>
      <c r="E816" s="6">
        <v>0.0</v>
      </c>
      <c r="F816" s="6">
        <v>0.0</v>
      </c>
      <c r="G816" s="6">
        <v>0.0</v>
      </c>
      <c r="H816" s="6">
        <v>0.0</v>
      </c>
    </row>
    <row r="817" ht="15.75" customHeight="1">
      <c r="A817" s="4">
        <v>814.0</v>
      </c>
      <c r="B817" s="4" t="s">
        <v>1648</v>
      </c>
      <c r="C817" s="4" t="s">
        <v>1649</v>
      </c>
      <c r="D817" s="4" t="s">
        <v>43</v>
      </c>
      <c r="E817" s="6">
        <v>1677.5</v>
      </c>
      <c r="F817" s="6">
        <v>530000.0</v>
      </c>
      <c r="G817" s="6">
        <v>13867.41373493976</v>
      </c>
      <c r="H817" s="6">
        <v>600099.0</v>
      </c>
    </row>
    <row r="818" ht="15.75" customHeight="1">
      <c r="A818" s="4">
        <v>815.0</v>
      </c>
      <c r="B818" s="4" t="s">
        <v>1650</v>
      </c>
      <c r="C818" s="4" t="s">
        <v>1651</v>
      </c>
      <c r="D818" s="4" t="s">
        <v>43</v>
      </c>
      <c r="E818" s="6">
        <v>0.0</v>
      </c>
      <c r="F818" s="6">
        <v>0.0</v>
      </c>
      <c r="G818" s="6">
        <v>0.0</v>
      </c>
      <c r="H818" s="6">
        <v>0.0</v>
      </c>
    </row>
    <row r="819" ht="15.75" customHeight="1">
      <c r="A819" s="4">
        <v>816.0</v>
      </c>
      <c r="B819" s="4" t="s">
        <v>1652</v>
      </c>
      <c r="C819" s="4" t="s">
        <v>1653</v>
      </c>
      <c r="D819" s="4" t="s">
        <v>43</v>
      </c>
      <c r="E819" s="6">
        <v>7903.75</v>
      </c>
      <c r="F819" s="6">
        <v>400000.0</v>
      </c>
      <c r="G819" s="6">
        <v>132874.5949236948</v>
      </c>
      <c r="H819" s="6">
        <v>594856.0</v>
      </c>
    </row>
    <row r="820" ht="15.75" customHeight="1">
      <c r="A820" s="4">
        <v>817.0</v>
      </c>
      <c r="B820" s="4" t="s">
        <v>1654</v>
      </c>
      <c r="C820" s="4" t="s">
        <v>1655</v>
      </c>
      <c r="D820" s="4" t="s">
        <v>43</v>
      </c>
      <c r="E820" s="6">
        <v>0.0</v>
      </c>
      <c r="F820" s="6">
        <v>0.0</v>
      </c>
      <c r="G820" s="6">
        <v>0.0</v>
      </c>
      <c r="H820" s="6">
        <v>0.0</v>
      </c>
    </row>
    <row r="821" ht="15.75" customHeight="1">
      <c r="A821" s="4">
        <v>818.0</v>
      </c>
      <c r="B821" s="4" t="s">
        <v>1656</v>
      </c>
      <c r="C821" s="4" t="s">
        <v>1657</v>
      </c>
      <c r="D821" s="4" t="s">
        <v>43</v>
      </c>
      <c r="E821" s="6">
        <v>8150.0</v>
      </c>
      <c r="F821" s="6">
        <v>425000.0</v>
      </c>
      <c r="G821" s="6">
        <v>140529.3323293173</v>
      </c>
      <c r="H821" s="6">
        <v>631047.0</v>
      </c>
    </row>
    <row r="822" ht="15.75" customHeight="1">
      <c r="A822" s="4">
        <v>819.0</v>
      </c>
      <c r="B822" s="4" t="s">
        <v>1658</v>
      </c>
      <c r="C822" s="4" t="s">
        <v>1659</v>
      </c>
      <c r="D822" s="4" t="s">
        <v>43</v>
      </c>
      <c r="E822" s="6">
        <v>0.0</v>
      </c>
      <c r="F822" s="6">
        <v>0.0</v>
      </c>
      <c r="G822" s="6">
        <v>0.0</v>
      </c>
      <c r="H822" s="6">
        <v>0.0</v>
      </c>
    </row>
    <row r="823" ht="15.75" customHeight="1">
      <c r="A823" s="4">
        <v>820.0</v>
      </c>
      <c r="B823" s="4" t="s">
        <v>1660</v>
      </c>
      <c r="C823" s="4" t="s">
        <v>1661</v>
      </c>
      <c r="D823" s="4" t="s">
        <v>43</v>
      </c>
      <c r="E823" s="6">
        <v>11163.75</v>
      </c>
      <c r="F823" s="6">
        <v>550000.0</v>
      </c>
      <c r="G823" s="6">
        <v>200064.0560714859</v>
      </c>
      <c r="H823" s="6">
        <v>837350.0</v>
      </c>
    </row>
    <row r="824" ht="15.75" customHeight="1">
      <c r="A824" s="4">
        <v>821.0</v>
      </c>
      <c r="B824" s="4" t="s">
        <v>1662</v>
      </c>
      <c r="C824" s="4" t="s">
        <v>1663</v>
      </c>
      <c r="D824" s="4" t="s">
        <v>43</v>
      </c>
      <c r="E824" s="6">
        <v>0.0</v>
      </c>
      <c r="F824" s="6">
        <v>0.0</v>
      </c>
      <c r="G824" s="6">
        <v>0.0</v>
      </c>
      <c r="H824" s="6">
        <v>0.0</v>
      </c>
    </row>
    <row r="825" ht="15.75" customHeight="1">
      <c r="A825" s="4">
        <v>822.0</v>
      </c>
      <c r="B825" s="4" t="s">
        <v>1664</v>
      </c>
      <c r="C825" s="4" t="s">
        <v>1665</v>
      </c>
      <c r="D825" s="4" t="s">
        <v>43</v>
      </c>
      <c r="E825" s="6">
        <v>14820.0</v>
      </c>
      <c r="F825" s="6">
        <v>590000.0</v>
      </c>
      <c r="G825" s="6">
        <v>272777.5025301205</v>
      </c>
      <c r="H825" s="6">
        <v>965357.0</v>
      </c>
    </row>
    <row r="826" ht="15.75" customHeight="1">
      <c r="A826" s="4">
        <v>823.0</v>
      </c>
      <c r="B826" s="4" t="s">
        <v>1666</v>
      </c>
      <c r="C826" s="4" t="s">
        <v>1667</v>
      </c>
      <c r="D826" s="4" t="s">
        <v>43</v>
      </c>
      <c r="E826" s="6">
        <v>0.0</v>
      </c>
      <c r="F826" s="6">
        <v>0.0</v>
      </c>
      <c r="G826" s="6">
        <v>0.0</v>
      </c>
      <c r="H826" s="6">
        <v>0.0</v>
      </c>
    </row>
    <row r="827" ht="15.75" customHeight="1">
      <c r="A827" s="4">
        <v>824.0</v>
      </c>
      <c r="B827" s="4" t="s">
        <v>1668</v>
      </c>
      <c r="C827" s="4" t="s">
        <v>1669</v>
      </c>
      <c r="D827" s="4" t="s">
        <v>43</v>
      </c>
      <c r="E827" s="6">
        <v>58.75</v>
      </c>
      <c r="F827" s="6">
        <v>10000.0</v>
      </c>
      <c r="G827" s="6">
        <v>3235.418192771085</v>
      </c>
      <c r="H827" s="6">
        <v>14623.0</v>
      </c>
    </row>
    <row r="828" ht="15.75" customHeight="1">
      <c r="A828" s="4">
        <v>825.0</v>
      </c>
      <c r="B828" s="4" t="s">
        <v>1670</v>
      </c>
      <c r="C828" s="4" t="s">
        <v>1671</v>
      </c>
      <c r="D828" s="4" t="s">
        <v>43</v>
      </c>
      <c r="E828" s="6">
        <v>0.0</v>
      </c>
      <c r="F828" s="6">
        <v>0.0</v>
      </c>
      <c r="G828" s="6">
        <v>0.0</v>
      </c>
      <c r="H828" s="6">
        <v>0.0</v>
      </c>
    </row>
    <row r="829" ht="15.75" customHeight="1">
      <c r="A829" s="4">
        <v>826.0</v>
      </c>
      <c r="B829" s="4" t="s">
        <v>1672</v>
      </c>
      <c r="C829" s="4" t="s">
        <v>1673</v>
      </c>
      <c r="D829" s="4" t="s">
        <v>43</v>
      </c>
      <c r="E829" s="6">
        <v>80.0</v>
      </c>
      <c r="F829" s="6">
        <v>15000.0</v>
      </c>
      <c r="G829" s="6">
        <v>4365.888716078601</v>
      </c>
      <c r="H829" s="6">
        <v>21390.0</v>
      </c>
    </row>
    <row r="830" ht="15.75" customHeight="1">
      <c r="A830" s="4">
        <v>827.0</v>
      </c>
      <c r="B830" s="4" t="s">
        <v>1674</v>
      </c>
      <c r="C830" s="4" t="s">
        <v>1675</v>
      </c>
      <c r="D830" s="4" t="s">
        <v>43</v>
      </c>
      <c r="E830" s="6">
        <v>0.0</v>
      </c>
      <c r="F830" s="6">
        <v>0.0</v>
      </c>
      <c r="G830" s="6">
        <v>0.0</v>
      </c>
      <c r="H830" s="6">
        <v>0.0</v>
      </c>
    </row>
    <row r="831" ht="15.75" customHeight="1">
      <c r="A831" s="4">
        <v>828.0</v>
      </c>
      <c r="B831" s="4" t="s">
        <v>1676</v>
      </c>
      <c r="C831" s="4" t="s">
        <v>1677</v>
      </c>
      <c r="D831" s="4" t="s">
        <v>43</v>
      </c>
      <c r="E831" s="6">
        <v>257.5</v>
      </c>
      <c r="F831" s="6">
        <v>20000.0</v>
      </c>
      <c r="G831" s="6">
        <v>12489.38826955322</v>
      </c>
      <c r="H831" s="6">
        <v>36021.0</v>
      </c>
    </row>
    <row r="832" ht="15.75" customHeight="1">
      <c r="A832" s="4">
        <v>829.0</v>
      </c>
      <c r="B832" s="4" t="s">
        <v>1678</v>
      </c>
      <c r="C832" s="4" t="s">
        <v>1679</v>
      </c>
      <c r="D832" s="4" t="s">
        <v>43</v>
      </c>
      <c r="E832" s="6">
        <v>0.0</v>
      </c>
      <c r="F832" s="6">
        <v>0.0</v>
      </c>
      <c r="G832" s="6">
        <v>0.0</v>
      </c>
      <c r="H832" s="6">
        <v>0.0</v>
      </c>
    </row>
    <row r="833" ht="15.75" customHeight="1">
      <c r="A833" s="4">
        <v>830.0</v>
      </c>
      <c r="B833" s="4" t="s">
        <v>1680</v>
      </c>
      <c r="C833" s="4" t="s">
        <v>1681</v>
      </c>
      <c r="D833" s="4" t="s">
        <v>43</v>
      </c>
      <c r="E833" s="6">
        <v>140.0</v>
      </c>
      <c r="F833" s="6">
        <v>2500.0</v>
      </c>
      <c r="G833" s="6">
        <v>5349.224745381527</v>
      </c>
      <c r="H833" s="6">
        <v>8788.0</v>
      </c>
    </row>
    <row r="834" ht="15.75" customHeight="1">
      <c r="A834" s="4">
        <v>831.0</v>
      </c>
      <c r="B834" s="4" t="s">
        <v>1682</v>
      </c>
      <c r="C834" s="4" t="s">
        <v>1683</v>
      </c>
      <c r="D834" s="4" t="s">
        <v>43</v>
      </c>
      <c r="E834" s="6">
        <v>0.0</v>
      </c>
      <c r="F834" s="6">
        <v>0.0</v>
      </c>
      <c r="G834" s="6">
        <v>0.0</v>
      </c>
      <c r="H834" s="6">
        <v>0.0</v>
      </c>
    </row>
    <row r="835" ht="15.75" customHeight="1">
      <c r="A835" s="4">
        <v>832.0</v>
      </c>
      <c r="B835" s="4" t="s">
        <v>1684</v>
      </c>
      <c r="C835" s="4" t="s">
        <v>1685</v>
      </c>
      <c r="D835" s="4" t="s">
        <v>43</v>
      </c>
      <c r="E835" s="6">
        <v>282.5</v>
      </c>
      <c r="F835" s="6">
        <v>15000.0</v>
      </c>
      <c r="G835" s="6">
        <v>10698.44949076305</v>
      </c>
      <c r="H835" s="6">
        <v>28579.0</v>
      </c>
    </row>
    <row r="836" ht="15.75" customHeight="1">
      <c r="A836" s="4">
        <v>833.0</v>
      </c>
      <c r="B836" s="4" t="s">
        <v>1686</v>
      </c>
      <c r="C836" s="4" t="s">
        <v>1687</v>
      </c>
      <c r="D836" s="4" t="s">
        <v>43</v>
      </c>
      <c r="E836" s="6">
        <v>0.0</v>
      </c>
      <c r="F836" s="6">
        <v>0.0</v>
      </c>
      <c r="G836" s="6">
        <v>0.0</v>
      </c>
      <c r="H836" s="6">
        <v>0.0</v>
      </c>
    </row>
    <row r="837" ht="15.75" customHeight="1">
      <c r="A837" s="4">
        <v>834.0</v>
      </c>
      <c r="B837" s="4" t="s">
        <v>1688</v>
      </c>
      <c r="C837" s="4" t="s">
        <v>1689</v>
      </c>
      <c r="D837" s="4" t="s">
        <v>43</v>
      </c>
      <c r="E837" s="6">
        <v>0.0</v>
      </c>
      <c r="F837" s="6">
        <v>0.0</v>
      </c>
      <c r="G837" s="6">
        <v>0.0</v>
      </c>
      <c r="H837" s="6">
        <v>0.0</v>
      </c>
    </row>
    <row r="838" ht="15.75" customHeight="1">
      <c r="A838" s="4">
        <v>835.0</v>
      </c>
      <c r="B838" s="4" t="s">
        <v>1690</v>
      </c>
      <c r="C838" s="4" t="s">
        <v>1691</v>
      </c>
      <c r="D838" s="4" t="s">
        <v>43</v>
      </c>
      <c r="E838" s="6">
        <v>3961.875</v>
      </c>
      <c r="F838" s="6">
        <v>151395.7</v>
      </c>
      <c r="G838" s="6">
        <v>0.0</v>
      </c>
      <c r="H838" s="6">
        <v>0.0</v>
      </c>
    </row>
    <row r="839" ht="15.75" customHeight="1">
      <c r="A839" s="4">
        <v>836.0</v>
      </c>
      <c r="B839" s="4" t="s">
        <v>1692</v>
      </c>
      <c r="C839" s="4" t="s">
        <v>1693</v>
      </c>
      <c r="D839" s="4" t="s">
        <v>43</v>
      </c>
      <c r="E839" s="6">
        <v>0.0</v>
      </c>
      <c r="F839" s="6">
        <v>0.0</v>
      </c>
      <c r="G839" s="6">
        <v>0.0</v>
      </c>
      <c r="H839" s="6">
        <v>170893.0</v>
      </c>
    </row>
    <row r="840" ht="15.75" customHeight="1">
      <c r="A840" s="4">
        <v>837.0</v>
      </c>
      <c r="B840" s="4" t="s">
        <v>1694</v>
      </c>
      <c r="C840" s="4" t="s">
        <v>1695</v>
      </c>
      <c r="D840" s="4" t="s">
        <v>43</v>
      </c>
      <c r="E840" s="6">
        <v>0.0</v>
      </c>
      <c r="F840" s="6">
        <v>0.0</v>
      </c>
      <c r="G840" s="6">
        <v>0.0</v>
      </c>
      <c r="H840" s="6">
        <v>170893.0</v>
      </c>
    </row>
    <row r="841" ht="15.75" customHeight="1">
      <c r="A841" s="4">
        <v>838.0</v>
      </c>
      <c r="B841" s="4" t="s">
        <v>1696</v>
      </c>
      <c r="C841" s="4" t="s">
        <v>1697</v>
      </c>
      <c r="D841" s="4" t="s">
        <v>43</v>
      </c>
      <c r="E841" s="6">
        <v>0.0</v>
      </c>
      <c r="F841" s="6">
        <v>0.0</v>
      </c>
      <c r="G841" s="6">
        <v>0.0</v>
      </c>
      <c r="H841" s="6">
        <v>188218.0</v>
      </c>
    </row>
    <row r="842" ht="15.75" customHeight="1">
      <c r="A842" s="4">
        <v>839.0</v>
      </c>
      <c r="B842" s="4" t="s">
        <v>1698</v>
      </c>
      <c r="C842" s="4" t="s">
        <v>1699</v>
      </c>
      <c r="D842" s="4" t="s">
        <v>43</v>
      </c>
      <c r="E842" s="6">
        <v>0.0</v>
      </c>
      <c r="F842" s="6">
        <v>0.0</v>
      </c>
      <c r="G842" s="6">
        <v>0.0</v>
      </c>
      <c r="H842" s="6">
        <v>193993.0</v>
      </c>
    </row>
    <row r="843" ht="15.75" customHeight="1">
      <c r="A843" s="4">
        <v>840.0</v>
      </c>
      <c r="B843" s="4" t="s">
        <v>1700</v>
      </c>
      <c r="C843" s="4" t="s">
        <v>1701</v>
      </c>
      <c r="D843" s="4" t="s">
        <v>43</v>
      </c>
      <c r="E843" s="6">
        <v>0.0</v>
      </c>
      <c r="F843" s="6">
        <v>0.0</v>
      </c>
      <c r="G843" s="6">
        <v>0.0</v>
      </c>
      <c r="H843" s="6">
        <v>205543.0</v>
      </c>
    </row>
    <row r="844" ht="15.75" customHeight="1">
      <c r="A844" s="4">
        <v>841.0</v>
      </c>
      <c r="B844" s="4" t="s">
        <v>1702</v>
      </c>
      <c r="C844" s="4" t="s">
        <v>1703</v>
      </c>
      <c r="D844" s="4" t="s">
        <v>43</v>
      </c>
      <c r="E844" s="6">
        <v>0.0</v>
      </c>
      <c r="F844" s="6">
        <v>0.0</v>
      </c>
      <c r="G844" s="6">
        <v>0.0</v>
      </c>
      <c r="H844" s="6">
        <v>211318.0</v>
      </c>
    </row>
    <row r="845" ht="15.75" customHeight="1">
      <c r="A845" s="4">
        <v>842.0</v>
      </c>
      <c r="B845" s="4" t="s">
        <v>1704</v>
      </c>
      <c r="C845" s="4" t="s">
        <v>1705</v>
      </c>
      <c r="D845" s="4" t="s">
        <v>43</v>
      </c>
      <c r="E845" s="6">
        <v>0.0</v>
      </c>
      <c r="F845" s="6">
        <v>0.0</v>
      </c>
      <c r="G845" s="6">
        <v>0.0</v>
      </c>
      <c r="H845" s="6">
        <v>217093.0</v>
      </c>
    </row>
    <row r="846" ht="15.75" customHeight="1">
      <c r="A846" s="4">
        <v>843.0</v>
      </c>
      <c r="B846" s="4" t="s">
        <v>1706</v>
      </c>
      <c r="C846" s="4" t="s">
        <v>1707</v>
      </c>
      <c r="D846" s="4" t="s">
        <v>43</v>
      </c>
      <c r="E846" s="6">
        <v>0.0</v>
      </c>
      <c r="F846" s="6">
        <v>0.0</v>
      </c>
      <c r="G846" s="6">
        <v>0.0</v>
      </c>
      <c r="H846" s="6">
        <v>222868.0</v>
      </c>
    </row>
    <row r="847" ht="15.75" customHeight="1">
      <c r="A847" s="4">
        <v>844.0</v>
      </c>
      <c r="B847" s="4" t="s">
        <v>1708</v>
      </c>
      <c r="C847" s="4" t="s">
        <v>1709</v>
      </c>
      <c r="D847" s="4" t="s">
        <v>43</v>
      </c>
      <c r="E847" s="6">
        <v>0.0</v>
      </c>
      <c r="F847" s="6">
        <v>0.0</v>
      </c>
      <c r="G847" s="6">
        <v>0.0</v>
      </c>
      <c r="H847" s="6">
        <v>228643.0</v>
      </c>
    </row>
    <row r="848" ht="15.75" customHeight="1">
      <c r="A848" s="4">
        <v>845.0</v>
      </c>
      <c r="B848" s="4" t="s">
        <v>1710</v>
      </c>
      <c r="C848" s="4" t="s">
        <v>1711</v>
      </c>
      <c r="D848" s="4" t="s">
        <v>43</v>
      </c>
      <c r="E848" s="6">
        <v>0.0</v>
      </c>
      <c r="F848" s="6">
        <v>0.0</v>
      </c>
      <c r="G848" s="6">
        <v>0.0</v>
      </c>
      <c r="H848" s="6">
        <v>234418.0</v>
      </c>
    </row>
    <row r="849" ht="15.75" customHeight="1">
      <c r="A849" s="4">
        <v>846.0</v>
      </c>
      <c r="B849" s="4" t="s">
        <v>1712</v>
      </c>
      <c r="C849" s="4" t="s">
        <v>1713</v>
      </c>
      <c r="D849" s="4" t="s">
        <v>43</v>
      </c>
      <c r="E849" s="6">
        <v>0.0</v>
      </c>
      <c r="F849" s="6">
        <v>0.0</v>
      </c>
      <c r="G849" s="6">
        <v>0.0</v>
      </c>
      <c r="H849" s="6">
        <v>419218.0</v>
      </c>
    </row>
    <row r="850" ht="15.75" customHeight="1">
      <c r="A850" s="4">
        <v>847.0</v>
      </c>
      <c r="B850" s="4" t="s">
        <v>1714</v>
      </c>
      <c r="C850" s="4" t="s">
        <v>1715</v>
      </c>
      <c r="D850" s="4" t="s">
        <v>43</v>
      </c>
      <c r="E850" s="6">
        <v>0.0</v>
      </c>
      <c r="F850" s="6">
        <v>0.0</v>
      </c>
      <c r="G850" s="6">
        <v>0.0</v>
      </c>
      <c r="H850" s="6">
        <v>188218.0</v>
      </c>
    </row>
    <row r="851" ht="15.75" customHeight="1">
      <c r="A851" s="4">
        <v>848.0</v>
      </c>
      <c r="B851" s="4" t="s">
        <v>1716</v>
      </c>
      <c r="C851" s="4" t="s">
        <v>1717</v>
      </c>
      <c r="D851" s="4" t="s">
        <v>43</v>
      </c>
      <c r="E851" s="6">
        <v>0.0</v>
      </c>
      <c r="F851" s="6">
        <v>0.0</v>
      </c>
      <c r="G851" s="6">
        <v>0.0</v>
      </c>
      <c r="H851" s="6">
        <v>211318.0</v>
      </c>
    </row>
    <row r="852" ht="15.75" customHeight="1">
      <c r="A852" s="4">
        <v>849.0</v>
      </c>
      <c r="B852" s="4" t="s">
        <v>1718</v>
      </c>
      <c r="C852" s="4" t="s">
        <v>1719</v>
      </c>
      <c r="D852" s="4" t="s">
        <v>43</v>
      </c>
      <c r="E852" s="6">
        <v>0.0</v>
      </c>
      <c r="F852" s="6">
        <v>0.0</v>
      </c>
      <c r="G852" s="6">
        <v>0.0</v>
      </c>
      <c r="H852" s="6">
        <v>222868.0</v>
      </c>
    </row>
    <row r="853" ht="15.75" customHeight="1">
      <c r="A853" s="4">
        <v>850.0</v>
      </c>
      <c r="B853" s="4" t="s">
        <v>1720</v>
      </c>
      <c r="C853" s="4" t="s">
        <v>1721</v>
      </c>
      <c r="D853" s="4" t="s">
        <v>43</v>
      </c>
      <c r="E853" s="6">
        <v>0.0</v>
      </c>
      <c r="F853" s="6">
        <v>0.0</v>
      </c>
      <c r="G853" s="6">
        <v>0.0</v>
      </c>
      <c r="H853" s="6">
        <v>257518.0</v>
      </c>
    </row>
    <row r="854" ht="15.75" customHeight="1">
      <c r="A854" s="4">
        <v>851.0</v>
      </c>
      <c r="B854" s="4" t="s">
        <v>1722</v>
      </c>
      <c r="C854" s="4" t="s">
        <v>1723</v>
      </c>
      <c r="D854" s="4" t="s">
        <v>43</v>
      </c>
      <c r="E854" s="6">
        <v>0.0</v>
      </c>
      <c r="F854" s="6">
        <v>0.0</v>
      </c>
      <c r="G854" s="6">
        <v>0.0</v>
      </c>
      <c r="H854" s="6">
        <v>245968.0</v>
      </c>
    </row>
    <row r="855" ht="15.75" customHeight="1">
      <c r="A855" s="4">
        <v>852.0</v>
      </c>
      <c r="B855" s="4" t="s">
        <v>1724</v>
      </c>
      <c r="C855" s="4" t="s">
        <v>1725</v>
      </c>
      <c r="D855" s="4" t="s">
        <v>43</v>
      </c>
      <c r="E855" s="6">
        <v>0.0</v>
      </c>
      <c r="F855" s="6">
        <v>0.0</v>
      </c>
      <c r="G855" s="6">
        <v>0.0</v>
      </c>
      <c r="H855" s="6">
        <v>234418.0</v>
      </c>
    </row>
    <row r="856" ht="15.75" customHeight="1">
      <c r="A856" s="9">
        <v>853.0</v>
      </c>
      <c r="B856" s="9" t="s">
        <v>1726</v>
      </c>
      <c r="C856" s="10" t="s">
        <v>1727</v>
      </c>
      <c r="D856" s="9"/>
      <c r="E856" s="11"/>
      <c r="F856" s="11"/>
      <c r="G856" s="11"/>
      <c r="H856" s="11"/>
    </row>
    <row r="857" ht="15.75" customHeight="1">
      <c r="A857" s="4">
        <v>854.0</v>
      </c>
      <c r="B857" s="4" t="s">
        <v>1728</v>
      </c>
      <c r="C857" s="4" t="s">
        <v>1729</v>
      </c>
      <c r="D857" s="4" t="s">
        <v>43</v>
      </c>
      <c r="E857" s="6">
        <v>0.0</v>
      </c>
      <c r="F857" s="6">
        <v>0.0</v>
      </c>
      <c r="G857" s="6">
        <v>0.0</v>
      </c>
      <c r="H857" s="6">
        <v>192363.0</v>
      </c>
    </row>
    <row r="858" ht="15.75" customHeight="1">
      <c r="A858" s="4">
        <v>855.0</v>
      </c>
      <c r="B858" s="4" t="s">
        <v>1730</v>
      </c>
      <c r="C858" s="4" t="s">
        <v>1731</v>
      </c>
      <c r="D858" s="4" t="s">
        <v>43</v>
      </c>
      <c r="E858" s="6">
        <v>0.0</v>
      </c>
      <c r="F858" s="6">
        <v>0.0</v>
      </c>
      <c r="G858" s="6">
        <v>0.0</v>
      </c>
      <c r="H858" s="6">
        <v>192363.0</v>
      </c>
    </row>
    <row r="859" ht="15.75" customHeight="1">
      <c r="A859" s="4">
        <v>856.0</v>
      </c>
      <c r="B859" s="4" t="s">
        <v>1732</v>
      </c>
      <c r="C859" s="4" t="s">
        <v>1733</v>
      </c>
      <c r="D859" s="4" t="s">
        <v>43</v>
      </c>
      <c r="E859" s="6">
        <v>0.0</v>
      </c>
      <c r="F859" s="6">
        <v>0.0</v>
      </c>
      <c r="G859" s="6">
        <v>0.0</v>
      </c>
      <c r="H859" s="6">
        <v>221238.0</v>
      </c>
    </row>
    <row r="860" ht="15.75" customHeight="1">
      <c r="A860" s="4">
        <v>857.0</v>
      </c>
      <c r="B860" s="4" t="s">
        <v>1734</v>
      </c>
      <c r="C860" s="4" t="s">
        <v>1735</v>
      </c>
      <c r="D860" s="4" t="s">
        <v>43</v>
      </c>
      <c r="E860" s="6">
        <v>0.0</v>
      </c>
      <c r="F860" s="6">
        <v>0.0</v>
      </c>
      <c r="G860" s="6">
        <v>0.0</v>
      </c>
      <c r="H860" s="6">
        <v>215463.0</v>
      </c>
    </row>
    <row r="861" ht="15.75" customHeight="1">
      <c r="A861" s="4">
        <v>858.0</v>
      </c>
      <c r="B861" s="4" t="s">
        <v>1736</v>
      </c>
      <c r="C861" s="4" t="s">
        <v>1737</v>
      </c>
      <c r="D861" s="4" t="s">
        <v>43</v>
      </c>
      <c r="E861" s="6">
        <v>0.0</v>
      </c>
      <c r="F861" s="6">
        <v>0.0</v>
      </c>
      <c r="G861" s="6">
        <v>0.0</v>
      </c>
      <c r="H861" s="6">
        <v>227013.0</v>
      </c>
    </row>
    <row r="862" ht="15.75" customHeight="1">
      <c r="A862" s="4">
        <v>859.0</v>
      </c>
      <c r="B862" s="4" t="s">
        <v>1738</v>
      </c>
      <c r="C862" s="4" t="s">
        <v>1739</v>
      </c>
      <c r="D862" s="4" t="s">
        <v>43</v>
      </c>
      <c r="E862" s="6">
        <v>0.0</v>
      </c>
      <c r="F862" s="6">
        <v>0.0</v>
      </c>
      <c r="G862" s="6">
        <v>0.0</v>
      </c>
      <c r="H862" s="6">
        <v>238563.0</v>
      </c>
    </row>
    <row r="863" ht="15.75" customHeight="1">
      <c r="A863" s="4">
        <v>860.0</v>
      </c>
      <c r="B863" s="4" t="s">
        <v>1740</v>
      </c>
      <c r="C863" s="4" t="s">
        <v>1741</v>
      </c>
      <c r="D863" s="4" t="s">
        <v>43</v>
      </c>
      <c r="E863" s="6">
        <v>0.0</v>
      </c>
      <c r="F863" s="6">
        <v>0.0</v>
      </c>
      <c r="G863" s="6">
        <v>0.0</v>
      </c>
      <c r="H863" s="6">
        <v>238563.0</v>
      </c>
    </row>
    <row r="864" ht="15.75" customHeight="1">
      <c r="A864" s="4">
        <v>861.0</v>
      </c>
      <c r="B864" s="4" t="s">
        <v>1742</v>
      </c>
      <c r="C864" s="4" t="s">
        <v>1743</v>
      </c>
      <c r="D864" s="4" t="s">
        <v>43</v>
      </c>
      <c r="E864" s="6">
        <v>0.0</v>
      </c>
      <c r="F864" s="6">
        <v>0.0</v>
      </c>
      <c r="G864" s="6">
        <v>0.0</v>
      </c>
      <c r="H864" s="6">
        <v>238563.0</v>
      </c>
    </row>
    <row r="865" ht="15.75" customHeight="1">
      <c r="A865" s="4">
        <v>862.0</v>
      </c>
      <c r="B865" s="4" t="s">
        <v>1744</v>
      </c>
      <c r="C865" s="4" t="s">
        <v>1745</v>
      </c>
      <c r="D865" s="4" t="s">
        <v>43</v>
      </c>
      <c r="E865" s="6">
        <v>0.0</v>
      </c>
      <c r="F865" s="6">
        <v>0.0</v>
      </c>
      <c r="G865" s="6">
        <v>0.0</v>
      </c>
      <c r="H865" s="6">
        <v>250113.0</v>
      </c>
    </row>
    <row r="866" ht="15.75" customHeight="1">
      <c r="A866" s="4">
        <v>863.0</v>
      </c>
      <c r="B866" s="4" t="s">
        <v>1746</v>
      </c>
      <c r="C866" s="4" t="s">
        <v>1747</v>
      </c>
      <c r="D866" s="4" t="s">
        <v>43</v>
      </c>
      <c r="E866" s="6">
        <v>0.0</v>
      </c>
      <c r="F866" s="6">
        <v>0.0</v>
      </c>
      <c r="G866" s="6">
        <v>0.0</v>
      </c>
      <c r="H866" s="6">
        <v>209688.0</v>
      </c>
    </row>
    <row r="867" ht="15.75" customHeight="1">
      <c r="A867" s="4">
        <v>864.0</v>
      </c>
      <c r="B867" s="4" t="s">
        <v>1748</v>
      </c>
      <c r="C867" s="4" t="s">
        <v>1749</v>
      </c>
      <c r="D867" s="4" t="s">
        <v>43</v>
      </c>
      <c r="E867" s="6">
        <v>0.0</v>
      </c>
      <c r="F867" s="6">
        <v>0.0</v>
      </c>
      <c r="G867" s="6">
        <v>0.0</v>
      </c>
      <c r="H867" s="6">
        <v>238563.0</v>
      </c>
    </row>
    <row r="868" ht="15.75" customHeight="1">
      <c r="A868" s="4">
        <v>865.0</v>
      </c>
      <c r="B868" s="4" t="s">
        <v>1750</v>
      </c>
      <c r="C868" s="4" t="s">
        <v>1751</v>
      </c>
      <c r="D868" s="4" t="s">
        <v>43</v>
      </c>
      <c r="E868" s="6">
        <v>0.0</v>
      </c>
      <c r="F868" s="6">
        <v>0.0</v>
      </c>
      <c r="G868" s="6">
        <v>0.0</v>
      </c>
      <c r="H868" s="6">
        <v>238563.0</v>
      </c>
    </row>
    <row r="869" ht="15.75" customHeight="1">
      <c r="A869" s="4">
        <v>866.0</v>
      </c>
      <c r="B869" s="4" t="s">
        <v>1752</v>
      </c>
      <c r="C869" s="4" t="s">
        <v>1751</v>
      </c>
      <c r="D869" s="4" t="s">
        <v>43</v>
      </c>
      <c r="E869" s="6">
        <v>0.0</v>
      </c>
      <c r="F869" s="6">
        <v>0.0</v>
      </c>
      <c r="G869" s="6">
        <v>0.0</v>
      </c>
      <c r="H869" s="6">
        <v>238563.0</v>
      </c>
    </row>
    <row r="870" ht="15.75" customHeight="1">
      <c r="A870" s="9">
        <v>867.0</v>
      </c>
      <c r="B870" s="9" t="s">
        <v>1753</v>
      </c>
      <c r="C870" s="10" t="s">
        <v>1754</v>
      </c>
      <c r="D870" s="9"/>
      <c r="E870" s="11"/>
      <c r="F870" s="11"/>
      <c r="G870" s="11"/>
      <c r="H870" s="11"/>
    </row>
    <row r="871" ht="15.75" customHeight="1">
      <c r="A871" s="4">
        <v>868.0</v>
      </c>
      <c r="B871" s="4" t="s">
        <v>1755</v>
      </c>
      <c r="C871" s="4" t="s">
        <v>1756</v>
      </c>
      <c r="D871" s="4" t="s">
        <v>1757</v>
      </c>
      <c r="E871" s="6">
        <v>0.0</v>
      </c>
      <c r="F871" s="6">
        <v>0.0</v>
      </c>
      <c r="G871" s="6">
        <v>0.0</v>
      </c>
      <c r="H871" s="6">
        <v>300341.0</v>
      </c>
    </row>
    <row r="872" ht="15.75" customHeight="1">
      <c r="A872" s="4">
        <v>869.0</v>
      </c>
      <c r="B872" s="4" t="s">
        <v>1758</v>
      </c>
      <c r="C872" s="4" t="s">
        <v>1759</v>
      </c>
      <c r="D872" s="4" t="s">
        <v>1757</v>
      </c>
      <c r="E872" s="6">
        <v>0.0</v>
      </c>
      <c r="F872" s="6">
        <v>0.0</v>
      </c>
      <c r="G872" s="6">
        <v>0.0</v>
      </c>
      <c r="H872" s="6">
        <v>623741.0</v>
      </c>
    </row>
    <row r="873" ht="15.75" customHeight="1">
      <c r="A873" s="4">
        <v>870.0</v>
      </c>
      <c r="B873" s="4" t="s">
        <v>1760</v>
      </c>
      <c r="C873" s="4" t="s">
        <v>1761</v>
      </c>
      <c r="D873" s="4" t="s">
        <v>1757</v>
      </c>
      <c r="E873" s="6">
        <v>0.0</v>
      </c>
      <c r="F873" s="6">
        <v>0.0</v>
      </c>
      <c r="G873" s="6">
        <v>0.0</v>
      </c>
      <c r="H873" s="6">
        <v>277241.0</v>
      </c>
    </row>
    <row r="874" ht="15.75" customHeight="1">
      <c r="A874" s="4">
        <v>871.0</v>
      </c>
      <c r="B874" s="4" t="s">
        <v>1762</v>
      </c>
      <c r="C874" s="4" t="s">
        <v>1763</v>
      </c>
      <c r="D874" s="4" t="s">
        <v>1757</v>
      </c>
      <c r="E874" s="6">
        <v>0.0</v>
      </c>
      <c r="F874" s="6">
        <v>0.0</v>
      </c>
      <c r="G874" s="6">
        <v>0.0</v>
      </c>
      <c r="H874" s="6">
        <v>288791.0</v>
      </c>
    </row>
    <row r="875" ht="15.75" customHeight="1">
      <c r="A875" s="4">
        <v>872.0</v>
      </c>
      <c r="B875" s="4" t="s">
        <v>1764</v>
      </c>
      <c r="C875" s="4" t="s">
        <v>1765</v>
      </c>
      <c r="D875" s="4" t="s">
        <v>1757</v>
      </c>
      <c r="E875" s="6">
        <v>0.0</v>
      </c>
      <c r="F875" s="6">
        <v>0.0</v>
      </c>
      <c r="G875" s="6">
        <v>0.0</v>
      </c>
      <c r="H875" s="6">
        <v>288791.0</v>
      </c>
    </row>
    <row r="876" ht="15.75" customHeight="1">
      <c r="A876" s="4">
        <v>873.0</v>
      </c>
      <c r="B876" s="4" t="s">
        <v>1766</v>
      </c>
      <c r="C876" s="4" t="s">
        <v>1767</v>
      </c>
      <c r="D876" s="4" t="s">
        <v>1757</v>
      </c>
      <c r="E876" s="6">
        <v>0.0</v>
      </c>
      <c r="F876" s="6">
        <v>0.0</v>
      </c>
      <c r="G876" s="6">
        <v>0.0</v>
      </c>
      <c r="H876" s="6">
        <v>300341.0</v>
      </c>
    </row>
    <row r="877" ht="15.75" customHeight="1">
      <c r="A877" s="4">
        <v>874.0</v>
      </c>
      <c r="B877" s="4" t="s">
        <v>1768</v>
      </c>
      <c r="C877" s="4" t="s">
        <v>1769</v>
      </c>
      <c r="D877" s="4" t="s">
        <v>1757</v>
      </c>
      <c r="E877" s="6">
        <v>0.0</v>
      </c>
      <c r="F877" s="6">
        <v>0.0</v>
      </c>
      <c r="G877" s="6">
        <v>0.0</v>
      </c>
      <c r="H877" s="6">
        <v>306116.0</v>
      </c>
    </row>
    <row r="878" ht="15.75" customHeight="1">
      <c r="A878" s="4">
        <v>875.0</v>
      </c>
      <c r="B878" s="4" t="s">
        <v>1770</v>
      </c>
      <c r="C878" s="4" t="s">
        <v>1771</v>
      </c>
      <c r="D878" s="4" t="s">
        <v>1757</v>
      </c>
      <c r="E878" s="6">
        <v>0.0</v>
      </c>
      <c r="F878" s="6">
        <v>0.0</v>
      </c>
      <c r="G878" s="6">
        <v>0.0</v>
      </c>
      <c r="H878" s="6">
        <v>306116.0</v>
      </c>
    </row>
    <row r="879" ht="15.75" customHeight="1">
      <c r="A879" s="4">
        <v>876.0</v>
      </c>
      <c r="B879" s="4" t="s">
        <v>1772</v>
      </c>
      <c r="C879" s="4" t="s">
        <v>1773</v>
      </c>
      <c r="D879" s="4" t="s">
        <v>1757</v>
      </c>
      <c r="E879" s="6">
        <v>0.0</v>
      </c>
      <c r="F879" s="6">
        <v>0.0</v>
      </c>
      <c r="G879" s="6">
        <v>0.0</v>
      </c>
      <c r="H879" s="6">
        <v>306116.0</v>
      </c>
    </row>
    <row r="880" ht="15.75" customHeight="1">
      <c r="A880" s="4">
        <v>877.0</v>
      </c>
      <c r="B880" s="4" t="s">
        <v>1774</v>
      </c>
      <c r="C880" s="4" t="s">
        <v>1775</v>
      </c>
      <c r="D880" s="4" t="s">
        <v>1757</v>
      </c>
      <c r="E880" s="6">
        <v>0.0</v>
      </c>
      <c r="F880" s="6">
        <v>0.0</v>
      </c>
      <c r="G880" s="6">
        <v>0.0</v>
      </c>
      <c r="H880" s="6">
        <v>306116.0</v>
      </c>
    </row>
    <row r="881" ht="15.75" customHeight="1">
      <c r="A881" s="4">
        <v>878.0</v>
      </c>
      <c r="B881" s="4" t="s">
        <v>1776</v>
      </c>
      <c r="C881" s="4" t="s">
        <v>1775</v>
      </c>
      <c r="D881" s="4" t="s">
        <v>1757</v>
      </c>
      <c r="E881" s="6">
        <v>0.0</v>
      </c>
      <c r="F881" s="6">
        <v>0.0</v>
      </c>
      <c r="G881" s="6">
        <v>0.0</v>
      </c>
      <c r="H881" s="6">
        <v>306116.0</v>
      </c>
    </row>
    <row r="882" ht="15.75" customHeight="1">
      <c r="A882" s="9">
        <v>879.0</v>
      </c>
      <c r="B882" s="9" t="s">
        <v>1777</v>
      </c>
      <c r="C882" s="10" t="s">
        <v>1778</v>
      </c>
      <c r="D882" s="9"/>
      <c r="E882" s="11"/>
      <c r="F882" s="11"/>
      <c r="G882" s="11"/>
      <c r="H882" s="11"/>
    </row>
    <row r="883" ht="15.75" customHeight="1">
      <c r="A883" s="4">
        <v>880.0</v>
      </c>
      <c r="B883" s="4" t="s">
        <v>1779</v>
      </c>
      <c r="C883" s="4" t="s">
        <v>1780</v>
      </c>
      <c r="D883" s="4" t="s">
        <v>1757</v>
      </c>
      <c r="E883" s="6">
        <v>0.0</v>
      </c>
      <c r="F883" s="6">
        <v>0.0</v>
      </c>
      <c r="G883" s="6">
        <v>0.0</v>
      </c>
      <c r="H883" s="6">
        <v>467836.0</v>
      </c>
    </row>
    <row r="884" ht="15.75" customHeight="1">
      <c r="A884" s="4">
        <v>881.0</v>
      </c>
      <c r="B884" s="4" t="s">
        <v>1781</v>
      </c>
      <c r="C884" s="4" t="s">
        <v>1782</v>
      </c>
      <c r="D884" s="4" t="s">
        <v>1757</v>
      </c>
      <c r="E884" s="6">
        <v>0.0</v>
      </c>
      <c r="F884" s="6">
        <v>0.0</v>
      </c>
      <c r="G884" s="6">
        <v>0.0</v>
      </c>
      <c r="H884" s="6">
        <v>467836.0</v>
      </c>
    </row>
    <row r="885" ht="15.75" customHeight="1">
      <c r="A885" s="4">
        <v>882.0</v>
      </c>
      <c r="B885" s="4" t="s">
        <v>1783</v>
      </c>
      <c r="C885" s="4" t="s">
        <v>1784</v>
      </c>
      <c r="D885" s="4" t="s">
        <v>1757</v>
      </c>
      <c r="E885" s="6">
        <v>0.0</v>
      </c>
      <c r="F885" s="6">
        <v>0.0</v>
      </c>
      <c r="G885" s="6">
        <v>0.0</v>
      </c>
      <c r="H885" s="6">
        <v>675736.0</v>
      </c>
    </row>
    <row r="886" ht="15.75" customHeight="1">
      <c r="A886" s="4">
        <v>883.0</v>
      </c>
      <c r="B886" s="4" t="s">
        <v>1785</v>
      </c>
      <c r="C886" s="4" t="s">
        <v>1786</v>
      </c>
      <c r="D886" s="4" t="s">
        <v>1757</v>
      </c>
      <c r="E886" s="6">
        <v>0.0</v>
      </c>
      <c r="F886" s="6">
        <v>0.0</v>
      </c>
      <c r="G886" s="6">
        <v>0.0</v>
      </c>
      <c r="H886" s="6">
        <v>467836.0</v>
      </c>
    </row>
    <row r="887" ht="15.75" customHeight="1">
      <c r="A887" s="4">
        <v>884.0</v>
      </c>
      <c r="B887" s="4" t="s">
        <v>1787</v>
      </c>
      <c r="C887" s="4" t="s">
        <v>1788</v>
      </c>
      <c r="D887" s="4" t="s">
        <v>1757</v>
      </c>
      <c r="E887" s="6">
        <v>0.0</v>
      </c>
      <c r="F887" s="6">
        <v>0.0</v>
      </c>
      <c r="G887" s="6">
        <v>0.0</v>
      </c>
      <c r="H887" s="6">
        <v>467836.0</v>
      </c>
    </row>
    <row r="888" ht="15.75" customHeight="1">
      <c r="A888" s="4">
        <v>885.0</v>
      </c>
      <c r="B888" s="4" t="s">
        <v>1789</v>
      </c>
      <c r="C888" s="4" t="s">
        <v>1790</v>
      </c>
      <c r="D888" s="4" t="s">
        <v>1757</v>
      </c>
      <c r="E888" s="6">
        <v>0.0</v>
      </c>
      <c r="F888" s="6">
        <v>0.0</v>
      </c>
      <c r="G888" s="6">
        <v>0.0</v>
      </c>
      <c r="H888" s="6">
        <v>467836.0</v>
      </c>
    </row>
    <row r="889" ht="15.75" customHeight="1">
      <c r="A889" s="4">
        <v>886.0</v>
      </c>
      <c r="B889" s="4" t="s">
        <v>1791</v>
      </c>
      <c r="C889" s="4" t="s">
        <v>1792</v>
      </c>
      <c r="D889" s="4" t="s">
        <v>1757</v>
      </c>
      <c r="E889" s="6">
        <v>0.0</v>
      </c>
      <c r="F889" s="6">
        <v>0.0</v>
      </c>
      <c r="G889" s="6">
        <v>0.0</v>
      </c>
      <c r="H889" s="6">
        <v>467836.0</v>
      </c>
    </row>
    <row r="890" ht="15.75" customHeight="1">
      <c r="A890" s="4">
        <v>887.0</v>
      </c>
      <c r="B890" s="4" t="s">
        <v>1793</v>
      </c>
      <c r="C890" s="4" t="s">
        <v>1794</v>
      </c>
      <c r="D890" s="4" t="s">
        <v>1757</v>
      </c>
      <c r="E890" s="6">
        <v>0.0</v>
      </c>
      <c r="F890" s="6">
        <v>0.0</v>
      </c>
      <c r="G890" s="6">
        <v>0.0</v>
      </c>
      <c r="H890" s="6">
        <v>467836.0</v>
      </c>
    </row>
    <row r="891" ht="15.75" customHeight="1">
      <c r="A891" s="4">
        <v>888.0</v>
      </c>
      <c r="B891" s="4" t="s">
        <v>1795</v>
      </c>
      <c r="C891" s="4" t="s">
        <v>1796</v>
      </c>
      <c r="D891" s="4" t="s">
        <v>1757</v>
      </c>
      <c r="E891" s="6">
        <v>0.0</v>
      </c>
      <c r="F891" s="6">
        <v>0.0</v>
      </c>
      <c r="G891" s="6">
        <v>0.0</v>
      </c>
      <c r="H891" s="6">
        <v>467836.0</v>
      </c>
    </row>
    <row r="892" ht="15.75" customHeight="1">
      <c r="A892" s="4">
        <v>889.0</v>
      </c>
      <c r="B892" s="4" t="s">
        <v>1797</v>
      </c>
      <c r="C892" s="4" t="s">
        <v>1798</v>
      </c>
      <c r="D892" s="4" t="s">
        <v>1757</v>
      </c>
      <c r="E892" s="6">
        <v>0.0</v>
      </c>
      <c r="F892" s="6">
        <v>0.0</v>
      </c>
      <c r="G892" s="6">
        <v>0.0</v>
      </c>
      <c r="H892" s="6">
        <v>467836.0</v>
      </c>
    </row>
    <row r="893" ht="15.75" customHeight="1">
      <c r="A893" s="4">
        <v>890.0</v>
      </c>
      <c r="B893" s="4" t="s">
        <v>1799</v>
      </c>
      <c r="C893" s="4" t="s">
        <v>1800</v>
      </c>
      <c r="D893" s="4" t="s">
        <v>1757</v>
      </c>
      <c r="E893" s="6">
        <v>0.0</v>
      </c>
      <c r="F893" s="6">
        <v>0.0</v>
      </c>
      <c r="G893" s="6">
        <v>0.0</v>
      </c>
      <c r="H893" s="6">
        <v>467836.0</v>
      </c>
    </row>
    <row r="894" ht="15.75" customHeight="1">
      <c r="A894" s="4">
        <v>891.0</v>
      </c>
      <c r="B894" s="4" t="s">
        <v>1801</v>
      </c>
      <c r="C894" s="4" t="s">
        <v>1802</v>
      </c>
      <c r="D894" s="4" t="s">
        <v>1757</v>
      </c>
      <c r="E894" s="6">
        <v>0.0</v>
      </c>
      <c r="F894" s="6">
        <v>0.0</v>
      </c>
      <c r="G894" s="6">
        <v>0.0</v>
      </c>
      <c r="H894" s="6">
        <v>236836.0</v>
      </c>
    </row>
    <row r="895" ht="15.75" customHeight="1">
      <c r="A895" s="4">
        <v>892.0</v>
      </c>
      <c r="B895" s="4" t="s">
        <v>1803</v>
      </c>
      <c r="C895" s="4" t="s">
        <v>1804</v>
      </c>
      <c r="D895" s="4" t="s">
        <v>1757</v>
      </c>
      <c r="E895" s="6">
        <v>0.0</v>
      </c>
      <c r="F895" s="6">
        <v>0.0</v>
      </c>
      <c r="G895" s="6">
        <v>0.0</v>
      </c>
      <c r="H895" s="6">
        <v>236836.0</v>
      </c>
    </row>
    <row r="896" ht="15.75" customHeight="1">
      <c r="A896" s="4">
        <v>893.0</v>
      </c>
      <c r="B896" s="4" t="s">
        <v>1805</v>
      </c>
      <c r="C896" s="4" t="s">
        <v>1806</v>
      </c>
      <c r="D896" s="4" t="s">
        <v>1757</v>
      </c>
      <c r="E896" s="6">
        <v>0.0</v>
      </c>
      <c r="F896" s="6">
        <v>0.0</v>
      </c>
      <c r="G896" s="6">
        <v>0.0</v>
      </c>
      <c r="H896" s="6">
        <v>236836.0</v>
      </c>
    </row>
    <row r="897" ht="15.75" customHeight="1">
      <c r="A897" s="4">
        <v>894.0</v>
      </c>
      <c r="B897" s="4" t="s">
        <v>1807</v>
      </c>
      <c r="C897" s="4" t="s">
        <v>1808</v>
      </c>
      <c r="D897" s="4" t="s">
        <v>1757</v>
      </c>
      <c r="E897" s="6">
        <v>0.0</v>
      </c>
      <c r="F897" s="6">
        <v>0.0</v>
      </c>
      <c r="G897" s="6">
        <v>0.0</v>
      </c>
      <c r="H897" s="6">
        <v>236836.0</v>
      </c>
    </row>
    <row r="898" ht="15.75" customHeight="1">
      <c r="A898" s="4">
        <v>895.0</v>
      </c>
      <c r="B898" s="4" t="s">
        <v>1809</v>
      </c>
      <c r="C898" s="4" t="s">
        <v>1810</v>
      </c>
      <c r="D898" s="4" t="s">
        <v>1757</v>
      </c>
      <c r="E898" s="6">
        <v>0.0</v>
      </c>
      <c r="F898" s="6">
        <v>0.0</v>
      </c>
      <c r="G898" s="6">
        <v>0.0</v>
      </c>
      <c r="H898" s="6">
        <v>236836.0</v>
      </c>
    </row>
    <row r="899" ht="15.75" customHeight="1">
      <c r="A899" s="4">
        <v>896.0</v>
      </c>
      <c r="B899" s="4" t="s">
        <v>1811</v>
      </c>
      <c r="C899" s="4" t="s">
        <v>1812</v>
      </c>
      <c r="D899" s="4" t="s">
        <v>1757</v>
      </c>
      <c r="E899" s="6">
        <v>0.0</v>
      </c>
      <c r="F899" s="6">
        <v>0.0</v>
      </c>
      <c r="G899" s="6">
        <v>0.0</v>
      </c>
      <c r="H899" s="6">
        <v>236836.0</v>
      </c>
    </row>
    <row r="900" ht="15.75" customHeight="1">
      <c r="A900" s="4">
        <v>897.0</v>
      </c>
      <c r="B900" s="4" t="s">
        <v>1813</v>
      </c>
      <c r="C900" s="4" t="s">
        <v>1814</v>
      </c>
      <c r="D900" s="4" t="s">
        <v>1757</v>
      </c>
      <c r="E900" s="6">
        <v>0.0</v>
      </c>
      <c r="F900" s="6">
        <v>0.0</v>
      </c>
      <c r="G900" s="6">
        <v>0.0</v>
      </c>
      <c r="H900" s="6">
        <v>352336.0</v>
      </c>
    </row>
    <row r="901" ht="15.75" customHeight="1">
      <c r="A901" s="9">
        <v>898.0</v>
      </c>
      <c r="B901" s="9" t="s">
        <v>1815</v>
      </c>
      <c r="C901" s="10" t="s">
        <v>1816</v>
      </c>
      <c r="D901" s="9"/>
      <c r="E901" s="11"/>
      <c r="F901" s="11"/>
      <c r="G901" s="11"/>
      <c r="H901" s="11"/>
    </row>
    <row r="902" ht="15.75" customHeight="1">
      <c r="A902" s="4">
        <v>899.0</v>
      </c>
      <c r="B902" s="4" t="s">
        <v>1817</v>
      </c>
      <c r="C902" s="4" t="s">
        <v>1818</v>
      </c>
      <c r="D902" s="4" t="s">
        <v>1757</v>
      </c>
      <c r="E902" s="6">
        <v>0.0</v>
      </c>
      <c r="F902" s="6">
        <v>0.0</v>
      </c>
      <c r="G902" s="6">
        <v>0.0</v>
      </c>
      <c r="H902" s="6">
        <v>575556.0</v>
      </c>
    </row>
    <row r="903" ht="15.75" customHeight="1">
      <c r="A903" s="4">
        <v>900.0</v>
      </c>
      <c r="B903" s="4" t="s">
        <v>1819</v>
      </c>
      <c r="C903" s="4" t="s">
        <v>1820</v>
      </c>
      <c r="D903" s="4" t="s">
        <v>1757</v>
      </c>
      <c r="E903" s="6">
        <v>0.0</v>
      </c>
      <c r="F903" s="6">
        <v>0.0</v>
      </c>
      <c r="G903" s="6">
        <v>0.0</v>
      </c>
      <c r="H903" s="6">
        <v>719931.0</v>
      </c>
    </row>
    <row r="904" ht="15.75" customHeight="1">
      <c r="A904" s="4">
        <v>901.0</v>
      </c>
      <c r="B904" s="4" t="s">
        <v>1821</v>
      </c>
      <c r="C904" s="4" t="s">
        <v>1822</v>
      </c>
      <c r="D904" s="4" t="s">
        <v>1757</v>
      </c>
      <c r="E904" s="6">
        <v>0.0</v>
      </c>
      <c r="F904" s="6">
        <v>0.0</v>
      </c>
      <c r="G904" s="6">
        <v>0.0</v>
      </c>
      <c r="H904" s="6">
        <v>604431.0</v>
      </c>
    </row>
    <row r="905" ht="15.75" customHeight="1">
      <c r="A905" s="4">
        <v>902.0</v>
      </c>
      <c r="B905" s="4" t="s">
        <v>1823</v>
      </c>
      <c r="C905" s="4" t="s">
        <v>1824</v>
      </c>
      <c r="D905" s="4" t="s">
        <v>1757</v>
      </c>
      <c r="E905" s="6">
        <v>0.0</v>
      </c>
      <c r="F905" s="6">
        <v>0.0</v>
      </c>
      <c r="G905" s="6">
        <v>0.0</v>
      </c>
      <c r="H905" s="6">
        <v>719931.0</v>
      </c>
    </row>
    <row r="906" ht="15.75" customHeight="1">
      <c r="A906" s="4">
        <v>903.0</v>
      </c>
      <c r="B906" s="4" t="s">
        <v>1825</v>
      </c>
      <c r="C906" s="4" t="s">
        <v>1826</v>
      </c>
      <c r="D906" s="4" t="s">
        <v>1757</v>
      </c>
      <c r="E906" s="6">
        <v>0.0</v>
      </c>
      <c r="F906" s="6">
        <v>0.0</v>
      </c>
      <c r="G906" s="6">
        <v>0.0</v>
      </c>
      <c r="H906" s="6">
        <v>719931.0</v>
      </c>
    </row>
    <row r="907" ht="15.75" customHeight="1">
      <c r="A907" s="4">
        <v>904.0</v>
      </c>
      <c r="B907" s="4" t="s">
        <v>1827</v>
      </c>
      <c r="C907" s="4" t="s">
        <v>1828</v>
      </c>
      <c r="D907" s="4" t="s">
        <v>1757</v>
      </c>
      <c r="E907" s="6">
        <v>0.0</v>
      </c>
      <c r="F907" s="6">
        <v>0.0</v>
      </c>
      <c r="G907" s="6">
        <v>0.0</v>
      </c>
      <c r="H907" s="6">
        <v>719931.0</v>
      </c>
    </row>
    <row r="908" ht="15.75" customHeight="1">
      <c r="A908" s="4">
        <v>905.0</v>
      </c>
      <c r="B908" s="4" t="s">
        <v>1829</v>
      </c>
      <c r="C908" s="4" t="s">
        <v>1830</v>
      </c>
      <c r="D908" s="4" t="s">
        <v>1757</v>
      </c>
      <c r="E908" s="6">
        <v>0.0</v>
      </c>
      <c r="F908" s="6">
        <v>0.0</v>
      </c>
      <c r="G908" s="6">
        <v>0.0</v>
      </c>
      <c r="H908" s="6">
        <v>691056.0</v>
      </c>
    </row>
    <row r="909" ht="15.75" customHeight="1">
      <c r="A909" s="4">
        <v>906.0</v>
      </c>
      <c r="B909" s="4" t="s">
        <v>1831</v>
      </c>
      <c r="C909" s="4" t="s">
        <v>1832</v>
      </c>
      <c r="D909" s="4" t="s">
        <v>1757</v>
      </c>
      <c r="E909" s="6">
        <v>0.0</v>
      </c>
      <c r="F909" s="6">
        <v>0.0</v>
      </c>
      <c r="G909" s="6">
        <v>0.0</v>
      </c>
      <c r="H909" s="6">
        <v>719931.0</v>
      </c>
    </row>
    <row r="910" ht="15.75" customHeight="1">
      <c r="A910" s="4">
        <v>907.0</v>
      </c>
      <c r="B910" s="4" t="s">
        <v>1833</v>
      </c>
      <c r="C910" s="4" t="s">
        <v>1834</v>
      </c>
      <c r="D910" s="4" t="s">
        <v>1757</v>
      </c>
      <c r="E910" s="6">
        <v>0.0</v>
      </c>
      <c r="F910" s="6">
        <v>0.0</v>
      </c>
      <c r="G910" s="6">
        <v>0.0</v>
      </c>
      <c r="H910" s="6">
        <v>719931.0</v>
      </c>
    </row>
    <row r="911" ht="15.75" customHeight="1">
      <c r="A911" s="4">
        <v>908.0</v>
      </c>
      <c r="B911" s="4" t="s">
        <v>1835</v>
      </c>
      <c r="C911" s="4" t="s">
        <v>1836</v>
      </c>
      <c r="D911" s="4" t="s">
        <v>1757</v>
      </c>
      <c r="E911" s="6">
        <v>0.0</v>
      </c>
      <c r="F911" s="6">
        <v>0.0</v>
      </c>
      <c r="G911" s="6">
        <v>0.0</v>
      </c>
      <c r="H911" s="6">
        <v>748806.0</v>
      </c>
    </row>
    <row r="912" ht="15.75" customHeight="1">
      <c r="A912" s="4">
        <v>909.0</v>
      </c>
      <c r="B912" s="4" t="s">
        <v>1837</v>
      </c>
      <c r="C912" s="4" t="s">
        <v>1838</v>
      </c>
      <c r="D912" s="4" t="s">
        <v>1757</v>
      </c>
      <c r="E912" s="6">
        <v>0.0</v>
      </c>
      <c r="F912" s="6">
        <v>0.0</v>
      </c>
      <c r="G912" s="6">
        <v>0.0</v>
      </c>
      <c r="H912" s="6">
        <v>604431.0</v>
      </c>
    </row>
    <row r="913" ht="15.75" customHeight="1">
      <c r="A913" s="4">
        <v>910.0</v>
      </c>
      <c r="B913" s="4" t="s">
        <v>1839</v>
      </c>
      <c r="C913" s="4" t="s">
        <v>1840</v>
      </c>
      <c r="D913" s="4" t="s">
        <v>1757</v>
      </c>
      <c r="E913" s="6">
        <v>0.0</v>
      </c>
      <c r="F913" s="6">
        <v>0.0</v>
      </c>
      <c r="G913" s="6">
        <v>0.0</v>
      </c>
      <c r="H913" s="6">
        <v>604431.0</v>
      </c>
    </row>
    <row r="914" ht="15.75" customHeight="1">
      <c r="A914" s="4">
        <v>911.0</v>
      </c>
      <c r="B914" s="4" t="s">
        <v>1841</v>
      </c>
      <c r="C914" s="4" t="s">
        <v>1842</v>
      </c>
      <c r="D914" s="4" t="s">
        <v>1757</v>
      </c>
      <c r="E914" s="6">
        <v>0.0</v>
      </c>
      <c r="F914" s="6">
        <v>0.0</v>
      </c>
      <c r="G914" s="6">
        <v>0.0</v>
      </c>
      <c r="H914" s="6">
        <v>604431.0</v>
      </c>
    </row>
    <row r="915" ht="15.75" customHeight="1">
      <c r="A915" s="4">
        <v>912.0</v>
      </c>
      <c r="B915" s="4" t="s">
        <v>1843</v>
      </c>
      <c r="C915" s="4" t="s">
        <v>1844</v>
      </c>
      <c r="D915" s="4" t="s">
        <v>1757</v>
      </c>
      <c r="E915" s="6">
        <v>0.0</v>
      </c>
      <c r="F915" s="6">
        <v>0.0</v>
      </c>
      <c r="G915" s="6">
        <v>0.0</v>
      </c>
      <c r="H915" s="6">
        <v>604431.0</v>
      </c>
    </row>
    <row r="916" ht="15.75" customHeight="1">
      <c r="A916" s="9">
        <v>913.0</v>
      </c>
      <c r="B916" s="9" t="s">
        <v>1845</v>
      </c>
      <c r="C916" s="10" t="s">
        <v>1846</v>
      </c>
      <c r="D916" s="9"/>
      <c r="E916" s="11"/>
      <c r="F916" s="11"/>
      <c r="G916" s="11"/>
      <c r="H916" s="11"/>
    </row>
    <row r="917" ht="15.75" customHeight="1">
      <c r="A917" s="4">
        <v>914.0</v>
      </c>
      <c r="B917" s="4" t="s">
        <v>1847</v>
      </c>
      <c r="C917" s="4" t="s">
        <v>1848</v>
      </c>
      <c r="D917" s="4" t="s">
        <v>1757</v>
      </c>
      <c r="E917" s="6">
        <v>0.0</v>
      </c>
      <c r="F917" s="6">
        <v>0.0</v>
      </c>
      <c r="G917" s="6">
        <v>0.0</v>
      </c>
      <c r="H917" s="6">
        <v>851580.0</v>
      </c>
    </row>
    <row r="918" ht="15.75" customHeight="1">
      <c r="A918" s="4">
        <v>915.0</v>
      </c>
      <c r="B918" s="4" t="s">
        <v>1849</v>
      </c>
      <c r="C918" s="4" t="s">
        <v>1850</v>
      </c>
      <c r="D918" s="4" t="s">
        <v>43</v>
      </c>
      <c r="E918" s="6">
        <v>0.0</v>
      </c>
      <c r="F918" s="6">
        <v>0.0</v>
      </c>
      <c r="G918" s="6">
        <v>0.0</v>
      </c>
      <c r="H918" s="6">
        <v>822705.0</v>
      </c>
    </row>
    <row r="919" ht="15.75" customHeight="1">
      <c r="A919" s="4">
        <v>916.0</v>
      </c>
      <c r="B919" s="4" t="s">
        <v>1851</v>
      </c>
      <c r="C919" s="4" t="s">
        <v>1848</v>
      </c>
      <c r="D919" s="4" t="s">
        <v>1757</v>
      </c>
      <c r="E919" s="6">
        <v>0.0</v>
      </c>
      <c r="F919" s="6">
        <v>0.0</v>
      </c>
      <c r="G919" s="6">
        <v>0.0</v>
      </c>
      <c r="H919" s="6">
        <v>851580.0</v>
      </c>
    </row>
    <row r="920" ht="15.75" customHeight="1">
      <c r="A920" s="4">
        <v>917.0</v>
      </c>
      <c r="B920" s="4" t="s">
        <v>1852</v>
      </c>
      <c r="C920" s="4" t="s">
        <v>1853</v>
      </c>
      <c r="D920" s="4" t="s">
        <v>43</v>
      </c>
      <c r="E920" s="6">
        <v>0.0</v>
      </c>
      <c r="F920" s="6">
        <v>0.0</v>
      </c>
      <c r="G920" s="6">
        <v>0.0</v>
      </c>
      <c r="H920" s="6">
        <v>967080.0</v>
      </c>
    </row>
    <row r="921" ht="15.75" customHeight="1">
      <c r="A921" s="4">
        <v>918.0</v>
      </c>
      <c r="B921" s="4" t="s">
        <v>1854</v>
      </c>
      <c r="C921" s="4" t="s">
        <v>1855</v>
      </c>
      <c r="D921" s="4" t="s">
        <v>1757</v>
      </c>
      <c r="E921" s="6">
        <v>0.0</v>
      </c>
      <c r="F921" s="6">
        <v>0.0</v>
      </c>
      <c r="G921" s="6">
        <v>0.0</v>
      </c>
      <c r="H921" s="6">
        <v>967080.0</v>
      </c>
    </row>
    <row r="922" ht="15.75" customHeight="1">
      <c r="A922" s="4">
        <v>919.0</v>
      </c>
      <c r="B922" s="4" t="s">
        <v>1856</v>
      </c>
      <c r="C922" s="4" t="s">
        <v>1857</v>
      </c>
      <c r="D922" s="4" t="s">
        <v>43</v>
      </c>
      <c r="E922" s="6">
        <v>0.0</v>
      </c>
      <c r="F922" s="6">
        <v>0.0</v>
      </c>
      <c r="G922" s="6">
        <v>0.0</v>
      </c>
      <c r="H922" s="6">
        <v>851580.0</v>
      </c>
    </row>
    <row r="923" ht="15.75" customHeight="1">
      <c r="A923" s="4">
        <v>920.0</v>
      </c>
      <c r="B923" s="4" t="s">
        <v>1858</v>
      </c>
      <c r="C923" s="4" t="s">
        <v>1859</v>
      </c>
      <c r="D923" s="4" t="s">
        <v>1757</v>
      </c>
      <c r="E923" s="6">
        <v>0.0</v>
      </c>
      <c r="F923" s="6">
        <v>0.0</v>
      </c>
      <c r="G923" s="6">
        <v>0.0</v>
      </c>
      <c r="H923" s="6">
        <v>851580.0</v>
      </c>
    </row>
    <row r="924" ht="15.75" customHeight="1">
      <c r="A924" s="9">
        <v>921.0</v>
      </c>
      <c r="B924" s="9" t="s">
        <v>1860</v>
      </c>
      <c r="C924" s="10" t="s">
        <v>1861</v>
      </c>
      <c r="D924" s="9" t="s">
        <v>43</v>
      </c>
      <c r="E924" s="11"/>
      <c r="F924" s="11"/>
      <c r="G924" s="11"/>
      <c r="H924" s="11"/>
    </row>
    <row r="925" ht="15.75" customHeight="1">
      <c r="A925" s="9">
        <v>922.0</v>
      </c>
      <c r="B925" s="9" t="s">
        <v>1862</v>
      </c>
      <c r="C925" s="10" t="s">
        <v>1863</v>
      </c>
      <c r="D925" s="9"/>
      <c r="E925" s="11"/>
      <c r="F925" s="11"/>
      <c r="G925" s="11"/>
      <c r="H925" s="11"/>
    </row>
    <row r="926" ht="15.75" customHeight="1">
      <c r="A926" s="4">
        <v>923.0</v>
      </c>
      <c r="B926" s="4" t="s">
        <v>1864</v>
      </c>
      <c r="C926" s="4" t="s">
        <v>1865</v>
      </c>
      <c r="D926" s="4" t="s">
        <v>43</v>
      </c>
      <c r="E926" s="6">
        <v>0.0</v>
      </c>
      <c r="F926" s="6">
        <v>0.0</v>
      </c>
      <c r="G926" s="6">
        <v>0.0</v>
      </c>
      <c r="H926" s="6">
        <v>1298333.0</v>
      </c>
    </row>
    <row r="927" ht="15.75" customHeight="1">
      <c r="A927" s="4">
        <v>924.0</v>
      </c>
      <c r="B927" s="4" t="s">
        <v>1866</v>
      </c>
      <c r="C927" s="4" t="s">
        <v>1867</v>
      </c>
      <c r="D927" s="4" t="s">
        <v>1757</v>
      </c>
      <c r="E927" s="6">
        <v>0.0</v>
      </c>
      <c r="F927" s="6">
        <v>0.0</v>
      </c>
      <c r="G927" s="6">
        <v>0.0</v>
      </c>
      <c r="H927" s="6">
        <v>1038458.0</v>
      </c>
    </row>
    <row r="928" ht="15.75" customHeight="1">
      <c r="A928" s="4">
        <v>925.0</v>
      </c>
      <c r="B928" s="4" t="s">
        <v>1868</v>
      </c>
      <c r="C928" s="4" t="s">
        <v>1869</v>
      </c>
      <c r="D928" s="4" t="s">
        <v>43</v>
      </c>
      <c r="E928" s="6">
        <v>0.0</v>
      </c>
      <c r="F928" s="6">
        <v>0.0</v>
      </c>
      <c r="G928" s="6">
        <v>0.0</v>
      </c>
      <c r="H928" s="6">
        <v>1153958.0</v>
      </c>
    </row>
    <row r="929" ht="15.75" customHeight="1">
      <c r="A929" s="4">
        <v>926.0</v>
      </c>
      <c r="B929" s="4" t="s">
        <v>1870</v>
      </c>
      <c r="C929" s="4" t="s">
        <v>1871</v>
      </c>
      <c r="D929" s="4" t="s">
        <v>1757</v>
      </c>
      <c r="E929" s="6">
        <v>0.0</v>
      </c>
      <c r="F929" s="6">
        <v>0.0</v>
      </c>
      <c r="G929" s="6">
        <v>0.0</v>
      </c>
      <c r="H929" s="6">
        <v>1153958.0</v>
      </c>
    </row>
    <row r="930" ht="15.75" customHeight="1">
      <c r="A930" s="4">
        <v>927.0</v>
      </c>
      <c r="B930" s="4" t="s">
        <v>1872</v>
      </c>
      <c r="C930" s="4" t="s">
        <v>1873</v>
      </c>
      <c r="D930" s="4" t="s">
        <v>43</v>
      </c>
      <c r="E930" s="6">
        <v>0.0</v>
      </c>
      <c r="F930" s="6">
        <v>0.0</v>
      </c>
      <c r="G930" s="6">
        <v>0.0</v>
      </c>
      <c r="H930" s="6">
        <v>1038458.0</v>
      </c>
    </row>
    <row r="931" ht="15.75" customHeight="1">
      <c r="A931" s="4">
        <v>928.0</v>
      </c>
      <c r="B931" s="4" t="s">
        <v>1874</v>
      </c>
      <c r="C931" s="4" t="s">
        <v>1875</v>
      </c>
      <c r="D931" s="4" t="s">
        <v>1757</v>
      </c>
      <c r="E931" s="6">
        <v>0.0</v>
      </c>
      <c r="F931" s="6">
        <v>0.0</v>
      </c>
      <c r="G931" s="6">
        <v>0.0</v>
      </c>
      <c r="H931" s="6">
        <v>1038458.0</v>
      </c>
    </row>
    <row r="932" ht="15.75" customHeight="1">
      <c r="A932" s="4">
        <v>929.0</v>
      </c>
      <c r="B932" s="4" t="s">
        <v>1876</v>
      </c>
      <c r="C932" s="4" t="s">
        <v>1877</v>
      </c>
      <c r="D932" s="4" t="s">
        <v>43</v>
      </c>
      <c r="E932" s="6">
        <v>0.0</v>
      </c>
      <c r="F932" s="6">
        <v>0.0</v>
      </c>
      <c r="G932" s="6">
        <v>0.0</v>
      </c>
      <c r="H932" s="6">
        <v>1038458.0</v>
      </c>
    </row>
    <row r="933" ht="15.75" customHeight="1">
      <c r="A933" s="9">
        <v>930.0</v>
      </c>
      <c r="B933" s="9" t="s">
        <v>1878</v>
      </c>
      <c r="C933" s="10" t="s">
        <v>1879</v>
      </c>
      <c r="D933" s="9"/>
      <c r="E933" s="11"/>
      <c r="F933" s="11"/>
      <c r="G933" s="11"/>
      <c r="H933" s="11"/>
    </row>
    <row r="934" ht="15.75" customHeight="1">
      <c r="A934" s="4">
        <v>931.0</v>
      </c>
      <c r="B934" s="4" t="s">
        <v>1880</v>
      </c>
      <c r="C934" s="4" t="s">
        <v>1881</v>
      </c>
      <c r="D934" s="4" t="s">
        <v>43</v>
      </c>
      <c r="E934" s="6">
        <v>0.0</v>
      </c>
      <c r="F934" s="6">
        <v>0.0</v>
      </c>
      <c r="G934" s="6">
        <v>0.0</v>
      </c>
      <c r="H934" s="6">
        <v>1145652.0</v>
      </c>
    </row>
    <row r="935" ht="15.75" customHeight="1">
      <c r="A935" s="4">
        <v>932.0</v>
      </c>
      <c r="B935" s="4" t="s">
        <v>1882</v>
      </c>
      <c r="C935" s="4" t="s">
        <v>1883</v>
      </c>
      <c r="D935" s="4" t="s">
        <v>1757</v>
      </c>
      <c r="E935" s="6">
        <v>0.0</v>
      </c>
      <c r="F935" s="6">
        <v>0.0</v>
      </c>
      <c r="G935" s="6">
        <v>0.0</v>
      </c>
      <c r="H935" s="6">
        <v>1087902.0</v>
      </c>
    </row>
    <row r="936" ht="15.75" customHeight="1">
      <c r="A936" s="4">
        <v>933.0</v>
      </c>
      <c r="B936" s="4" t="s">
        <v>1884</v>
      </c>
      <c r="C936" s="4" t="s">
        <v>1885</v>
      </c>
      <c r="D936" s="4" t="s">
        <v>43</v>
      </c>
      <c r="E936" s="6">
        <v>0.0</v>
      </c>
      <c r="F936" s="6">
        <v>0.0</v>
      </c>
      <c r="G936" s="6">
        <v>0.0</v>
      </c>
      <c r="H936" s="6">
        <v>1145652.0</v>
      </c>
    </row>
    <row r="937" ht="15.75" customHeight="1">
      <c r="A937" s="4">
        <v>934.0</v>
      </c>
      <c r="B937" s="4" t="s">
        <v>1886</v>
      </c>
      <c r="C937" s="4" t="s">
        <v>1887</v>
      </c>
      <c r="D937" s="4" t="s">
        <v>1757</v>
      </c>
      <c r="E937" s="6">
        <v>0.0</v>
      </c>
      <c r="F937" s="6">
        <v>0.0</v>
      </c>
      <c r="G937" s="6">
        <v>0.0</v>
      </c>
      <c r="H937" s="6">
        <v>1145652.0</v>
      </c>
    </row>
    <row r="938" ht="15.75" customHeight="1">
      <c r="A938" s="4">
        <v>935.0</v>
      </c>
      <c r="B938" s="4" t="s">
        <v>1888</v>
      </c>
      <c r="C938" s="4" t="s">
        <v>1889</v>
      </c>
      <c r="D938" s="4" t="s">
        <v>43</v>
      </c>
      <c r="E938" s="6">
        <v>0.0</v>
      </c>
      <c r="F938" s="6">
        <v>0.0</v>
      </c>
      <c r="G938" s="6">
        <v>0.0</v>
      </c>
      <c r="H938" s="6">
        <v>1145652.0</v>
      </c>
    </row>
    <row r="939" ht="15.75" customHeight="1">
      <c r="A939" s="4">
        <v>936.0</v>
      </c>
      <c r="B939" s="4" t="s">
        <v>1890</v>
      </c>
      <c r="C939" s="4" t="s">
        <v>1891</v>
      </c>
      <c r="D939" s="4" t="s">
        <v>1757</v>
      </c>
      <c r="E939" s="6">
        <v>0.0</v>
      </c>
      <c r="F939" s="6">
        <v>0.0</v>
      </c>
      <c r="G939" s="6">
        <v>0.0</v>
      </c>
      <c r="H939" s="6">
        <v>1145652.0</v>
      </c>
    </row>
    <row r="940" ht="15.75" customHeight="1">
      <c r="A940" s="4">
        <v>937.0</v>
      </c>
      <c r="B940" s="4" t="s">
        <v>1892</v>
      </c>
      <c r="C940" s="4" t="s">
        <v>1893</v>
      </c>
      <c r="D940" s="4" t="s">
        <v>43</v>
      </c>
      <c r="E940" s="6">
        <v>0.0</v>
      </c>
      <c r="F940" s="6">
        <v>0.0</v>
      </c>
      <c r="G940" s="6">
        <v>0.0</v>
      </c>
      <c r="H940" s="6">
        <v>1145652.0</v>
      </c>
    </row>
    <row r="941" ht="15.75" customHeight="1">
      <c r="A941" s="9">
        <v>938.0</v>
      </c>
      <c r="B941" s="9" t="s">
        <v>1894</v>
      </c>
      <c r="C941" s="10" t="s">
        <v>1895</v>
      </c>
      <c r="D941" s="9"/>
      <c r="E941" s="11"/>
      <c r="F941" s="11"/>
      <c r="G941" s="11"/>
      <c r="H941" s="11"/>
    </row>
    <row r="942" ht="15.75" customHeight="1">
      <c r="A942" s="9">
        <v>939.0</v>
      </c>
      <c r="B942" s="9" t="s">
        <v>1896</v>
      </c>
      <c r="C942" s="10" t="s">
        <v>1897</v>
      </c>
      <c r="D942" s="9"/>
      <c r="E942" s="11"/>
      <c r="F942" s="11"/>
      <c r="G942" s="11"/>
      <c r="H942" s="11"/>
    </row>
    <row r="943" ht="15.75" customHeight="1">
      <c r="A943" s="4">
        <v>940.0</v>
      </c>
      <c r="B943" s="4" t="s">
        <v>1898</v>
      </c>
      <c r="C943" s="4" t="s">
        <v>1899</v>
      </c>
      <c r="D943" s="4" t="s">
        <v>1757</v>
      </c>
      <c r="E943" s="6">
        <v>0.0</v>
      </c>
      <c r="F943" s="6">
        <v>0.0</v>
      </c>
      <c r="G943" s="6">
        <v>0.0</v>
      </c>
      <c r="H943" s="6">
        <v>221547.0</v>
      </c>
    </row>
    <row r="944" ht="15.75" customHeight="1">
      <c r="A944" s="4">
        <v>941.0</v>
      </c>
      <c r="B944" s="4" t="s">
        <v>1900</v>
      </c>
      <c r="C944" s="4" t="s">
        <v>1901</v>
      </c>
      <c r="D944" s="4" t="s">
        <v>43</v>
      </c>
      <c r="E944" s="6">
        <v>0.0</v>
      </c>
      <c r="F944" s="6">
        <v>0.0</v>
      </c>
      <c r="G944" s="6">
        <v>0.0</v>
      </c>
      <c r="H944" s="6">
        <v>221547.0</v>
      </c>
    </row>
    <row r="945" ht="15.75" customHeight="1">
      <c r="A945" s="4">
        <v>942.0</v>
      </c>
      <c r="B945" s="4" t="s">
        <v>1902</v>
      </c>
      <c r="C945" s="4" t="s">
        <v>1903</v>
      </c>
      <c r="D945" s="4" t="s">
        <v>1757</v>
      </c>
      <c r="E945" s="6">
        <v>0.0</v>
      </c>
      <c r="F945" s="6">
        <v>0.0</v>
      </c>
      <c r="G945" s="6">
        <v>0.0</v>
      </c>
      <c r="H945" s="6">
        <v>221547.0</v>
      </c>
    </row>
    <row r="946" ht="15.75" customHeight="1">
      <c r="A946" s="4">
        <v>943.0</v>
      </c>
      <c r="B946" s="4" t="s">
        <v>1904</v>
      </c>
      <c r="C946" s="4" t="s">
        <v>1905</v>
      </c>
      <c r="D946" s="4" t="s">
        <v>43</v>
      </c>
      <c r="E946" s="6">
        <v>0.0</v>
      </c>
      <c r="F946" s="6">
        <v>0.0</v>
      </c>
      <c r="G946" s="6">
        <v>0.0</v>
      </c>
      <c r="H946" s="6">
        <v>221547.0</v>
      </c>
    </row>
    <row r="947" ht="15.75" customHeight="1">
      <c r="A947" s="4">
        <v>944.0</v>
      </c>
      <c r="B947" s="4" t="s">
        <v>1906</v>
      </c>
      <c r="C947" s="4" t="s">
        <v>1907</v>
      </c>
      <c r="D947" s="4" t="s">
        <v>1757</v>
      </c>
      <c r="E947" s="6">
        <v>0.0</v>
      </c>
      <c r="F947" s="6">
        <v>0.0</v>
      </c>
      <c r="G947" s="6">
        <v>0.0</v>
      </c>
      <c r="H947" s="6">
        <v>221547.0</v>
      </c>
    </row>
    <row r="948" ht="15.75" customHeight="1">
      <c r="A948" s="4">
        <v>945.0</v>
      </c>
      <c r="B948" s="4" t="s">
        <v>1908</v>
      </c>
      <c r="C948" s="4" t="s">
        <v>1909</v>
      </c>
      <c r="D948" s="4" t="s">
        <v>43</v>
      </c>
      <c r="E948" s="6">
        <v>0.0</v>
      </c>
      <c r="F948" s="6">
        <v>0.0</v>
      </c>
      <c r="G948" s="6">
        <v>0.0</v>
      </c>
      <c r="H948" s="6">
        <v>221547.0</v>
      </c>
    </row>
    <row r="949" ht="15.75" customHeight="1">
      <c r="A949" s="4">
        <v>946.0</v>
      </c>
      <c r="B949" s="4" t="s">
        <v>1910</v>
      </c>
      <c r="C949" s="4" t="s">
        <v>1911</v>
      </c>
      <c r="D949" s="4" t="s">
        <v>1757</v>
      </c>
      <c r="E949" s="6">
        <v>0.0</v>
      </c>
      <c r="F949" s="6">
        <v>0.0</v>
      </c>
      <c r="G949" s="6">
        <v>0.0</v>
      </c>
      <c r="H949" s="6">
        <v>221547.0</v>
      </c>
    </row>
    <row r="950" ht="15.75" customHeight="1">
      <c r="A950" s="9">
        <v>947.0</v>
      </c>
      <c r="B950" s="9" t="s">
        <v>1912</v>
      </c>
      <c r="C950" s="10" t="s">
        <v>1913</v>
      </c>
      <c r="D950" s="9"/>
      <c r="E950" s="11"/>
      <c r="F950" s="11"/>
      <c r="G950" s="11"/>
      <c r="H950" s="11"/>
    </row>
    <row r="951" ht="15.75" customHeight="1">
      <c r="A951" s="4">
        <v>948.0</v>
      </c>
      <c r="B951" s="4" t="s">
        <v>1914</v>
      </c>
      <c r="C951" s="4" t="s">
        <v>1915</v>
      </c>
      <c r="D951" s="4" t="s">
        <v>1757</v>
      </c>
      <c r="E951" s="6">
        <v>0.0</v>
      </c>
      <c r="F951" s="6">
        <v>0.0</v>
      </c>
      <c r="G951" s="6">
        <v>0.0</v>
      </c>
      <c r="H951" s="6">
        <v>294745.0</v>
      </c>
    </row>
    <row r="952" ht="15.75" customHeight="1">
      <c r="A952" s="4">
        <v>949.0</v>
      </c>
      <c r="B952" s="4" t="s">
        <v>1916</v>
      </c>
      <c r="C952" s="4" t="s">
        <v>1917</v>
      </c>
      <c r="D952" s="4" t="s">
        <v>1757</v>
      </c>
      <c r="E952" s="6">
        <v>0.0</v>
      </c>
      <c r="F952" s="6">
        <v>0.0</v>
      </c>
      <c r="G952" s="6">
        <v>0.0</v>
      </c>
      <c r="H952" s="6">
        <v>294745.0</v>
      </c>
    </row>
    <row r="953" ht="15.75" customHeight="1">
      <c r="A953" s="4">
        <v>950.0</v>
      </c>
      <c r="B953" s="4" t="s">
        <v>1918</v>
      </c>
      <c r="C953" s="4" t="s">
        <v>1919</v>
      </c>
      <c r="D953" s="4" t="s">
        <v>1757</v>
      </c>
      <c r="E953" s="6">
        <v>0.0</v>
      </c>
      <c r="F953" s="6">
        <v>0.0</v>
      </c>
      <c r="G953" s="6">
        <v>0.0</v>
      </c>
      <c r="H953" s="6">
        <v>294745.0</v>
      </c>
    </row>
    <row r="954" ht="15.75" customHeight="1">
      <c r="A954" s="4">
        <v>951.0</v>
      </c>
      <c r="B954" s="4" t="s">
        <v>1920</v>
      </c>
      <c r="C954" s="4" t="s">
        <v>1921</v>
      </c>
      <c r="D954" s="4" t="s">
        <v>1757</v>
      </c>
      <c r="E954" s="6">
        <v>0.0</v>
      </c>
      <c r="F954" s="6">
        <v>0.0</v>
      </c>
      <c r="G954" s="6">
        <v>0.0</v>
      </c>
      <c r="H954" s="6">
        <v>294745.0</v>
      </c>
    </row>
    <row r="955" ht="15.75" customHeight="1">
      <c r="A955" s="4">
        <v>952.0</v>
      </c>
      <c r="B955" s="4" t="s">
        <v>1922</v>
      </c>
      <c r="C955" s="4" t="s">
        <v>1923</v>
      </c>
      <c r="D955" s="4" t="s">
        <v>1757</v>
      </c>
      <c r="E955" s="6">
        <v>0.0</v>
      </c>
      <c r="F955" s="6">
        <v>0.0</v>
      </c>
      <c r="G955" s="6">
        <v>0.0</v>
      </c>
      <c r="H955" s="6">
        <v>294745.0</v>
      </c>
    </row>
    <row r="956" ht="15.75" customHeight="1">
      <c r="A956" s="4">
        <v>953.0</v>
      </c>
      <c r="B956" s="4" t="s">
        <v>1924</v>
      </c>
      <c r="C956" s="4" t="s">
        <v>1925</v>
      </c>
      <c r="D956" s="4" t="s">
        <v>1757</v>
      </c>
      <c r="E956" s="6">
        <v>0.0</v>
      </c>
      <c r="F956" s="6">
        <v>0.0</v>
      </c>
      <c r="G956" s="6">
        <v>0.0</v>
      </c>
      <c r="H956" s="6">
        <v>294745.0</v>
      </c>
    </row>
    <row r="957" ht="15.75" customHeight="1">
      <c r="A957" s="9">
        <v>954.0</v>
      </c>
      <c r="B957" s="9" t="s">
        <v>1926</v>
      </c>
      <c r="C957" s="10" t="s">
        <v>1927</v>
      </c>
      <c r="D957" s="9"/>
      <c r="E957" s="11"/>
      <c r="F957" s="11"/>
      <c r="G957" s="11"/>
      <c r="H957" s="11"/>
    </row>
    <row r="958" ht="15.75" customHeight="1">
      <c r="A958" s="4">
        <v>955.0</v>
      </c>
      <c r="B958" s="4" t="s">
        <v>1928</v>
      </c>
      <c r="C958" s="4" t="s">
        <v>1929</v>
      </c>
      <c r="D958" s="4" t="s">
        <v>1757</v>
      </c>
      <c r="E958" s="6">
        <v>0.0</v>
      </c>
      <c r="F958" s="6">
        <v>0.0</v>
      </c>
      <c r="G958" s="6">
        <v>0.0</v>
      </c>
      <c r="H958" s="6">
        <v>707996.0</v>
      </c>
    </row>
    <row r="959" ht="15.75" customHeight="1">
      <c r="A959" s="4">
        <v>956.0</v>
      </c>
      <c r="B959" s="4" t="s">
        <v>1930</v>
      </c>
      <c r="C959" s="4" t="s">
        <v>1931</v>
      </c>
      <c r="D959" s="4" t="s">
        <v>1757</v>
      </c>
      <c r="E959" s="6">
        <v>0.0</v>
      </c>
      <c r="F959" s="6">
        <v>0.0</v>
      </c>
      <c r="G959" s="6">
        <v>0.0</v>
      </c>
      <c r="H959" s="6">
        <v>707996.0</v>
      </c>
    </row>
    <row r="960" ht="15.75" customHeight="1">
      <c r="A960" s="4">
        <v>957.0</v>
      </c>
      <c r="B960" s="4" t="s">
        <v>1932</v>
      </c>
      <c r="C960" s="4" t="s">
        <v>1933</v>
      </c>
      <c r="D960" s="4" t="s">
        <v>1757</v>
      </c>
      <c r="E960" s="6">
        <v>0.0</v>
      </c>
      <c r="F960" s="6">
        <v>0.0</v>
      </c>
      <c r="G960" s="6">
        <v>0.0</v>
      </c>
      <c r="H960" s="6">
        <v>650246.0</v>
      </c>
    </row>
    <row r="961" ht="15.75" customHeight="1">
      <c r="A961" s="4">
        <v>958.0</v>
      </c>
      <c r="B961" s="4" t="s">
        <v>1934</v>
      </c>
      <c r="C961" s="4" t="s">
        <v>1935</v>
      </c>
      <c r="D961" s="4" t="s">
        <v>1757</v>
      </c>
      <c r="E961" s="6">
        <v>0.0</v>
      </c>
      <c r="F961" s="6">
        <v>0.0</v>
      </c>
      <c r="G961" s="6">
        <v>0.0</v>
      </c>
      <c r="H961" s="6">
        <v>707996.0</v>
      </c>
    </row>
    <row r="962" ht="15.75" customHeight="1">
      <c r="A962" s="4">
        <v>959.0</v>
      </c>
      <c r="B962" s="4" t="s">
        <v>1936</v>
      </c>
      <c r="C962" s="4" t="s">
        <v>1937</v>
      </c>
      <c r="D962" s="4" t="s">
        <v>1757</v>
      </c>
      <c r="E962" s="6">
        <v>0.0</v>
      </c>
      <c r="F962" s="6">
        <v>0.0</v>
      </c>
      <c r="G962" s="6">
        <v>0.0</v>
      </c>
      <c r="H962" s="6">
        <v>707996.0</v>
      </c>
    </row>
    <row r="963" ht="15.75" customHeight="1">
      <c r="A963" s="9">
        <v>960.0</v>
      </c>
      <c r="B963" s="9" t="s">
        <v>1938</v>
      </c>
      <c r="C963" s="10" t="s">
        <v>1939</v>
      </c>
      <c r="D963" s="9"/>
      <c r="E963" s="11"/>
      <c r="F963" s="11"/>
      <c r="G963" s="11"/>
      <c r="H963" s="11"/>
    </row>
    <row r="964" ht="15.75" customHeight="1">
      <c r="A964" s="4">
        <v>961.0</v>
      </c>
      <c r="B964" s="4" t="s">
        <v>1940</v>
      </c>
      <c r="C964" s="4" t="s">
        <v>1941</v>
      </c>
      <c r="D964" s="4" t="s">
        <v>1757</v>
      </c>
      <c r="E964" s="6">
        <v>0.0</v>
      </c>
      <c r="F964" s="6">
        <v>0.0</v>
      </c>
      <c r="G964" s="6">
        <v>0.0</v>
      </c>
      <c r="H964" s="6">
        <v>851580.0</v>
      </c>
    </row>
    <row r="965" ht="15.75" customHeight="1">
      <c r="A965" s="4">
        <v>962.0</v>
      </c>
      <c r="B965" s="4" t="s">
        <v>1942</v>
      </c>
      <c r="C965" s="4" t="s">
        <v>1943</v>
      </c>
      <c r="D965" s="4" t="s">
        <v>1757</v>
      </c>
      <c r="E965" s="6">
        <v>0.0</v>
      </c>
      <c r="F965" s="6">
        <v>0.0</v>
      </c>
      <c r="G965" s="6">
        <v>0.0</v>
      </c>
      <c r="H965" s="6">
        <v>851580.0</v>
      </c>
    </row>
    <row r="966" ht="15.75" customHeight="1">
      <c r="A966" s="4">
        <v>963.0</v>
      </c>
      <c r="B966" s="4" t="s">
        <v>1944</v>
      </c>
      <c r="C966" s="4" t="s">
        <v>1945</v>
      </c>
      <c r="D966" s="4" t="s">
        <v>1757</v>
      </c>
      <c r="E966" s="6">
        <v>0.0</v>
      </c>
      <c r="F966" s="6">
        <v>0.0</v>
      </c>
      <c r="G966" s="6">
        <v>0.0</v>
      </c>
      <c r="H966" s="6">
        <v>851580.0</v>
      </c>
    </row>
    <row r="967" ht="15.75" customHeight="1">
      <c r="A967" s="4">
        <v>964.0</v>
      </c>
      <c r="B967" s="4" t="s">
        <v>1946</v>
      </c>
      <c r="C967" s="4" t="s">
        <v>1947</v>
      </c>
      <c r="D967" s="4" t="s">
        <v>1757</v>
      </c>
      <c r="E967" s="6">
        <v>0.0</v>
      </c>
      <c r="F967" s="6">
        <v>0.0</v>
      </c>
      <c r="G967" s="6">
        <v>0.0</v>
      </c>
      <c r="H967" s="6">
        <v>851580.0</v>
      </c>
    </row>
    <row r="968" ht="15.75" customHeight="1">
      <c r="A968" s="4">
        <v>965.0</v>
      </c>
      <c r="B968" s="4" t="s">
        <v>1948</v>
      </c>
      <c r="C968" s="4" t="s">
        <v>1949</v>
      </c>
      <c r="D968" s="4" t="s">
        <v>1757</v>
      </c>
      <c r="E968" s="6">
        <v>0.0</v>
      </c>
      <c r="F968" s="6">
        <v>0.0</v>
      </c>
      <c r="G968" s="6">
        <v>0.0</v>
      </c>
      <c r="H968" s="6">
        <v>851580.0</v>
      </c>
    </row>
    <row r="969" ht="15.75" customHeight="1">
      <c r="A969" s="9">
        <v>966.0</v>
      </c>
      <c r="B969" s="9" t="s">
        <v>1950</v>
      </c>
      <c r="C969" s="10" t="s">
        <v>1951</v>
      </c>
      <c r="D969" s="9"/>
      <c r="E969" s="11"/>
      <c r="F969" s="11"/>
      <c r="G969" s="11"/>
      <c r="H969" s="11"/>
    </row>
    <row r="970" ht="15.75" customHeight="1">
      <c r="A970" s="4">
        <v>967.0</v>
      </c>
      <c r="B970" s="4" t="s">
        <v>1952</v>
      </c>
      <c r="C970" s="4" t="s">
        <v>1953</v>
      </c>
      <c r="D970" s="4" t="s">
        <v>1757</v>
      </c>
      <c r="E970" s="6">
        <v>0.0</v>
      </c>
      <c r="F970" s="6">
        <v>0.0</v>
      </c>
      <c r="G970" s="6">
        <v>0.0</v>
      </c>
      <c r="H970" s="6">
        <v>1125083.0</v>
      </c>
    </row>
    <row r="971" ht="15.75" customHeight="1">
      <c r="A971" s="4">
        <v>968.0</v>
      </c>
      <c r="B971" s="4" t="s">
        <v>1954</v>
      </c>
      <c r="C971" s="4" t="s">
        <v>1955</v>
      </c>
      <c r="D971" s="4" t="s">
        <v>1757</v>
      </c>
      <c r="E971" s="6">
        <v>0.0</v>
      </c>
      <c r="F971" s="6">
        <v>0.0</v>
      </c>
      <c r="G971" s="6">
        <v>0.0</v>
      </c>
      <c r="H971" s="6">
        <v>1125083.0</v>
      </c>
    </row>
    <row r="972" ht="15.75" customHeight="1">
      <c r="A972" s="4">
        <v>969.0</v>
      </c>
      <c r="B972" s="4" t="s">
        <v>1956</v>
      </c>
      <c r="C972" s="4" t="s">
        <v>1957</v>
      </c>
      <c r="D972" s="4" t="s">
        <v>1757</v>
      </c>
      <c r="E972" s="6">
        <v>0.0</v>
      </c>
      <c r="F972" s="6">
        <v>0.0</v>
      </c>
      <c r="G972" s="6">
        <v>0.0</v>
      </c>
      <c r="H972" s="6">
        <v>1125083.0</v>
      </c>
    </row>
    <row r="973" ht="15.75" customHeight="1">
      <c r="A973" s="4">
        <v>970.0</v>
      </c>
      <c r="B973" s="4" t="s">
        <v>1958</v>
      </c>
      <c r="C973" s="4" t="s">
        <v>1959</v>
      </c>
      <c r="D973" s="4" t="s">
        <v>1757</v>
      </c>
      <c r="E973" s="6">
        <v>0.0</v>
      </c>
      <c r="F973" s="6">
        <v>0.0</v>
      </c>
      <c r="G973" s="6">
        <v>0.0</v>
      </c>
      <c r="H973" s="6">
        <v>1125083.0</v>
      </c>
    </row>
    <row r="974" ht="15.75" customHeight="1">
      <c r="A974" s="4">
        <v>971.0</v>
      </c>
      <c r="B974" s="4" t="s">
        <v>1960</v>
      </c>
      <c r="C974" s="4" t="s">
        <v>1961</v>
      </c>
      <c r="D974" s="4" t="s">
        <v>1757</v>
      </c>
      <c r="E974" s="6">
        <v>0.0</v>
      </c>
      <c r="F974" s="6">
        <v>0.0</v>
      </c>
      <c r="G974" s="6">
        <v>0.0</v>
      </c>
      <c r="H974" s="6">
        <v>1125083.0</v>
      </c>
    </row>
    <row r="975" ht="15.75" customHeight="1">
      <c r="A975" s="9">
        <v>972.0</v>
      </c>
      <c r="B975" s="9" t="s">
        <v>1962</v>
      </c>
      <c r="C975" s="10" t="s">
        <v>1963</v>
      </c>
      <c r="D975" s="9"/>
      <c r="E975" s="11"/>
      <c r="F975" s="11"/>
      <c r="G975" s="11"/>
      <c r="H975" s="11"/>
    </row>
    <row r="976" ht="15.75" customHeight="1">
      <c r="A976" s="4">
        <v>973.0</v>
      </c>
      <c r="B976" s="4" t="s">
        <v>1964</v>
      </c>
      <c r="C976" s="4" t="s">
        <v>1965</v>
      </c>
      <c r="D976" s="4" t="s">
        <v>1757</v>
      </c>
      <c r="E976" s="6">
        <v>0.0</v>
      </c>
      <c r="F976" s="6">
        <v>0.0</v>
      </c>
      <c r="G976" s="6">
        <v>0.0</v>
      </c>
      <c r="H976" s="6">
        <v>1261152.0</v>
      </c>
    </row>
    <row r="977" ht="15.75" customHeight="1">
      <c r="A977" s="4">
        <v>974.0</v>
      </c>
      <c r="B977" s="4" t="s">
        <v>1966</v>
      </c>
      <c r="C977" s="4" t="s">
        <v>1967</v>
      </c>
      <c r="D977" s="4" t="s">
        <v>1757</v>
      </c>
      <c r="E977" s="6">
        <v>0.0</v>
      </c>
      <c r="F977" s="6">
        <v>0.0</v>
      </c>
      <c r="G977" s="6">
        <v>0.0</v>
      </c>
      <c r="H977" s="6">
        <v>1261152.0</v>
      </c>
    </row>
    <row r="978" ht="15.75" customHeight="1">
      <c r="A978" s="4">
        <v>975.0</v>
      </c>
      <c r="B978" s="4" t="s">
        <v>1968</v>
      </c>
      <c r="C978" s="4" t="s">
        <v>1969</v>
      </c>
      <c r="D978" s="4" t="s">
        <v>1757</v>
      </c>
      <c r="E978" s="6">
        <v>0.0</v>
      </c>
      <c r="F978" s="6">
        <v>0.0</v>
      </c>
      <c r="G978" s="6">
        <v>0.0</v>
      </c>
      <c r="H978" s="6">
        <v>1261152.0</v>
      </c>
    </row>
    <row r="979" ht="15.75" customHeight="1">
      <c r="A979" s="4">
        <v>976.0</v>
      </c>
      <c r="B979" s="4" t="s">
        <v>1970</v>
      </c>
      <c r="C979" s="4" t="s">
        <v>1971</v>
      </c>
      <c r="D979" s="4" t="s">
        <v>1757</v>
      </c>
      <c r="E979" s="6">
        <v>0.0</v>
      </c>
      <c r="F979" s="6">
        <v>0.0</v>
      </c>
      <c r="G979" s="6">
        <v>0.0</v>
      </c>
      <c r="H979" s="6">
        <v>1261152.0</v>
      </c>
    </row>
    <row r="980" ht="15.75" customHeight="1">
      <c r="A980" s="4">
        <v>977.0</v>
      </c>
      <c r="B980" s="4" t="s">
        <v>1972</v>
      </c>
      <c r="C980" s="4" t="s">
        <v>1973</v>
      </c>
      <c r="D980" s="4" t="s">
        <v>1757</v>
      </c>
      <c r="E980" s="6">
        <v>0.0</v>
      </c>
      <c r="F980" s="6">
        <v>0.0</v>
      </c>
      <c r="G980" s="6">
        <v>0.0</v>
      </c>
      <c r="H980" s="6">
        <v>1261152.0</v>
      </c>
    </row>
    <row r="981" ht="15.75" customHeight="1">
      <c r="A981" s="9">
        <v>978.0</v>
      </c>
      <c r="B981" s="9" t="s">
        <v>1974</v>
      </c>
      <c r="C981" s="10" t="s">
        <v>1975</v>
      </c>
      <c r="D981" s="9"/>
      <c r="E981" s="11"/>
      <c r="F981" s="11"/>
      <c r="G981" s="11"/>
      <c r="H981" s="11"/>
    </row>
    <row r="982" ht="15.75" customHeight="1">
      <c r="A982" s="9">
        <v>979.0</v>
      </c>
      <c r="B982" s="9" t="s">
        <v>1976</v>
      </c>
      <c r="C982" s="10" t="s">
        <v>1977</v>
      </c>
      <c r="D982" s="9"/>
      <c r="E982" s="11"/>
      <c r="F982" s="11"/>
      <c r="G982" s="11"/>
      <c r="H982" s="11"/>
    </row>
    <row r="983" ht="15.75" customHeight="1">
      <c r="A983" s="4">
        <v>980.0</v>
      </c>
      <c r="B983" s="4" t="s">
        <v>1978</v>
      </c>
      <c r="C983" s="4" t="s">
        <v>1979</v>
      </c>
      <c r="D983" s="4" t="s">
        <v>36</v>
      </c>
      <c r="E983" s="6">
        <v>0.0</v>
      </c>
      <c r="F983" s="6">
        <v>0.0</v>
      </c>
      <c r="G983" s="6">
        <v>0.0</v>
      </c>
      <c r="H983" s="6">
        <v>97089.0</v>
      </c>
    </row>
    <row r="984" ht="15.75" customHeight="1">
      <c r="A984" s="4">
        <v>981.0</v>
      </c>
      <c r="B984" s="4" t="s">
        <v>1980</v>
      </c>
      <c r="C984" s="4" t="s">
        <v>1981</v>
      </c>
      <c r="D984" s="4" t="s">
        <v>36</v>
      </c>
      <c r="E984" s="6">
        <v>0.0</v>
      </c>
      <c r="F984" s="6">
        <v>0.0</v>
      </c>
      <c r="G984" s="6">
        <v>0.0</v>
      </c>
      <c r="H984" s="6">
        <v>110839.0</v>
      </c>
    </row>
    <row r="985" ht="15.75" customHeight="1">
      <c r="A985" s="4">
        <v>982.0</v>
      </c>
      <c r="B985" s="4" t="s">
        <v>1982</v>
      </c>
      <c r="C985" s="4" t="s">
        <v>1983</v>
      </c>
      <c r="D985" s="4" t="s">
        <v>36</v>
      </c>
      <c r="E985" s="6">
        <v>0.0</v>
      </c>
      <c r="F985" s="6">
        <v>0.0</v>
      </c>
      <c r="G985" s="6">
        <v>0.0</v>
      </c>
      <c r="H985" s="6">
        <v>97089.0</v>
      </c>
    </row>
    <row r="986" ht="15.75" customHeight="1">
      <c r="A986" s="4">
        <v>983.0</v>
      </c>
      <c r="B986" s="4" t="s">
        <v>1984</v>
      </c>
      <c r="C986" s="4" t="s">
        <v>1985</v>
      </c>
      <c r="D986" s="4" t="s">
        <v>36</v>
      </c>
      <c r="E986" s="6">
        <v>0.0</v>
      </c>
      <c r="F986" s="6">
        <v>0.0</v>
      </c>
      <c r="G986" s="6">
        <v>0.0</v>
      </c>
      <c r="H986" s="6">
        <v>97089.0</v>
      </c>
    </row>
    <row r="987" ht="15.75" customHeight="1">
      <c r="A987" s="4">
        <v>984.0</v>
      </c>
      <c r="B987" s="4" t="s">
        <v>1986</v>
      </c>
      <c r="C987" s="4" t="s">
        <v>1987</v>
      </c>
      <c r="D987" s="4" t="s">
        <v>36</v>
      </c>
      <c r="E987" s="6">
        <v>0.0</v>
      </c>
      <c r="F987" s="6">
        <v>0.0</v>
      </c>
      <c r="G987" s="6">
        <v>0.0</v>
      </c>
      <c r="H987" s="6">
        <v>97089.0</v>
      </c>
    </row>
    <row r="988" ht="15.75" customHeight="1">
      <c r="A988" s="4">
        <v>985.0</v>
      </c>
      <c r="B988" s="4" t="s">
        <v>1988</v>
      </c>
      <c r="C988" s="4" t="s">
        <v>1989</v>
      </c>
      <c r="D988" s="4" t="s">
        <v>36</v>
      </c>
      <c r="E988" s="6">
        <v>0.0</v>
      </c>
      <c r="F988" s="6">
        <v>0.0</v>
      </c>
      <c r="G988" s="6">
        <v>0.0</v>
      </c>
      <c r="H988" s="6">
        <v>97089.0</v>
      </c>
    </row>
    <row r="989" ht="15.75" customHeight="1">
      <c r="A989" s="4">
        <v>986.0</v>
      </c>
      <c r="B989" s="4" t="s">
        <v>1990</v>
      </c>
      <c r="C989" s="4" t="s">
        <v>1991</v>
      </c>
      <c r="D989" s="4" t="s">
        <v>36</v>
      </c>
      <c r="E989" s="6">
        <v>0.0</v>
      </c>
      <c r="F989" s="6">
        <v>0.0</v>
      </c>
      <c r="G989" s="6">
        <v>0.0</v>
      </c>
      <c r="H989" s="6">
        <v>97089.0</v>
      </c>
    </row>
    <row r="990" ht="15.75" customHeight="1">
      <c r="A990" s="4">
        <v>987.0</v>
      </c>
      <c r="B990" s="4" t="s">
        <v>1992</v>
      </c>
      <c r="C990" s="4" t="s">
        <v>1993</v>
      </c>
      <c r="D990" s="4" t="s">
        <v>36</v>
      </c>
      <c r="E990" s="6">
        <v>0.0</v>
      </c>
      <c r="F990" s="6">
        <v>0.0</v>
      </c>
      <c r="G990" s="6">
        <v>0.0</v>
      </c>
      <c r="H990" s="6">
        <v>97089.0</v>
      </c>
    </row>
    <row r="991" ht="15.75" customHeight="1">
      <c r="A991" s="4">
        <v>988.0</v>
      </c>
      <c r="B991" s="4" t="s">
        <v>1994</v>
      </c>
      <c r="C991" s="4" t="s">
        <v>1995</v>
      </c>
      <c r="D991" s="4" t="s">
        <v>36</v>
      </c>
      <c r="E991" s="6">
        <v>0.0</v>
      </c>
      <c r="F991" s="6">
        <v>0.0</v>
      </c>
      <c r="G991" s="6">
        <v>0.0</v>
      </c>
      <c r="H991" s="6">
        <v>97089.0</v>
      </c>
    </row>
    <row r="992" ht="15.75" customHeight="1">
      <c r="A992" s="4">
        <v>989.0</v>
      </c>
      <c r="B992" s="4" t="s">
        <v>1996</v>
      </c>
      <c r="C992" s="4" t="s">
        <v>1997</v>
      </c>
      <c r="D992" s="4" t="s">
        <v>36</v>
      </c>
      <c r="E992" s="6">
        <v>0.0</v>
      </c>
      <c r="F992" s="6">
        <v>0.0</v>
      </c>
      <c r="G992" s="6">
        <v>0.0</v>
      </c>
      <c r="H992" s="6">
        <v>97089.0</v>
      </c>
    </row>
    <row r="993" ht="15.75" customHeight="1">
      <c r="A993" s="4">
        <v>990.0</v>
      </c>
      <c r="B993" s="4" t="s">
        <v>1998</v>
      </c>
      <c r="C993" s="4" t="s">
        <v>1999</v>
      </c>
      <c r="D993" s="4" t="s">
        <v>36</v>
      </c>
      <c r="E993" s="6">
        <v>0.0</v>
      </c>
      <c r="F993" s="6">
        <v>0.0</v>
      </c>
      <c r="G993" s="6">
        <v>0.0</v>
      </c>
      <c r="H993" s="6">
        <v>97089.0</v>
      </c>
    </row>
    <row r="994" ht="15.75" customHeight="1">
      <c r="A994" s="4">
        <v>991.0</v>
      </c>
      <c r="B994" s="4" t="s">
        <v>2000</v>
      </c>
      <c r="C994" s="4" t="s">
        <v>2001</v>
      </c>
      <c r="D994" s="4" t="s">
        <v>36</v>
      </c>
      <c r="E994" s="6">
        <v>0.0</v>
      </c>
      <c r="F994" s="6">
        <v>0.0</v>
      </c>
      <c r="G994" s="6">
        <v>0.0</v>
      </c>
      <c r="H994" s="6">
        <v>97089.0</v>
      </c>
    </row>
    <row r="995" ht="15.75" customHeight="1">
      <c r="A995" s="4">
        <v>992.0</v>
      </c>
      <c r="B995" s="4" t="s">
        <v>2002</v>
      </c>
      <c r="C995" s="4" t="s">
        <v>2003</v>
      </c>
      <c r="D995" s="4" t="s">
        <v>36</v>
      </c>
      <c r="E995" s="6">
        <v>0.0</v>
      </c>
      <c r="F995" s="6">
        <v>0.0</v>
      </c>
      <c r="G995" s="6">
        <v>0.0</v>
      </c>
      <c r="H995" s="6">
        <v>97089.0</v>
      </c>
    </row>
    <row r="996" ht="15.75" customHeight="1">
      <c r="A996" s="4">
        <v>993.0</v>
      </c>
      <c r="B996" s="4" t="s">
        <v>2004</v>
      </c>
      <c r="C996" s="4" t="s">
        <v>2005</v>
      </c>
      <c r="D996" s="4" t="s">
        <v>36</v>
      </c>
      <c r="E996" s="6">
        <v>0.0</v>
      </c>
      <c r="F996" s="6">
        <v>0.0</v>
      </c>
      <c r="G996" s="6">
        <v>0.0</v>
      </c>
      <c r="H996" s="6">
        <v>97089.0</v>
      </c>
    </row>
    <row r="997" ht="15.75" customHeight="1">
      <c r="A997" s="9">
        <v>994.0</v>
      </c>
      <c r="B997" s="9" t="s">
        <v>2006</v>
      </c>
      <c r="C997" s="10" t="s">
        <v>2007</v>
      </c>
      <c r="D997" s="9"/>
      <c r="E997" s="11"/>
      <c r="F997" s="11"/>
      <c r="G997" s="11"/>
      <c r="H997" s="11"/>
    </row>
    <row r="998" ht="15.75" customHeight="1">
      <c r="A998" s="4">
        <v>995.0</v>
      </c>
      <c r="B998" s="4" t="s">
        <v>2008</v>
      </c>
      <c r="C998" s="4" t="s">
        <v>2009</v>
      </c>
      <c r="D998" s="4" t="s">
        <v>36</v>
      </c>
      <c r="E998" s="6">
        <v>0.0</v>
      </c>
      <c r="F998" s="6">
        <v>0.0</v>
      </c>
      <c r="G998" s="6">
        <v>0.0</v>
      </c>
      <c r="H998" s="6">
        <v>104218.0</v>
      </c>
    </row>
    <row r="999" ht="15.75" customHeight="1">
      <c r="A999" s="4">
        <v>996.0</v>
      </c>
      <c r="B999" s="4" t="s">
        <v>2010</v>
      </c>
      <c r="C999" s="4" t="s">
        <v>2011</v>
      </c>
      <c r="D999" s="4" t="s">
        <v>36</v>
      </c>
      <c r="E999" s="6">
        <v>0.0</v>
      </c>
      <c r="F999" s="6">
        <v>0.0</v>
      </c>
      <c r="G999" s="6">
        <v>0.0</v>
      </c>
      <c r="H999" s="6">
        <v>104218.0</v>
      </c>
    </row>
    <row r="1000" ht="15.75" customHeight="1">
      <c r="A1000" s="4">
        <v>997.0</v>
      </c>
      <c r="B1000" s="4" t="s">
        <v>2012</v>
      </c>
      <c r="C1000" s="4" t="s">
        <v>2013</v>
      </c>
      <c r="D1000" s="4" t="s">
        <v>36</v>
      </c>
      <c r="E1000" s="6">
        <v>0.0</v>
      </c>
      <c r="F1000" s="6">
        <v>0.0</v>
      </c>
      <c r="G1000" s="6">
        <v>0.0</v>
      </c>
      <c r="H1000" s="6">
        <v>104218.0</v>
      </c>
    </row>
    <row r="1001" ht="15.75" customHeight="1">
      <c r="A1001" s="4">
        <v>998.0</v>
      </c>
      <c r="B1001" s="4" t="s">
        <v>2014</v>
      </c>
      <c r="C1001" s="4" t="s">
        <v>2015</v>
      </c>
      <c r="D1001" s="4" t="s">
        <v>36</v>
      </c>
      <c r="E1001" s="6">
        <v>0.0</v>
      </c>
      <c r="F1001" s="6">
        <v>0.0</v>
      </c>
      <c r="G1001" s="6">
        <v>0.0</v>
      </c>
      <c r="H1001" s="6">
        <v>104218.0</v>
      </c>
    </row>
    <row r="1002" ht="15.75" customHeight="1">
      <c r="A1002" s="4">
        <v>999.0</v>
      </c>
      <c r="B1002" s="4" t="s">
        <v>2016</v>
      </c>
      <c r="C1002" s="4" t="s">
        <v>2017</v>
      </c>
      <c r="D1002" s="4" t="s">
        <v>36</v>
      </c>
      <c r="E1002" s="6">
        <v>0.0</v>
      </c>
      <c r="F1002" s="6">
        <v>0.0</v>
      </c>
      <c r="G1002" s="6">
        <v>0.0</v>
      </c>
      <c r="H1002" s="6">
        <v>104218.0</v>
      </c>
    </row>
    <row r="1003" ht="15.75" customHeight="1">
      <c r="A1003" s="4">
        <v>1000.0</v>
      </c>
      <c r="B1003" s="4" t="s">
        <v>2018</v>
      </c>
      <c r="C1003" s="4" t="s">
        <v>2019</v>
      </c>
      <c r="D1003" s="4" t="s">
        <v>36</v>
      </c>
      <c r="E1003" s="6">
        <v>0.0</v>
      </c>
      <c r="F1003" s="6">
        <v>0.0</v>
      </c>
      <c r="G1003" s="6">
        <v>0.0</v>
      </c>
      <c r="H1003" s="6">
        <v>104218.0</v>
      </c>
    </row>
    <row r="1004" ht="15.75" customHeight="1">
      <c r="A1004" s="4">
        <v>1001.0</v>
      </c>
      <c r="B1004" s="4" t="s">
        <v>2020</v>
      </c>
      <c r="C1004" s="4" t="s">
        <v>2021</v>
      </c>
      <c r="D1004" s="4" t="s">
        <v>36</v>
      </c>
      <c r="E1004" s="6">
        <v>0.0</v>
      </c>
      <c r="F1004" s="6">
        <v>0.0</v>
      </c>
      <c r="G1004" s="6">
        <v>0.0</v>
      </c>
      <c r="H1004" s="6">
        <v>104218.0</v>
      </c>
    </row>
    <row r="1005" ht="15.75" customHeight="1">
      <c r="A1005" s="4">
        <v>1002.0</v>
      </c>
      <c r="B1005" s="4" t="s">
        <v>2022</v>
      </c>
      <c r="C1005" s="4" t="s">
        <v>2023</v>
      </c>
      <c r="D1005" s="4" t="s">
        <v>36</v>
      </c>
      <c r="E1005" s="6">
        <v>0.0</v>
      </c>
      <c r="F1005" s="6">
        <v>0.0</v>
      </c>
      <c r="G1005" s="6">
        <v>0.0</v>
      </c>
      <c r="H1005" s="6">
        <v>104218.0</v>
      </c>
    </row>
    <row r="1006" ht="15.75" customHeight="1">
      <c r="A1006" s="4">
        <v>1003.0</v>
      </c>
      <c r="B1006" s="4" t="s">
        <v>2024</v>
      </c>
      <c r="C1006" s="4" t="s">
        <v>2025</v>
      </c>
      <c r="D1006" s="4" t="s">
        <v>36</v>
      </c>
      <c r="E1006" s="6">
        <v>0.0</v>
      </c>
      <c r="F1006" s="6">
        <v>0.0</v>
      </c>
      <c r="G1006" s="6">
        <v>0.0</v>
      </c>
      <c r="H1006" s="6">
        <v>104218.0</v>
      </c>
    </row>
    <row r="1007" ht="15.75" customHeight="1">
      <c r="A1007" s="4">
        <v>1004.0</v>
      </c>
      <c r="B1007" s="4" t="s">
        <v>2026</v>
      </c>
      <c r="C1007" s="4" t="s">
        <v>2027</v>
      </c>
      <c r="D1007" s="4" t="s">
        <v>36</v>
      </c>
      <c r="E1007" s="6">
        <v>0.0</v>
      </c>
      <c r="F1007" s="6">
        <v>0.0</v>
      </c>
      <c r="G1007" s="6">
        <v>0.0</v>
      </c>
      <c r="H1007" s="6">
        <v>104218.0</v>
      </c>
    </row>
    <row r="1008" ht="15.75" customHeight="1">
      <c r="A1008" s="4">
        <v>1005.0</v>
      </c>
      <c r="B1008" s="4" t="s">
        <v>2028</v>
      </c>
      <c r="C1008" s="4" t="s">
        <v>2029</v>
      </c>
      <c r="D1008" s="4" t="s">
        <v>36</v>
      </c>
      <c r="E1008" s="6">
        <v>0.0</v>
      </c>
      <c r="F1008" s="6">
        <v>0.0</v>
      </c>
      <c r="G1008" s="6">
        <v>0.0</v>
      </c>
      <c r="H1008" s="6">
        <v>104218.0</v>
      </c>
    </row>
    <row r="1009" ht="15.75" customHeight="1">
      <c r="A1009" s="4">
        <v>1006.0</v>
      </c>
      <c r="B1009" s="4" t="s">
        <v>2030</v>
      </c>
      <c r="C1009" s="4" t="s">
        <v>2031</v>
      </c>
      <c r="D1009" s="4" t="s">
        <v>36</v>
      </c>
      <c r="E1009" s="6">
        <v>0.0</v>
      </c>
      <c r="F1009" s="6">
        <v>0.0</v>
      </c>
      <c r="G1009" s="6">
        <v>0.0</v>
      </c>
      <c r="H1009" s="6">
        <v>104218.0</v>
      </c>
    </row>
    <row r="1010" ht="15.75" customHeight="1">
      <c r="A1010" s="4">
        <v>1007.0</v>
      </c>
      <c r="B1010" s="4" t="s">
        <v>2032</v>
      </c>
      <c r="C1010" s="4" t="s">
        <v>2033</v>
      </c>
      <c r="D1010" s="4" t="s">
        <v>36</v>
      </c>
      <c r="E1010" s="6">
        <v>0.0</v>
      </c>
      <c r="F1010" s="6">
        <v>0.0</v>
      </c>
      <c r="G1010" s="6">
        <v>0.0</v>
      </c>
      <c r="H1010" s="6">
        <v>104218.0</v>
      </c>
    </row>
    <row r="1011" ht="15.75" customHeight="1">
      <c r="A1011" s="4">
        <v>1008.0</v>
      </c>
      <c r="B1011" s="4" t="s">
        <v>2034</v>
      </c>
      <c r="C1011" s="4" t="s">
        <v>2035</v>
      </c>
      <c r="D1011" s="4" t="s">
        <v>36</v>
      </c>
      <c r="E1011" s="6">
        <v>0.0</v>
      </c>
      <c r="F1011" s="6">
        <v>0.0</v>
      </c>
      <c r="G1011" s="6">
        <v>0.0</v>
      </c>
      <c r="H1011" s="6">
        <v>104218.0</v>
      </c>
    </row>
    <row r="1012" ht="15.75" customHeight="1">
      <c r="A1012" s="4">
        <v>1009.0</v>
      </c>
      <c r="B1012" s="4" t="s">
        <v>2036</v>
      </c>
      <c r="C1012" s="4" t="s">
        <v>2037</v>
      </c>
      <c r="D1012" s="4" t="s">
        <v>36</v>
      </c>
      <c r="E1012" s="6">
        <v>0.0</v>
      </c>
      <c r="F1012" s="6">
        <v>0.0</v>
      </c>
      <c r="G1012" s="6">
        <v>0.0</v>
      </c>
      <c r="H1012" s="6">
        <v>104218.0</v>
      </c>
    </row>
    <row r="1013" ht="15.75" customHeight="1">
      <c r="A1013" s="4">
        <v>1010.0</v>
      </c>
      <c r="B1013" s="4" t="s">
        <v>2038</v>
      </c>
      <c r="C1013" s="4" t="s">
        <v>2039</v>
      </c>
      <c r="D1013" s="4" t="s">
        <v>36</v>
      </c>
      <c r="E1013" s="6">
        <v>0.0</v>
      </c>
      <c r="F1013" s="6">
        <v>0.0</v>
      </c>
      <c r="G1013" s="6">
        <v>0.0</v>
      </c>
      <c r="H1013" s="6">
        <v>104218.0</v>
      </c>
    </row>
    <row r="1014" ht="15.75" customHeight="1">
      <c r="A1014" s="4">
        <v>1011.0</v>
      </c>
      <c r="B1014" s="4" t="s">
        <v>2040</v>
      </c>
      <c r="C1014" s="4" t="s">
        <v>2041</v>
      </c>
      <c r="D1014" s="4" t="s">
        <v>36</v>
      </c>
      <c r="E1014" s="6">
        <v>0.0</v>
      </c>
      <c r="F1014" s="6">
        <v>0.0</v>
      </c>
      <c r="G1014" s="6">
        <v>0.0</v>
      </c>
      <c r="H1014" s="6">
        <v>104218.0</v>
      </c>
    </row>
    <row r="1015" ht="15.75" customHeight="1">
      <c r="A1015" s="4">
        <v>1012.0</v>
      </c>
      <c r="B1015" s="4" t="s">
        <v>2042</v>
      </c>
      <c r="C1015" s="4" t="s">
        <v>2043</v>
      </c>
      <c r="D1015" s="4" t="s">
        <v>36</v>
      </c>
      <c r="E1015" s="6">
        <v>0.0</v>
      </c>
      <c r="F1015" s="6">
        <v>0.0</v>
      </c>
      <c r="G1015" s="6">
        <v>0.0</v>
      </c>
      <c r="H1015" s="6">
        <v>104218.0</v>
      </c>
    </row>
    <row r="1016" ht="15.75" customHeight="1">
      <c r="A1016" s="4">
        <v>1013.0</v>
      </c>
      <c r="B1016" s="4" t="s">
        <v>2044</v>
      </c>
      <c r="C1016" s="4" t="s">
        <v>2045</v>
      </c>
      <c r="D1016" s="4" t="s">
        <v>36</v>
      </c>
      <c r="E1016" s="6">
        <v>0.0</v>
      </c>
      <c r="F1016" s="6">
        <v>0.0</v>
      </c>
      <c r="G1016" s="6">
        <v>0.0</v>
      </c>
      <c r="H1016" s="6">
        <v>104218.0</v>
      </c>
    </row>
    <row r="1017" ht="15.75" customHeight="1">
      <c r="A1017" s="4">
        <v>1014.0</v>
      </c>
      <c r="B1017" s="4" t="s">
        <v>2046</v>
      </c>
      <c r="C1017" s="4" t="s">
        <v>2047</v>
      </c>
      <c r="D1017" s="4" t="s">
        <v>36</v>
      </c>
      <c r="E1017" s="6">
        <v>0.0</v>
      </c>
      <c r="F1017" s="6">
        <v>0.0</v>
      </c>
      <c r="G1017" s="6">
        <v>0.0</v>
      </c>
      <c r="H1017" s="6">
        <v>104218.0</v>
      </c>
    </row>
    <row r="1018" ht="15.75" customHeight="1">
      <c r="A1018" s="4">
        <v>1015.0</v>
      </c>
      <c r="B1018" s="4" t="s">
        <v>2048</v>
      </c>
      <c r="C1018" s="4" t="s">
        <v>2049</v>
      </c>
      <c r="D1018" s="4" t="s">
        <v>36</v>
      </c>
      <c r="E1018" s="6">
        <v>0.0</v>
      </c>
      <c r="F1018" s="6">
        <v>0.0</v>
      </c>
      <c r="G1018" s="6">
        <v>0.0</v>
      </c>
      <c r="H1018" s="6">
        <v>104218.0</v>
      </c>
    </row>
    <row r="1019" ht="15.75" customHeight="1">
      <c r="A1019" s="4">
        <v>1016.0</v>
      </c>
      <c r="B1019" s="4" t="s">
        <v>2050</v>
      </c>
      <c r="C1019" s="4" t="s">
        <v>2051</v>
      </c>
      <c r="D1019" s="4" t="s">
        <v>36</v>
      </c>
      <c r="E1019" s="6">
        <v>0.0</v>
      </c>
      <c r="F1019" s="6">
        <v>0.0</v>
      </c>
      <c r="G1019" s="6">
        <v>0.0</v>
      </c>
      <c r="H1019" s="6">
        <v>104218.0</v>
      </c>
    </row>
    <row r="1020" ht="15.75" customHeight="1">
      <c r="A1020" s="4">
        <v>1017.0</v>
      </c>
      <c r="B1020" s="4" t="s">
        <v>2052</v>
      </c>
      <c r="C1020" s="4" t="s">
        <v>2053</v>
      </c>
      <c r="D1020" s="4" t="s">
        <v>36</v>
      </c>
      <c r="E1020" s="6">
        <v>0.0</v>
      </c>
      <c r="F1020" s="6">
        <v>0.0</v>
      </c>
      <c r="G1020" s="6">
        <v>0.0</v>
      </c>
      <c r="H1020" s="6">
        <v>104218.0</v>
      </c>
    </row>
    <row r="1021" ht="15.75" customHeight="1">
      <c r="A1021" s="4">
        <v>1018.0</v>
      </c>
      <c r="B1021" s="4" t="s">
        <v>2054</v>
      </c>
      <c r="C1021" s="4" t="s">
        <v>2055</v>
      </c>
      <c r="D1021" s="4" t="s">
        <v>36</v>
      </c>
      <c r="E1021" s="6">
        <v>0.0</v>
      </c>
      <c r="F1021" s="6">
        <v>0.0</v>
      </c>
      <c r="G1021" s="6">
        <v>0.0</v>
      </c>
      <c r="H1021" s="6">
        <v>104218.0</v>
      </c>
    </row>
    <row r="1022" ht="15.75" customHeight="1">
      <c r="A1022" s="4">
        <v>1019.0</v>
      </c>
      <c r="B1022" s="4" t="s">
        <v>2056</v>
      </c>
      <c r="C1022" s="4" t="s">
        <v>2057</v>
      </c>
      <c r="D1022" s="4" t="s">
        <v>36</v>
      </c>
      <c r="E1022" s="6">
        <v>0.0</v>
      </c>
      <c r="F1022" s="6">
        <v>0.0</v>
      </c>
      <c r="G1022" s="6">
        <v>0.0</v>
      </c>
      <c r="H1022" s="6">
        <v>104218.0</v>
      </c>
    </row>
    <row r="1023" ht="15.75" customHeight="1">
      <c r="A1023" s="4">
        <v>1020.0</v>
      </c>
      <c r="B1023" s="4" t="s">
        <v>2058</v>
      </c>
      <c r="C1023" s="4" t="s">
        <v>2059</v>
      </c>
      <c r="D1023" s="4" t="s">
        <v>36</v>
      </c>
      <c r="E1023" s="6">
        <v>0.0</v>
      </c>
      <c r="F1023" s="6">
        <v>0.0</v>
      </c>
      <c r="G1023" s="6">
        <v>0.0</v>
      </c>
      <c r="H1023" s="6">
        <v>104218.0</v>
      </c>
    </row>
    <row r="1024" ht="15.75" customHeight="1">
      <c r="A1024" s="9">
        <v>1021.0</v>
      </c>
      <c r="B1024" s="9" t="s">
        <v>2060</v>
      </c>
      <c r="C1024" s="10" t="s">
        <v>2061</v>
      </c>
      <c r="D1024" s="9"/>
      <c r="E1024" s="11"/>
      <c r="F1024" s="11"/>
      <c r="G1024" s="11"/>
      <c r="H1024" s="11"/>
    </row>
    <row r="1025" ht="15.75" customHeight="1">
      <c r="A1025" s="4">
        <v>1022.0</v>
      </c>
      <c r="B1025" s="4" t="s">
        <v>2062</v>
      </c>
      <c r="C1025" s="4" t="s">
        <v>2063</v>
      </c>
      <c r="D1025" s="4" t="s">
        <v>36</v>
      </c>
      <c r="E1025" s="6">
        <v>0.0</v>
      </c>
      <c r="F1025" s="6">
        <v>0.0</v>
      </c>
      <c r="G1025" s="6">
        <v>0.0</v>
      </c>
      <c r="H1025" s="6">
        <v>107343.0</v>
      </c>
    </row>
    <row r="1026" ht="15.75" customHeight="1">
      <c r="A1026" s="4">
        <v>1023.0</v>
      </c>
      <c r="B1026" s="4" t="s">
        <v>2064</v>
      </c>
      <c r="C1026" s="4" t="s">
        <v>2065</v>
      </c>
      <c r="D1026" s="4" t="s">
        <v>36</v>
      </c>
      <c r="E1026" s="6">
        <v>0.0</v>
      </c>
      <c r="F1026" s="6">
        <v>0.0</v>
      </c>
      <c r="G1026" s="6">
        <v>0.0</v>
      </c>
      <c r="H1026" s="6">
        <v>107343.0</v>
      </c>
    </row>
    <row r="1027" ht="15.75" customHeight="1">
      <c r="A1027" s="4">
        <v>1024.0</v>
      </c>
      <c r="B1027" s="4" t="s">
        <v>2066</v>
      </c>
      <c r="C1027" s="4" t="s">
        <v>2067</v>
      </c>
      <c r="D1027" s="4" t="s">
        <v>36</v>
      </c>
      <c r="E1027" s="6">
        <v>0.0</v>
      </c>
      <c r="F1027" s="6">
        <v>0.0</v>
      </c>
      <c r="G1027" s="6">
        <v>0.0</v>
      </c>
      <c r="H1027" s="6">
        <v>107343.0</v>
      </c>
    </row>
    <row r="1028" ht="15.75" customHeight="1">
      <c r="A1028" s="4">
        <v>1025.0</v>
      </c>
      <c r="B1028" s="4" t="s">
        <v>2068</v>
      </c>
      <c r="C1028" s="4" t="s">
        <v>2069</v>
      </c>
      <c r="D1028" s="4" t="s">
        <v>36</v>
      </c>
      <c r="E1028" s="6">
        <v>0.0</v>
      </c>
      <c r="F1028" s="6">
        <v>0.0</v>
      </c>
      <c r="G1028" s="6">
        <v>0.0</v>
      </c>
      <c r="H1028" s="6">
        <v>107343.0</v>
      </c>
    </row>
    <row r="1029" ht="15.75" customHeight="1">
      <c r="A1029" s="4">
        <v>1026.0</v>
      </c>
      <c r="B1029" s="4" t="s">
        <v>2070</v>
      </c>
      <c r="C1029" s="4" t="s">
        <v>2071</v>
      </c>
      <c r="D1029" s="4" t="s">
        <v>36</v>
      </c>
      <c r="E1029" s="6">
        <v>0.0</v>
      </c>
      <c r="F1029" s="6">
        <v>0.0</v>
      </c>
      <c r="G1029" s="6">
        <v>0.0</v>
      </c>
      <c r="H1029" s="6">
        <v>107343.0</v>
      </c>
    </row>
    <row r="1030" ht="15.75" customHeight="1">
      <c r="A1030" s="4">
        <v>1027.0</v>
      </c>
      <c r="B1030" s="4" t="s">
        <v>2072</v>
      </c>
      <c r="C1030" s="4" t="s">
        <v>2073</v>
      </c>
      <c r="D1030" s="4" t="s">
        <v>36</v>
      </c>
      <c r="E1030" s="6">
        <v>0.0</v>
      </c>
      <c r="F1030" s="6">
        <v>0.0</v>
      </c>
      <c r="G1030" s="6">
        <v>0.0</v>
      </c>
      <c r="H1030" s="6">
        <v>107343.0</v>
      </c>
    </row>
    <row r="1031" ht="15.75" customHeight="1">
      <c r="A1031" s="4">
        <v>1028.0</v>
      </c>
      <c r="B1031" s="4" t="s">
        <v>2074</v>
      </c>
      <c r="C1031" s="4" t="s">
        <v>2075</v>
      </c>
      <c r="D1031" s="4" t="s">
        <v>36</v>
      </c>
      <c r="E1031" s="6">
        <v>0.0</v>
      </c>
      <c r="F1031" s="6">
        <v>0.0</v>
      </c>
      <c r="G1031" s="6">
        <v>0.0</v>
      </c>
      <c r="H1031" s="6">
        <v>107343.0</v>
      </c>
    </row>
    <row r="1032" ht="15.75" customHeight="1">
      <c r="A1032" s="4">
        <v>1029.0</v>
      </c>
      <c r="B1032" s="4" t="s">
        <v>2076</v>
      </c>
      <c r="C1032" s="4" t="s">
        <v>2077</v>
      </c>
      <c r="D1032" s="4" t="s">
        <v>36</v>
      </c>
      <c r="E1032" s="6">
        <v>0.0</v>
      </c>
      <c r="F1032" s="6">
        <v>0.0</v>
      </c>
      <c r="G1032" s="6">
        <v>0.0</v>
      </c>
      <c r="H1032" s="6">
        <v>107343.0</v>
      </c>
    </row>
    <row r="1033" ht="15.75" customHeight="1">
      <c r="A1033" s="4">
        <v>1030.0</v>
      </c>
      <c r="B1033" s="4" t="s">
        <v>2078</v>
      </c>
      <c r="C1033" s="4" t="s">
        <v>2079</v>
      </c>
      <c r="D1033" s="4" t="s">
        <v>36</v>
      </c>
      <c r="E1033" s="6">
        <v>0.0</v>
      </c>
      <c r="F1033" s="6">
        <v>0.0</v>
      </c>
      <c r="G1033" s="6">
        <v>0.0</v>
      </c>
      <c r="H1033" s="6">
        <v>107343.0</v>
      </c>
    </row>
    <row r="1034" ht="15.75" customHeight="1">
      <c r="A1034" s="4">
        <v>1031.0</v>
      </c>
      <c r="B1034" s="4" t="s">
        <v>2080</v>
      </c>
      <c r="C1034" s="4" t="s">
        <v>2081</v>
      </c>
      <c r="D1034" s="4" t="s">
        <v>36</v>
      </c>
      <c r="E1034" s="6">
        <v>0.0</v>
      </c>
      <c r="F1034" s="6">
        <v>0.0</v>
      </c>
      <c r="G1034" s="6">
        <v>0.0</v>
      </c>
      <c r="H1034" s="6">
        <v>107343.0</v>
      </c>
    </row>
    <row r="1035" ht="15.75" customHeight="1">
      <c r="A1035" s="4">
        <v>1032.0</v>
      </c>
      <c r="B1035" s="4" t="s">
        <v>2082</v>
      </c>
      <c r="C1035" s="4" t="s">
        <v>2083</v>
      </c>
      <c r="D1035" s="4" t="s">
        <v>36</v>
      </c>
      <c r="E1035" s="6">
        <v>0.0</v>
      </c>
      <c r="F1035" s="6">
        <v>0.0</v>
      </c>
      <c r="G1035" s="6">
        <v>0.0</v>
      </c>
      <c r="H1035" s="6">
        <v>107343.0</v>
      </c>
    </row>
    <row r="1036" ht="15.75" customHeight="1">
      <c r="A1036" s="4">
        <v>1033.0</v>
      </c>
      <c r="B1036" s="4" t="s">
        <v>2084</v>
      </c>
      <c r="C1036" s="4" t="s">
        <v>2085</v>
      </c>
      <c r="D1036" s="4" t="s">
        <v>36</v>
      </c>
      <c r="E1036" s="6">
        <v>0.0</v>
      </c>
      <c r="F1036" s="6">
        <v>0.0</v>
      </c>
      <c r="G1036" s="6">
        <v>0.0</v>
      </c>
      <c r="H1036" s="6">
        <v>107343.0</v>
      </c>
    </row>
    <row r="1037" ht="15.75" customHeight="1">
      <c r="A1037" s="4">
        <v>1034.0</v>
      </c>
      <c r="B1037" s="4" t="s">
        <v>2086</v>
      </c>
      <c r="C1037" s="4" t="s">
        <v>2087</v>
      </c>
      <c r="D1037" s="4" t="s">
        <v>36</v>
      </c>
      <c r="E1037" s="6">
        <v>0.0</v>
      </c>
      <c r="F1037" s="6">
        <v>0.0</v>
      </c>
      <c r="G1037" s="6">
        <v>0.0</v>
      </c>
      <c r="H1037" s="6">
        <v>107343.0</v>
      </c>
    </row>
    <row r="1038" ht="15.75" customHeight="1">
      <c r="A1038" s="4">
        <v>1035.0</v>
      </c>
      <c r="B1038" s="4" t="s">
        <v>2088</v>
      </c>
      <c r="C1038" s="4" t="s">
        <v>2089</v>
      </c>
      <c r="D1038" s="4" t="s">
        <v>36</v>
      </c>
      <c r="E1038" s="6">
        <v>0.0</v>
      </c>
      <c r="F1038" s="6">
        <v>0.0</v>
      </c>
      <c r="G1038" s="6">
        <v>0.0</v>
      </c>
      <c r="H1038" s="6">
        <v>107343.0</v>
      </c>
    </row>
    <row r="1039" ht="15.75" customHeight="1">
      <c r="A1039" s="4">
        <v>1036.0</v>
      </c>
      <c r="B1039" s="4" t="s">
        <v>2090</v>
      </c>
      <c r="C1039" s="4" t="s">
        <v>2091</v>
      </c>
      <c r="D1039" s="4" t="s">
        <v>36</v>
      </c>
      <c r="E1039" s="6">
        <v>0.0</v>
      </c>
      <c r="F1039" s="6">
        <v>0.0</v>
      </c>
      <c r="G1039" s="6">
        <v>0.0</v>
      </c>
      <c r="H1039" s="6">
        <v>107343.0</v>
      </c>
    </row>
    <row r="1040" ht="15.75" customHeight="1">
      <c r="A1040" s="4">
        <v>1037.0</v>
      </c>
      <c r="B1040" s="4" t="s">
        <v>2092</v>
      </c>
      <c r="C1040" s="4" t="s">
        <v>2093</v>
      </c>
      <c r="D1040" s="4" t="s">
        <v>36</v>
      </c>
      <c r="E1040" s="6">
        <v>0.0</v>
      </c>
      <c r="F1040" s="6">
        <v>0.0</v>
      </c>
      <c r="G1040" s="6">
        <v>0.0</v>
      </c>
      <c r="H1040" s="6">
        <v>107343.0</v>
      </c>
    </row>
    <row r="1041" ht="15.75" customHeight="1">
      <c r="A1041" s="4">
        <v>1038.0</v>
      </c>
      <c r="B1041" s="4" t="s">
        <v>2094</v>
      </c>
      <c r="C1041" s="4" t="s">
        <v>2095</v>
      </c>
      <c r="D1041" s="4" t="s">
        <v>36</v>
      </c>
      <c r="E1041" s="6">
        <v>0.0</v>
      </c>
      <c r="F1041" s="6">
        <v>0.0</v>
      </c>
      <c r="G1041" s="6">
        <v>0.0</v>
      </c>
      <c r="H1041" s="6">
        <v>107343.0</v>
      </c>
    </row>
    <row r="1042" ht="15.75" customHeight="1">
      <c r="A1042" s="4">
        <v>1039.0</v>
      </c>
      <c r="B1042" s="4" t="s">
        <v>2096</v>
      </c>
      <c r="C1042" s="4" t="s">
        <v>2097</v>
      </c>
      <c r="D1042" s="4" t="s">
        <v>36</v>
      </c>
      <c r="E1042" s="6">
        <v>0.0</v>
      </c>
      <c r="F1042" s="6">
        <v>0.0</v>
      </c>
      <c r="G1042" s="6">
        <v>0.0</v>
      </c>
      <c r="H1042" s="6">
        <v>107343.0</v>
      </c>
    </row>
    <row r="1043" ht="15.75" customHeight="1">
      <c r="A1043" s="4">
        <v>1040.0</v>
      </c>
      <c r="B1043" s="4" t="s">
        <v>2098</v>
      </c>
      <c r="C1043" s="4" t="s">
        <v>2099</v>
      </c>
      <c r="D1043" s="4" t="s">
        <v>36</v>
      </c>
      <c r="E1043" s="6">
        <v>0.0</v>
      </c>
      <c r="F1043" s="6">
        <v>0.0</v>
      </c>
      <c r="G1043" s="6">
        <v>0.0</v>
      </c>
      <c r="H1043" s="6">
        <v>107343.0</v>
      </c>
    </row>
    <row r="1044" ht="15.75" customHeight="1">
      <c r="A1044" s="9">
        <v>1041.0</v>
      </c>
      <c r="B1044" s="9" t="s">
        <v>2100</v>
      </c>
      <c r="C1044" s="10" t="s">
        <v>2101</v>
      </c>
      <c r="D1044" s="9"/>
      <c r="E1044" s="11"/>
      <c r="F1044" s="11"/>
      <c r="G1044" s="11"/>
      <c r="H1044" s="11"/>
    </row>
    <row r="1045" ht="15.75" customHeight="1">
      <c r="A1045" s="4">
        <v>1042.0</v>
      </c>
      <c r="B1045" s="4" t="s">
        <v>2102</v>
      </c>
      <c r="C1045" s="4" t="s">
        <v>2103</v>
      </c>
      <c r="D1045" s="4" t="s">
        <v>36</v>
      </c>
      <c r="E1045" s="6">
        <v>10097.5</v>
      </c>
      <c r="F1045" s="6">
        <v>15445.3</v>
      </c>
      <c r="G1045" s="6">
        <v>0.0</v>
      </c>
      <c r="H1045" s="6">
        <v>28097.0</v>
      </c>
    </row>
    <row r="1046" ht="15.75" customHeight="1">
      <c r="A1046" s="4">
        <v>1043.0</v>
      </c>
      <c r="B1046" s="4" t="s">
        <v>2104</v>
      </c>
      <c r="C1046" s="4" t="s">
        <v>2105</v>
      </c>
      <c r="D1046" s="4" t="s">
        <v>36</v>
      </c>
      <c r="E1046" s="6">
        <v>10097.5</v>
      </c>
      <c r="F1046" s="6">
        <v>15445.3</v>
      </c>
      <c r="G1046" s="6">
        <v>0.0</v>
      </c>
      <c r="H1046" s="6">
        <v>28097.0</v>
      </c>
    </row>
    <row r="1047" ht="15.75" customHeight="1">
      <c r="A1047" s="4">
        <v>1044.0</v>
      </c>
      <c r="B1047" s="4" t="s">
        <v>2106</v>
      </c>
      <c r="C1047" s="4" t="s">
        <v>2107</v>
      </c>
      <c r="D1047" s="4" t="s">
        <v>36</v>
      </c>
      <c r="E1047" s="6">
        <v>10097.5</v>
      </c>
      <c r="F1047" s="6">
        <v>15445.3</v>
      </c>
      <c r="G1047" s="6">
        <v>0.0</v>
      </c>
      <c r="H1047" s="6">
        <v>28097.0</v>
      </c>
    </row>
    <row r="1048" ht="15.75" customHeight="1">
      <c r="A1048" s="4">
        <v>1045.0</v>
      </c>
      <c r="B1048" s="4" t="s">
        <v>2108</v>
      </c>
      <c r="C1048" s="4" t="s">
        <v>2109</v>
      </c>
      <c r="D1048" s="4" t="s">
        <v>36</v>
      </c>
      <c r="E1048" s="6">
        <v>10097.5</v>
      </c>
      <c r="F1048" s="6">
        <v>15445.3</v>
      </c>
      <c r="G1048" s="6">
        <v>0.0</v>
      </c>
      <c r="H1048" s="6">
        <v>28097.0</v>
      </c>
    </row>
    <row r="1049" ht="15.75" customHeight="1">
      <c r="A1049" s="4">
        <v>1046.0</v>
      </c>
      <c r="B1049" s="4" t="s">
        <v>2110</v>
      </c>
      <c r="C1049" s="4" t="s">
        <v>2111</v>
      </c>
      <c r="D1049" s="4" t="s">
        <v>36</v>
      </c>
      <c r="E1049" s="6">
        <v>10097.5</v>
      </c>
      <c r="F1049" s="6">
        <v>15445.3</v>
      </c>
      <c r="G1049" s="6">
        <v>0.0</v>
      </c>
      <c r="H1049" s="6">
        <v>28097.0</v>
      </c>
    </row>
    <row r="1050" ht="15.75" customHeight="1">
      <c r="A1050" s="9">
        <v>1047.0</v>
      </c>
      <c r="B1050" s="9" t="s">
        <v>2112</v>
      </c>
      <c r="C1050" s="10" t="s">
        <v>2113</v>
      </c>
      <c r="D1050" s="9"/>
      <c r="E1050" s="11"/>
      <c r="F1050" s="11"/>
      <c r="G1050" s="11"/>
      <c r="H1050" s="11"/>
    </row>
    <row r="1051" ht="15.75" customHeight="1">
      <c r="A1051" s="4">
        <v>1048.0</v>
      </c>
      <c r="B1051" s="4" t="s">
        <v>2114</v>
      </c>
      <c r="C1051" s="4" t="s">
        <v>2115</v>
      </c>
      <c r="D1051" s="4" t="s">
        <v>36</v>
      </c>
      <c r="E1051" s="6">
        <v>6760.0</v>
      </c>
      <c r="F1051" s="6">
        <v>26850.0</v>
      </c>
      <c r="G1051" s="6">
        <v>0.0</v>
      </c>
      <c r="H1051" s="6">
        <v>36971.0</v>
      </c>
    </row>
    <row r="1052" ht="15.75" customHeight="1">
      <c r="A1052" s="4">
        <v>1049.0</v>
      </c>
      <c r="B1052" s="4" t="s">
        <v>2116</v>
      </c>
      <c r="C1052" s="4" t="s">
        <v>2117</v>
      </c>
      <c r="D1052" s="4" t="s">
        <v>36</v>
      </c>
      <c r="E1052" s="6">
        <v>6760.0</v>
      </c>
      <c r="F1052" s="6">
        <v>31850.0</v>
      </c>
      <c r="G1052" s="6">
        <v>0.0</v>
      </c>
      <c r="H1052" s="6">
        <v>42471.0</v>
      </c>
    </row>
    <row r="1053" ht="15.75" customHeight="1">
      <c r="A1053" s="4">
        <v>1050.0</v>
      </c>
      <c r="B1053" s="4" t="s">
        <v>2118</v>
      </c>
      <c r="C1053" s="4" t="s">
        <v>2119</v>
      </c>
      <c r="D1053" s="4" t="s">
        <v>36</v>
      </c>
      <c r="E1053" s="6">
        <v>6760.0</v>
      </c>
      <c r="F1053" s="6">
        <v>35850.0</v>
      </c>
      <c r="G1053" s="6">
        <v>0.0</v>
      </c>
      <c r="H1053" s="6">
        <v>46871.0</v>
      </c>
    </row>
    <row r="1054" ht="15.75" customHeight="1">
      <c r="A1054" s="4">
        <v>1051.0</v>
      </c>
      <c r="B1054" s="4" t="s">
        <v>2120</v>
      </c>
      <c r="C1054" s="4" t="s">
        <v>2121</v>
      </c>
      <c r="D1054" s="4" t="s">
        <v>36</v>
      </c>
      <c r="E1054" s="6">
        <v>6760.0</v>
      </c>
      <c r="F1054" s="6">
        <v>33850.0</v>
      </c>
      <c r="G1054" s="6">
        <v>0.0</v>
      </c>
      <c r="H1054" s="6">
        <v>44671.0</v>
      </c>
    </row>
    <row r="1055" ht="15.75" customHeight="1">
      <c r="A1055" s="9">
        <v>1052.0</v>
      </c>
      <c r="B1055" s="9" t="s">
        <v>2122</v>
      </c>
      <c r="C1055" s="10" t="s">
        <v>2123</v>
      </c>
      <c r="D1055" s="9"/>
      <c r="E1055" s="11"/>
      <c r="F1055" s="11"/>
      <c r="G1055" s="11"/>
      <c r="H1055" s="11"/>
    </row>
    <row r="1056" ht="15.75" customHeight="1">
      <c r="A1056" s="4">
        <v>1053.0</v>
      </c>
      <c r="B1056" s="4" t="s">
        <v>2124</v>
      </c>
      <c r="C1056" s="4" t="s">
        <v>2125</v>
      </c>
      <c r="D1056" s="4" t="s">
        <v>36</v>
      </c>
      <c r="E1056" s="6">
        <v>259.125</v>
      </c>
      <c r="F1056" s="6">
        <v>124940.0</v>
      </c>
      <c r="G1056" s="6">
        <v>175.0</v>
      </c>
      <c r="H1056" s="6">
        <v>137911.0</v>
      </c>
    </row>
    <row r="1057" ht="15.75" customHeight="1">
      <c r="A1057" s="4">
        <v>1054.0</v>
      </c>
      <c r="B1057" s="4" t="s">
        <v>2126</v>
      </c>
      <c r="C1057" s="4" t="s">
        <v>2127</v>
      </c>
      <c r="D1057" s="4" t="s">
        <v>36</v>
      </c>
      <c r="E1057" s="6">
        <v>14410.0</v>
      </c>
      <c r="F1057" s="6">
        <v>124946.0</v>
      </c>
      <c r="G1057" s="6">
        <v>0.0</v>
      </c>
      <c r="H1057" s="6">
        <v>153291.0</v>
      </c>
    </row>
    <row r="1058" ht="15.75" customHeight="1">
      <c r="A1058" s="4">
        <v>1055.0</v>
      </c>
      <c r="B1058" s="4" t="s">
        <v>2128</v>
      </c>
      <c r="C1058" s="4" t="s">
        <v>2129</v>
      </c>
      <c r="D1058" s="4" t="s">
        <v>36</v>
      </c>
      <c r="E1058" s="6">
        <v>519.65</v>
      </c>
      <c r="F1058" s="6">
        <v>162440.0</v>
      </c>
      <c r="G1058" s="6">
        <v>175.0</v>
      </c>
      <c r="H1058" s="6">
        <v>179448.0</v>
      </c>
    </row>
    <row r="1059" ht="15.75" customHeight="1">
      <c r="A1059" s="4">
        <v>1056.0</v>
      </c>
      <c r="B1059" s="4" t="s">
        <v>2130</v>
      </c>
      <c r="C1059" s="4" t="s">
        <v>2131</v>
      </c>
      <c r="D1059" s="4" t="s">
        <v>36</v>
      </c>
      <c r="E1059" s="6">
        <v>12527.5</v>
      </c>
      <c r="F1059" s="6">
        <v>162440.0</v>
      </c>
      <c r="G1059" s="6">
        <v>0.0</v>
      </c>
      <c r="H1059" s="6">
        <v>192464.0</v>
      </c>
    </row>
    <row r="1060" ht="15.75" customHeight="1">
      <c r="A1060" s="4">
        <v>1057.0</v>
      </c>
      <c r="B1060" s="4" t="s">
        <v>2132</v>
      </c>
      <c r="C1060" s="4" t="s">
        <v>2133</v>
      </c>
      <c r="D1060" s="4" t="s">
        <v>36</v>
      </c>
      <c r="E1060" s="6">
        <v>0.0</v>
      </c>
      <c r="F1060" s="6">
        <v>0.0</v>
      </c>
      <c r="G1060" s="6">
        <v>0.0</v>
      </c>
      <c r="H1060" s="6">
        <v>222245.0</v>
      </c>
    </row>
    <row r="1061" ht="15.75" customHeight="1">
      <c r="A1061" s="4">
        <v>1058.0</v>
      </c>
      <c r="B1061" s="4" t="s">
        <v>2134</v>
      </c>
      <c r="C1061" s="4" t="s">
        <v>2135</v>
      </c>
      <c r="D1061" s="4" t="s">
        <v>36</v>
      </c>
      <c r="E1061" s="6">
        <v>0.0</v>
      </c>
      <c r="F1061" s="6">
        <v>0.0</v>
      </c>
      <c r="G1061" s="6">
        <v>0.0</v>
      </c>
      <c r="H1061" s="6">
        <v>283410.0</v>
      </c>
    </row>
    <row r="1062" ht="15.75" customHeight="1">
      <c r="A1062" s="4">
        <v>1059.0</v>
      </c>
      <c r="B1062" s="4" t="s">
        <v>2136</v>
      </c>
      <c r="C1062" s="4" t="s">
        <v>2137</v>
      </c>
      <c r="D1062" s="4" t="s">
        <v>36</v>
      </c>
      <c r="E1062" s="6">
        <v>259.125</v>
      </c>
      <c r="F1062" s="6">
        <v>126630.0</v>
      </c>
      <c r="G1062" s="6">
        <v>175.0</v>
      </c>
      <c r="H1062" s="6">
        <v>139770.0</v>
      </c>
    </row>
    <row r="1063" ht="15.75" customHeight="1">
      <c r="A1063" s="4">
        <v>1060.0</v>
      </c>
      <c r="B1063" s="4" t="s">
        <v>2138</v>
      </c>
      <c r="C1063" s="4" t="s">
        <v>2139</v>
      </c>
      <c r="D1063" s="4" t="s">
        <v>36</v>
      </c>
      <c r="E1063" s="6">
        <v>14410.0</v>
      </c>
      <c r="F1063" s="6">
        <v>126636.0</v>
      </c>
      <c r="G1063" s="6">
        <v>0.0</v>
      </c>
      <c r="H1063" s="6">
        <v>155150.0</v>
      </c>
    </row>
    <row r="1064" ht="15.75" customHeight="1">
      <c r="A1064" s="4">
        <v>1061.0</v>
      </c>
      <c r="B1064" s="4" t="s">
        <v>2140</v>
      </c>
      <c r="C1064" s="4" t="s">
        <v>2141</v>
      </c>
      <c r="D1064" s="4" t="s">
        <v>36</v>
      </c>
      <c r="E1064" s="6">
        <v>519.65</v>
      </c>
      <c r="F1064" s="6">
        <v>164130.0</v>
      </c>
      <c r="G1064" s="6">
        <v>175.0</v>
      </c>
      <c r="H1064" s="6">
        <v>181307.0</v>
      </c>
    </row>
    <row r="1065" ht="15.75" customHeight="1">
      <c r="A1065" s="4">
        <v>1062.0</v>
      </c>
      <c r="B1065" s="4" t="s">
        <v>2142</v>
      </c>
      <c r="C1065" s="4" t="s">
        <v>2143</v>
      </c>
      <c r="D1065" s="4" t="s">
        <v>36</v>
      </c>
      <c r="E1065" s="6">
        <v>12527.5</v>
      </c>
      <c r="F1065" s="6">
        <v>164130.0</v>
      </c>
      <c r="G1065" s="6">
        <v>0.0</v>
      </c>
      <c r="H1065" s="6">
        <v>194323.0</v>
      </c>
    </row>
    <row r="1066" ht="15.75" customHeight="1">
      <c r="A1066" s="4">
        <v>1063.0</v>
      </c>
      <c r="B1066" s="4" t="s">
        <v>2144</v>
      </c>
      <c r="C1066" s="4" t="s">
        <v>2145</v>
      </c>
      <c r="D1066" s="4" t="s">
        <v>36</v>
      </c>
      <c r="E1066" s="6">
        <v>0.0</v>
      </c>
      <c r="F1066" s="6">
        <v>0.0</v>
      </c>
      <c r="G1066" s="6">
        <v>0.0</v>
      </c>
      <c r="H1066" s="6">
        <v>223237.0</v>
      </c>
    </row>
    <row r="1067" ht="15.75" customHeight="1">
      <c r="A1067" s="4">
        <v>1064.0</v>
      </c>
      <c r="B1067" s="4" t="s">
        <v>2146</v>
      </c>
      <c r="C1067" s="4" t="s">
        <v>2147</v>
      </c>
      <c r="D1067" s="4" t="s">
        <v>36</v>
      </c>
      <c r="E1067" s="6">
        <v>0.0</v>
      </c>
      <c r="F1067" s="6">
        <v>0.0</v>
      </c>
      <c r="G1067" s="6">
        <v>0.0</v>
      </c>
      <c r="H1067" s="6">
        <v>285269.0</v>
      </c>
    </row>
    <row r="1068" ht="15.75" customHeight="1">
      <c r="A1068" s="9">
        <v>1065.0</v>
      </c>
      <c r="B1068" s="9" t="s">
        <v>2148</v>
      </c>
      <c r="C1068" s="10" t="s">
        <v>2149</v>
      </c>
      <c r="D1068" s="9"/>
      <c r="E1068" s="11"/>
      <c r="F1068" s="11"/>
      <c r="G1068" s="11"/>
      <c r="H1068" s="11"/>
    </row>
    <row r="1069" ht="15.75" customHeight="1">
      <c r="A1069" s="9">
        <v>1066.0</v>
      </c>
      <c r="B1069" s="9" t="s">
        <v>2150</v>
      </c>
      <c r="C1069" s="10" t="s">
        <v>2151</v>
      </c>
      <c r="D1069" s="9"/>
      <c r="E1069" s="11"/>
      <c r="F1069" s="11"/>
      <c r="G1069" s="11"/>
      <c r="H1069" s="11"/>
    </row>
    <row r="1070" ht="15.75" customHeight="1">
      <c r="A1070" s="9">
        <v>1067.0</v>
      </c>
      <c r="B1070" s="9" t="s">
        <v>2152</v>
      </c>
      <c r="C1070" s="10" t="s">
        <v>2153</v>
      </c>
      <c r="D1070" s="9"/>
      <c r="E1070" s="11"/>
      <c r="F1070" s="11"/>
      <c r="G1070" s="11"/>
      <c r="H1070" s="11"/>
    </row>
    <row r="1071" ht="15.75" customHeight="1">
      <c r="A1071" s="9">
        <v>1068.0</v>
      </c>
      <c r="B1071" s="9" t="s">
        <v>2154</v>
      </c>
      <c r="C1071" s="10" t="s">
        <v>2155</v>
      </c>
      <c r="D1071" s="9"/>
      <c r="E1071" s="11"/>
      <c r="F1071" s="11"/>
      <c r="G1071" s="11"/>
      <c r="H1071" s="11"/>
    </row>
    <row r="1072" ht="15.75" customHeight="1">
      <c r="A1072" s="9">
        <v>1069.0</v>
      </c>
      <c r="B1072" s="9" t="s">
        <v>2156</v>
      </c>
      <c r="C1072" s="10" t="s">
        <v>2157</v>
      </c>
      <c r="D1072" s="9"/>
      <c r="E1072" s="11"/>
      <c r="F1072" s="11"/>
      <c r="G1072" s="11"/>
      <c r="H1072" s="11"/>
    </row>
    <row r="1073" ht="15.75" customHeight="1">
      <c r="A1073" s="9">
        <v>1070.0</v>
      </c>
      <c r="B1073" s="9" t="s">
        <v>2158</v>
      </c>
      <c r="C1073" s="10" t="s">
        <v>2159</v>
      </c>
      <c r="D1073" s="9"/>
      <c r="E1073" s="11"/>
      <c r="F1073" s="11"/>
      <c r="G1073" s="11"/>
      <c r="H1073" s="11"/>
    </row>
    <row r="1074" ht="15.75" customHeight="1">
      <c r="A1074" s="9">
        <v>1071.0</v>
      </c>
      <c r="B1074" s="9" t="s">
        <v>2160</v>
      </c>
      <c r="C1074" s="10" t="s">
        <v>2161</v>
      </c>
      <c r="D1074" s="9"/>
      <c r="E1074" s="11"/>
      <c r="F1074" s="11"/>
      <c r="G1074" s="11"/>
      <c r="H1074" s="11"/>
    </row>
    <row r="1075" ht="15.75" customHeight="1">
      <c r="A1075" s="9">
        <v>1072.0</v>
      </c>
      <c r="B1075" s="9" t="s">
        <v>2162</v>
      </c>
      <c r="C1075" s="10" t="s">
        <v>2163</v>
      </c>
      <c r="D1075" s="9"/>
      <c r="E1075" s="11"/>
      <c r="F1075" s="11"/>
      <c r="G1075" s="11"/>
      <c r="H1075" s="11"/>
    </row>
    <row r="1076" ht="15.75" customHeight="1">
      <c r="A1076" s="9">
        <v>1073.0</v>
      </c>
      <c r="B1076" s="9" t="s">
        <v>2164</v>
      </c>
      <c r="C1076" s="10" t="s">
        <v>2165</v>
      </c>
      <c r="D1076" s="9"/>
      <c r="E1076" s="11"/>
      <c r="F1076" s="11"/>
      <c r="G1076" s="11"/>
      <c r="H1076" s="11"/>
    </row>
    <row r="1077" ht="15.75" customHeight="1">
      <c r="A1077" s="9">
        <v>1074.0</v>
      </c>
      <c r="B1077" s="9" t="s">
        <v>2166</v>
      </c>
      <c r="C1077" s="10" t="s">
        <v>2167</v>
      </c>
      <c r="D1077" s="9"/>
      <c r="E1077" s="11"/>
      <c r="F1077" s="11"/>
      <c r="G1077" s="11"/>
      <c r="H1077" s="11"/>
    </row>
    <row r="1078" ht="15.75" customHeight="1">
      <c r="A1078" s="9">
        <v>1075.0</v>
      </c>
      <c r="B1078" s="9" t="s">
        <v>2168</v>
      </c>
      <c r="C1078" s="10" t="s">
        <v>2169</v>
      </c>
      <c r="D1078" s="9"/>
      <c r="E1078" s="11"/>
      <c r="F1078" s="11"/>
      <c r="G1078" s="11"/>
      <c r="H1078" s="11"/>
    </row>
    <row r="1079" ht="15.75" customHeight="1">
      <c r="A1079" s="9">
        <v>1076.0</v>
      </c>
      <c r="B1079" s="9" t="s">
        <v>2170</v>
      </c>
      <c r="C1079" s="10" t="s">
        <v>2171</v>
      </c>
      <c r="D1079" s="9"/>
      <c r="E1079" s="11"/>
      <c r="F1079" s="11"/>
      <c r="G1079" s="11"/>
      <c r="H1079" s="11"/>
    </row>
    <row r="1080" ht="15.75" customHeight="1">
      <c r="A1080" s="9">
        <v>1077.0</v>
      </c>
      <c r="B1080" s="9" t="s">
        <v>2172</v>
      </c>
      <c r="C1080" s="10" t="s">
        <v>2173</v>
      </c>
      <c r="D1080" s="9"/>
      <c r="E1080" s="11"/>
      <c r="F1080" s="11"/>
      <c r="G1080" s="11"/>
      <c r="H1080" s="11"/>
    </row>
    <row r="1081" ht="15.75" customHeight="1">
      <c r="A1081" s="4">
        <v>1078.0</v>
      </c>
      <c r="B1081" s="4" t="s">
        <v>2174</v>
      </c>
      <c r="C1081" s="4" t="s">
        <v>2175</v>
      </c>
      <c r="D1081" s="4" t="s">
        <v>116</v>
      </c>
      <c r="E1081" s="6">
        <v>43200.0</v>
      </c>
      <c r="F1081" s="6">
        <v>3675.0</v>
      </c>
      <c r="G1081" s="6">
        <v>21420.0</v>
      </c>
      <c r="H1081" s="6">
        <v>75124.0</v>
      </c>
    </row>
    <row r="1082" ht="15.75" customHeight="1">
      <c r="A1082" s="4">
        <v>1079.0</v>
      </c>
      <c r="B1082" s="4" t="s">
        <v>2176</v>
      </c>
      <c r="C1082" s="4" t="s">
        <v>2177</v>
      </c>
      <c r="D1082" s="4" t="s">
        <v>36</v>
      </c>
      <c r="E1082" s="6">
        <v>43200.0</v>
      </c>
      <c r="F1082" s="6">
        <v>41700.0</v>
      </c>
      <c r="G1082" s="6">
        <v>21420.0</v>
      </c>
      <c r="H1082" s="6">
        <v>0.0</v>
      </c>
    </row>
    <row r="1083" ht="15.75" customHeight="1">
      <c r="A1083" s="4">
        <v>1080.0</v>
      </c>
      <c r="B1083" s="4" t="s">
        <v>2178</v>
      </c>
      <c r="C1083" s="4" t="s">
        <v>2179</v>
      </c>
      <c r="D1083" s="4" t="s">
        <v>116</v>
      </c>
      <c r="E1083" s="6">
        <v>43200.0</v>
      </c>
      <c r="F1083" s="6">
        <v>4200.0</v>
      </c>
      <c r="G1083" s="6">
        <v>21420.0</v>
      </c>
      <c r="H1083" s="6">
        <v>75702.0</v>
      </c>
    </row>
    <row r="1084" ht="15.75" customHeight="1">
      <c r="A1084" s="9">
        <v>1081.0</v>
      </c>
      <c r="B1084" s="9" t="s">
        <v>2180</v>
      </c>
      <c r="C1084" s="10" t="s">
        <v>2181</v>
      </c>
      <c r="D1084" s="9"/>
      <c r="E1084" s="11"/>
      <c r="F1084" s="11"/>
      <c r="G1084" s="11"/>
      <c r="H1084" s="11"/>
    </row>
    <row r="1085" ht="15.75" customHeight="1">
      <c r="A1085" s="4">
        <v>1082.0</v>
      </c>
      <c r="B1085" s="4" t="s">
        <v>2182</v>
      </c>
      <c r="C1085" s="4" t="s">
        <v>2183</v>
      </c>
      <c r="D1085" s="4" t="s">
        <v>2184</v>
      </c>
      <c r="E1085" s="6">
        <v>264.0</v>
      </c>
      <c r="F1085" s="6">
        <v>2750.0</v>
      </c>
      <c r="G1085" s="6">
        <v>0.0</v>
      </c>
      <c r="H1085" s="6">
        <v>3315.0</v>
      </c>
    </row>
    <row r="1086" ht="15.75" customHeight="1">
      <c r="A1086" s="4">
        <v>1083.0</v>
      </c>
      <c r="B1086" s="4" t="s">
        <v>2185</v>
      </c>
      <c r="C1086" s="4" t="s">
        <v>2186</v>
      </c>
      <c r="D1086" s="4" t="s">
        <v>36</v>
      </c>
      <c r="E1086" s="6">
        <v>44.0</v>
      </c>
      <c r="F1086" s="6">
        <v>1650.0</v>
      </c>
      <c r="G1086" s="6">
        <v>0.0</v>
      </c>
      <c r="H1086" s="6">
        <v>1863.0</v>
      </c>
    </row>
    <row r="1087" ht="15.75" customHeight="1">
      <c r="A1087" s="4">
        <v>1084.0</v>
      </c>
      <c r="B1087" s="4" t="s">
        <v>2187</v>
      </c>
      <c r="C1087" s="4" t="s">
        <v>2188</v>
      </c>
      <c r="D1087" s="4" t="s">
        <v>36</v>
      </c>
      <c r="E1087" s="6">
        <v>120.0</v>
      </c>
      <c r="F1087" s="6">
        <v>2200.0</v>
      </c>
      <c r="G1087" s="6">
        <v>0.0</v>
      </c>
      <c r="H1087" s="6">
        <v>2552.0</v>
      </c>
    </row>
    <row r="1088" ht="15.75" customHeight="1">
      <c r="A1088" s="4">
        <v>1085.0</v>
      </c>
      <c r="B1088" s="4" t="s">
        <v>2189</v>
      </c>
      <c r="C1088" s="4" t="s">
        <v>2190</v>
      </c>
      <c r="D1088" s="4" t="s">
        <v>36</v>
      </c>
      <c r="E1088" s="6">
        <v>29.6</v>
      </c>
      <c r="F1088" s="6">
        <v>1650.0</v>
      </c>
      <c r="G1088" s="6">
        <v>0.0</v>
      </c>
      <c r="H1088" s="6">
        <v>1847.0</v>
      </c>
    </row>
    <row r="1089" ht="15.75" customHeight="1">
      <c r="A1089" s="4">
        <v>1086.0</v>
      </c>
      <c r="B1089" s="4" t="s">
        <v>2191</v>
      </c>
      <c r="C1089" s="4" t="s">
        <v>2192</v>
      </c>
      <c r="D1089" s="4" t="s">
        <v>36</v>
      </c>
      <c r="E1089" s="6">
        <v>29.6</v>
      </c>
      <c r="F1089" s="6">
        <v>2200.0</v>
      </c>
      <c r="G1089" s="6">
        <v>0.0</v>
      </c>
      <c r="H1089" s="6">
        <v>2452.0</v>
      </c>
    </row>
    <row r="1090" ht="15.75" customHeight="1">
      <c r="A1090" s="9">
        <v>1087.0</v>
      </c>
      <c r="B1090" s="9" t="s">
        <v>2193</v>
      </c>
      <c r="C1090" s="10" t="s">
        <v>2194</v>
      </c>
      <c r="D1090" s="9"/>
      <c r="E1090" s="11"/>
      <c r="F1090" s="11"/>
      <c r="G1090" s="11"/>
      <c r="H1090" s="11"/>
    </row>
    <row r="1091" ht="15.75" customHeight="1">
      <c r="A1091" s="4">
        <v>1088.0</v>
      </c>
      <c r="B1091" s="4" t="s">
        <v>2195</v>
      </c>
      <c r="C1091" s="4" t="s">
        <v>2196</v>
      </c>
      <c r="D1091" s="4" t="s">
        <v>2184</v>
      </c>
      <c r="E1091" s="6">
        <v>264.0</v>
      </c>
      <c r="F1091" s="6">
        <v>5500.0</v>
      </c>
      <c r="G1091" s="6">
        <v>775.0</v>
      </c>
      <c r="H1091" s="6">
        <v>7192.0</v>
      </c>
    </row>
    <row r="1092" ht="15.75" customHeight="1">
      <c r="A1092" s="4">
        <v>1089.0</v>
      </c>
      <c r="B1092" s="4" t="s">
        <v>2197</v>
      </c>
      <c r="C1092" s="4" t="s">
        <v>2198</v>
      </c>
      <c r="D1092" s="4" t="s">
        <v>2199</v>
      </c>
      <c r="E1092" s="6">
        <v>0.0</v>
      </c>
      <c r="F1092" s="6">
        <v>0.0</v>
      </c>
      <c r="G1092" s="6">
        <v>0.0</v>
      </c>
      <c r="H1092" s="6">
        <v>4570.0</v>
      </c>
    </row>
    <row r="1093" ht="15.75" customHeight="1">
      <c r="A1093" s="4">
        <v>1090.0</v>
      </c>
      <c r="B1093" s="4" t="s">
        <v>2200</v>
      </c>
      <c r="C1093" s="4" t="s">
        <v>2201</v>
      </c>
      <c r="D1093" s="4" t="s">
        <v>2199</v>
      </c>
      <c r="E1093" s="6">
        <v>0.0</v>
      </c>
      <c r="F1093" s="6">
        <v>0.0</v>
      </c>
      <c r="G1093" s="6">
        <v>0.0</v>
      </c>
      <c r="H1093" s="6">
        <v>5780.0</v>
      </c>
    </row>
    <row r="1094" ht="15.75" customHeight="1">
      <c r="A1094" s="4">
        <v>1091.0</v>
      </c>
      <c r="B1094" s="4" t="s">
        <v>2202</v>
      </c>
      <c r="C1094" s="4" t="s">
        <v>2201</v>
      </c>
      <c r="D1094" s="4" t="s">
        <v>2199</v>
      </c>
      <c r="E1094" s="6">
        <v>0.0</v>
      </c>
      <c r="F1094" s="6">
        <v>0.0</v>
      </c>
      <c r="G1094" s="6">
        <v>0.0</v>
      </c>
      <c r="H1094" s="6">
        <v>5780.0</v>
      </c>
    </row>
    <row r="1095" ht="15.75" customHeight="1">
      <c r="A1095" s="4">
        <v>1092.0</v>
      </c>
      <c r="B1095" s="4" t="s">
        <v>2203</v>
      </c>
      <c r="C1095" s="4" t="s">
        <v>2204</v>
      </c>
      <c r="D1095" s="4" t="s">
        <v>2199</v>
      </c>
      <c r="E1095" s="6">
        <v>0.0</v>
      </c>
      <c r="F1095" s="6">
        <v>0.0</v>
      </c>
      <c r="G1095" s="6">
        <v>0.0</v>
      </c>
      <c r="H1095" s="6">
        <v>5725.0</v>
      </c>
    </row>
    <row r="1096" ht="15.75" customHeight="1">
      <c r="A1096" s="4">
        <v>1093.0</v>
      </c>
      <c r="B1096" s="4" t="s">
        <v>2205</v>
      </c>
      <c r="C1096" s="4" t="s">
        <v>2206</v>
      </c>
      <c r="D1096" s="4" t="s">
        <v>2199</v>
      </c>
      <c r="E1096" s="6">
        <v>0.0</v>
      </c>
      <c r="F1096" s="6">
        <v>0.0</v>
      </c>
      <c r="G1096" s="6">
        <v>0.0</v>
      </c>
      <c r="H1096" s="6">
        <v>7192.0</v>
      </c>
    </row>
    <row r="1097" ht="15.75" customHeight="1">
      <c r="A1097" s="4">
        <v>1094.0</v>
      </c>
      <c r="B1097" s="4" t="s">
        <v>2207</v>
      </c>
      <c r="C1097" s="4" t="s">
        <v>2208</v>
      </c>
      <c r="D1097" s="4" t="s">
        <v>2199</v>
      </c>
      <c r="E1097" s="6">
        <v>0.0</v>
      </c>
      <c r="F1097" s="6">
        <v>0.0</v>
      </c>
      <c r="G1097" s="6">
        <v>0.0</v>
      </c>
      <c r="H1097" s="6">
        <v>3718.0</v>
      </c>
    </row>
    <row r="1098" ht="15.75" customHeight="1">
      <c r="A1098" s="4">
        <v>1095.0</v>
      </c>
      <c r="B1098" s="4" t="s">
        <v>2209</v>
      </c>
      <c r="C1098" s="4" t="s">
        <v>2210</v>
      </c>
      <c r="D1098" s="4" t="s">
        <v>2199</v>
      </c>
      <c r="E1098" s="6">
        <v>0.0</v>
      </c>
      <c r="F1098" s="6">
        <v>0.0</v>
      </c>
      <c r="G1098" s="6">
        <v>0.0</v>
      </c>
      <c r="H1098" s="6">
        <v>4928.0</v>
      </c>
    </row>
    <row r="1099" ht="15.75" customHeight="1">
      <c r="A1099" s="4">
        <v>1096.0</v>
      </c>
      <c r="B1099" s="4" t="s">
        <v>2211</v>
      </c>
      <c r="C1099" s="4" t="s">
        <v>2212</v>
      </c>
      <c r="D1099" s="4" t="s">
        <v>2199</v>
      </c>
      <c r="E1099" s="6">
        <v>0.0</v>
      </c>
      <c r="F1099" s="6">
        <v>0.0</v>
      </c>
      <c r="G1099" s="6">
        <v>0.0</v>
      </c>
      <c r="H1099" s="6">
        <v>3662.0</v>
      </c>
    </row>
    <row r="1100" ht="15.75" customHeight="1">
      <c r="A1100" s="4">
        <v>1097.0</v>
      </c>
      <c r="B1100" s="4" t="s">
        <v>2213</v>
      </c>
      <c r="C1100" s="4" t="s">
        <v>2214</v>
      </c>
      <c r="D1100" s="4" t="s">
        <v>2199</v>
      </c>
      <c r="E1100" s="6">
        <v>0.0</v>
      </c>
      <c r="F1100" s="6">
        <v>0.0</v>
      </c>
      <c r="G1100" s="6">
        <v>0.0</v>
      </c>
      <c r="H1100" s="6">
        <v>4872.0</v>
      </c>
    </row>
    <row r="1101" ht="15.75" customHeight="1">
      <c r="A1101" s="9">
        <v>1098.0</v>
      </c>
      <c r="B1101" s="9" t="s">
        <v>2215</v>
      </c>
      <c r="C1101" s="10" t="s">
        <v>2216</v>
      </c>
      <c r="D1101" s="9"/>
      <c r="E1101" s="11"/>
      <c r="F1101" s="11"/>
      <c r="G1101" s="11"/>
      <c r="H1101" s="11"/>
    </row>
    <row r="1102" ht="15.75" customHeight="1">
      <c r="A1102" s="4">
        <v>1099.0</v>
      </c>
      <c r="B1102" s="4" t="s">
        <v>2217</v>
      </c>
      <c r="C1102" s="4" t="s">
        <v>2218</v>
      </c>
      <c r="D1102" s="4" t="s">
        <v>2199</v>
      </c>
      <c r="E1102" s="6">
        <v>0.0</v>
      </c>
      <c r="F1102" s="6">
        <v>0.0</v>
      </c>
      <c r="G1102" s="6">
        <v>0.0</v>
      </c>
      <c r="H1102" s="6">
        <v>3092.0</v>
      </c>
    </row>
    <row r="1103" ht="15.75" customHeight="1">
      <c r="A1103" s="4">
        <v>1100.0</v>
      </c>
      <c r="B1103" s="4" t="s">
        <v>2219</v>
      </c>
      <c r="C1103" s="4" t="s">
        <v>2220</v>
      </c>
      <c r="D1103" s="4" t="s">
        <v>2221</v>
      </c>
      <c r="E1103" s="6">
        <v>0.0</v>
      </c>
      <c r="F1103" s="6">
        <v>0.0</v>
      </c>
      <c r="G1103" s="6">
        <v>0.0</v>
      </c>
      <c r="H1103" s="6">
        <v>3113.0</v>
      </c>
    </row>
    <row r="1104" ht="15.75" customHeight="1">
      <c r="A1104" s="4">
        <v>1101.0</v>
      </c>
      <c r="B1104" s="4" t="s">
        <v>2222</v>
      </c>
      <c r="C1104" s="4" t="s">
        <v>2223</v>
      </c>
      <c r="D1104" s="4" t="s">
        <v>2224</v>
      </c>
      <c r="E1104" s="6">
        <v>0.0</v>
      </c>
      <c r="F1104" s="6">
        <v>0.0</v>
      </c>
      <c r="G1104" s="6">
        <v>0.0</v>
      </c>
      <c r="H1104" s="6">
        <v>3195.0</v>
      </c>
    </row>
    <row r="1105" ht="15.75" customHeight="1">
      <c r="A1105" s="4">
        <v>1102.0</v>
      </c>
      <c r="B1105" s="4" t="s">
        <v>2225</v>
      </c>
      <c r="C1105" s="4" t="s">
        <v>2216</v>
      </c>
      <c r="D1105" s="4" t="s">
        <v>2226</v>
      </c>
      <c r="E1105" s="6">
        <v>0.0</v>
      </c>
      <c r="F1105" s="6">
        <v>0.0</v>
      </c>
      <c r="G1105" s="6">
        <v>0.0</v>
      </c>
      <c r="H1105" s="6">
        <v>0.0</v>
      </c>
    </row>
    <row r="1106" ht="15.75" customHeight="1">
      <c r="A1106" s="4">
        <v>1103.0</v>
      </c>
      <c r="B1106" s="4" t="s">
        <v>2227</v>
      </c>
      <c r="C1106" s="4" t="s">
        <v>2228</v>
      </c>
      <c r="D1106" s="4" t="s">
        <v>2229</v>
      </c>
      <c r="E1106" s="6">
        <v>0.0</v>
      </c>
      <c r="F1106" s="6">
        <v>0.0</v>
      </c>
      <c r="G1106" s="6">
        <v>0.0</v>
      </c>
      <c r="H1106" s="6">
        <v>6969.0</v>
      </c>
    </row>
    <row r="1107" ht="15.75" customHeight="1">
      <c r="A1107" s="4">
        <v>1104.0</v>
      </c>
      <c r="B1107" s="4" t="s">
        <v>2230</v>
      </c>
      <c r="C1107" s="4" t="s">
        <v>2231</v>
      </c>
      <c r="D1107" s="4" t="s">
        <v>2232</v>
      </c>
      <c r="E1107" s="6">
        <v>0.0</v>
      </c>
      <c r="F1107" s="6">
        <v>0.0</v>
      </c>
      <c r="G1107" s="6">
        <v>0.0</v>
      </c>
      <c r="H1107" s="6">
        <v>6990.0</v>
      </c>
    </row>
    <row r="1108" ht="15.75" customHeight="1">
      <c r="A1108" s="4">
        <v>1105.0</v>
      </c>
      <c r="B1108" s="4" t="s">
        <v>2233</v>
      </c>
      <c r="C1108" s="4" t="s">
        <v>2234</v>
      </c>
      <c r="D1108" s="4" t="s">
        <v>2235</v>
      </c>
      <c r="E1108" s="6">
        <v>0.0</v>
      </c>
      <c r="F1108" s="6">
        <v>0.0</v>
      </c>
      <c r="G1108" s="6">
        <v>0.0</v>
      </c>
      <c r="H1108" s="6">
        <v>7073.0</v>
      </c>
    </row>
    <row r="1109" ht="15.75" customHeight="1">
      <c r="A1109" s="4">
        <v>1106.0</v>
      </c>
      <c r="B1109" s="4" t="s">
        <v>2236</v>
      </c>
      <c r="C1109" s="4" t="s">
        <v>2237</v>
      </c>
      <c r="D1109" s="4" t="s">
        <v>2238</v>
      </c>
      <c r="E1109" s="6">
        <v>0.0</v>
      </c>
      <c r="F1109" s="6">
        <v>0.0</v>
      </c>
      <c r="G1109" s="6">
        <v>0.0</v>
      </c>
      <c r="H1109" s="6">
        <v>6117.0</v>
      </c>
    </row>
    <row r="1110" ht="15.75" customHeight="1">
      <c r="A1110" s="4">
        <v>1107.0</v>
      </c>
      <c r="B1110" s="4" t="s">
        <v>2239</v>
      </c>
      <c r="C1110" s="4" t="s">
        <v>2240</v>
      </c>
      <c r="D1110" s="4" t="s">
        <v>2241</v>
      </c>
      <c r="E1110" s="6">
        <v>0.0</v>
      </c>
      <c r="F1110" s="6">
        <v>0.0</v>
      </c>
      <c r="G1110" s="6">
        <v>0.0</v>
      </c>
      <c r="H1110" s="6">
        <v>6138.0</v>
      </c>
    </row>
    <row r="1111" ht="15.75" customHeight="1">
      <c r="A1111" s="4">
        <v>1108.0</v>
      </c>
      <c r="B1111" s="4" t="s">
        <v>2242</v>
      </c>
      <c r="C1111" s="4" t="s">
        <v>2243</v>
      </c>
      <c r="D1111" s="4" t="s">
        <v>2244</v>
      </c>
      <c r="E1111" s="6">
        <v>0.0</v>
      </c>
      <c r="F1111" s="6">
        <v>0.0</v>
      </c>
      <c r="G1111" s="6">
        <v>0.0</v>
      </c>
      <c r="H1111" s="6">
        <v>6220.0</v>
      </c>
    </row>
    <row r="1112" ht="15.75" customHeight="1">
      <c r="A1112" s="9">
        <v>1109.0</v>
      </c>
      <c r="B1112" s="9" t="s">
        <v>2245</v>
      </c>
      <c r="C1112" s="10" t="s">
        <v>2246</v>
      </c>
      <c r="D1112" s="9"/>
      <c r="E1112" s="11"/>
      <c r="F1112" s="11"/>
      <c r="G1112" s="11"/>
      <c r="H1112" s="11"/>
    </row>
    <row r="1113" ht="15.75" customHeight="1">
      <c r="A1113" s="9">
        <v>1110.0</v>
      </c>
      <c r="B1113" s="9" t="s">
        <v>2247</v>
      </c>
      <c r="C1113" s="10" t="s">
        <v>2248</v>
      </c>
      <c r="D1113" s="9"/>
      <c r="E1113" s="11"/>
      <c r="F1113" s="11"/>
      <c r="G1113" s="11"/>
      <c r="H1113" s="11"/>
    </row>
    <row r="1114" ht="15.75" customHeight="1">
      <c r="A1114" s="4">
        <v>1111.0</v>
      </c>
      <c r="B1114" s="4" t="s">
        <v>2249</v>
      </c>
      <c r="C1114" s="4" t="s">
        <v>2250</v>
      </c>
      <c r="D1114" s="4" t="s">
        <v>36</v>
      </c>
      <c r="E1114" s="6">
        <v>0.0</v>
      </c>
      <c r="F1114" s="6">
        <v>0.0</v>
      </c>
      <c r="G1114" s="6">
        <v>0.0</v>
      </c>
      <c r="H1114" s="6">
        <v>3073.0</v>
      </c>
    </row>
    <row r="1115" ht="15.75" customHeight="1">
      <c r="A1115" s="4">
        <v>1112.0</v>
      </c>
      <c r="B1115" s="4" t="s">
        <v>2251</v>
      </c>
      <c r="C1115" s="4" t="s">
        <v>2252</v>
      </c>
      <c r="D1115" s="4" t="s">
        <v>36</v>
      </c>
      <c r="E1115" s="6">
        <v>0.0</v>
      </c>
      <c r="F1115" s="6">
        <v>0.0</v>
      </c>
      <c r="G1115" s="6">
        <v>0.0</v>
      </c>
      <c r="H1115" s="6">
        <v>3057.0</v>
      </c>
    </row>
    <row r="1116" ht="15.75" customHeight="1">
      <c r="A1116" s="9">
        <v>1113.0</v>
      </c>
      <c r="B1116" s="9" t="s">
        <v>2253</v>
      </c>
      <c r="C1116" s="10" t="s">
        <v>2254</v>
      </c>
      <c r="D1116" s="9"/>
      <c r="E1116" s="11"/>
      <c r="F1116" s="11"/>
      <c r="G1116" s="11"/>
      <c r="H1116" s="11"/>
    </row>
    <row r="1117" ht="15.75" customHeight="1">
      <c r="A1117" s="4">
        <v>1114.0</v>
      </c>
      <c r="B1117" s="4" t="s">
        <v>2255</v>
      </c>
      <c r="C1117" s="4" t="s">
        <v>2256</v>
      </c>
      <c r="D1117" s="4" t="s">
        <v>43</v>
      </c>
      <c r="E1117" s="6">
        <v>3163.825</v>
      </c>
      <c r="F1117" s="6">
        <v>427.2</v>
      </c>
      <c r="G1117" s="6">
        <v>0.0</v>
      </c>
      <c r="H1117" s="6">
        <v>3950.0</v>
      </c>
    </row>
    <row r="1118" ht="15.75" customHeight="1">
      <c r="A1118" s="4">
        <v>1115.0</v>
      </c>
      <c r="B1118" s="4" t="s">
        <v>2257</v>
      </c>
      <c r="C1118" s="4" t="s">
        <v>2258</v>
      </c>
      <c r="D1118" s="4" t="s">
        <v>36</v>
      </c>
      <c r="E1118" s="6">
        <v>0.0</v>
      </c>
      <c r="F1118" s="6">
        <v>0.0</v>
      </c>
      <c r="G1118" s="6">
        <v>0.0</v>
      </c>
      <c r="H1118" s="6">
        <v>742.0</v>
      </c>
    </row>
    <row r="1119" ht="15.75" customHeight="1">
      <c r="A1119" s="9">
        <v>1116.0</v>
      </c>
      <c r="B1119" s="9" t="s">
        <v>2259</v>
      </c>
      <c r="C1119" s="10" t="s">
        <v>2260</v>
      </c>
      <c r="D1119" s="9"/>
      <c r="E1119" s="11"/>
      <c r="F1119" s="11"/>
      <c r="G1119" s="11"/>
      <c r="H1119" s="11"/>
    </row>
    <row r="1120" ht="15.75" customHeight="1">
      <c r="A1120" s="4">
        <v>1117.0</v>
      </c>
      <c r="B1120" s="4" t="s">
        <v>2261</v>
      </c>
      <c r="C1120" s="4" t="s">
        <v>2262</v>
      </c>
      <c r="D1120" s="4" t="s">
        <v>43</v>
      </c>
      <c r="E1120" s="6">
        <v>0.0</v>
      </c>
      <c r="F1120" s="6">
        <v>0.0</v>
      </c>
      <c r="G1120" s="6">
        <v>0.0</v>
      </c>
      <c r="H1120" s="6">
        <v>4425.0</v>
      </c>
    </row>
    <row r="1121" ht="15.75" customHeight="1">
      <c r="A1121" s="4">
        <v>1118.0</v>
      </c>
      <c r="B1121" s="4" t="s">
        <v>2263</v>
      </c>
      <c r="C1121" s="4" t="s">
        <v>2264</v>
      </c>
      <c r="D1121" s="4" t="s">
        <v>36</v>
      </c>
      <c r="E1121" s="6">
        <v>95.3775</v>
      </c>
      <c r="F1121" s="6">
        <v>1001.8</v>
      </c>
      <c r="G1121" s="6">
        <v>185.5</v>
      </c>
      <c r="H1121" s="6">
        <v>1410.0</v>
      </c>
    </row>
    <row r="1122" ht="15.75" customHeight="1">
      <c r="A1122" s="4">
        <v>1119.0</v>
      </c>
      <c r="B1122" s="4" t="s">
        <v>2265</v>
      </c>
      <c r="C1122" s="4" t="s">
        <v>2264</v>
      </c>
      <c r="D1122" s="4" t="s">
        <v>36</v>
      </c>
      <c r="E1122" s="6">
        <v>95.3775</v>
      </c>
      <c r="F1122" s="6">
        <v>1001.8</v>
      </c>
      <c r="G1122" s="6">
        <v>185.5</v>
      </c>
      <c r="H1122" s="6">
        <v>1410.0</v>
      </c>
    </row>
    <row r="1123" ht="15.75" customHeight="1">
      <c r="A1123" s="4">
        <v>1120.0</v>
      </c>
      <c r="B1123" s="4" t="s">
        <v>2266</v>
      </c>
      <c r="C1123" s="4" t="s">
        <v>2267</v>
      </c>
      <c r="D1123" s="4" t="s">
        <v>43</v>
      </c>
      <c r="E1123" s="6">
        <v>0.0</v>
      </c>
      <c r="F1123" s="6">
        <v>0.0</v>
      </c>
      <c r="G1123" s="6">
        <v>0.0</v>
      </c>
      <c r="H1123" s="6">
        <v>6941.0</v>
      </c>
    </row>
    <row r="1124" ht="15.75" customHeight="1">
      <c r="A1124" s="4">
        <v>1121.0</v>
      </c>
      <c r="B1124" s="4" t="s">
        <v>2268</v>
      </c>
      <c r="C1124" s="4" t="s">
        <v>2269</v>
      </c>
      <c r="D1124" s="4" t="s">
        <v>43</v>
      </c>
      <c r="E1124" s="6">
        <v>0.0</v>
      </c>
      <c r="F1124" s="6">
        <v>0.0</v>
      </c>
      <c r="G1124" s="6">
        <v>0.0</v>
      </c>
      <c r="H1124" s="6">
        <v>3105.0</v>
      </c>
    </row>
    <row r="1125" ht="15.75" customHeight="1">
      <c r="A1125" s="9">
        <v>1122.0</v>
      </c>
      <c r="B1125" s="9" t="s">
        <v>2270</v>
      </c>
      <c r="C1125" s="10" t="s">
        <v>2271</v>
      </c>
      <c r="D1125" s="9"/>
      <c r="E1125" s="11"/>
      <c r="F1125" s="11"/>
      <c r="G1125" s="11"/>
      <c r="H1125" s="11"/>
    </row>
    <row r="1126" ht="15.75" customHeight="1">
      <c r="A1126" s="4">
        <v>1123.0</v>
      </c>
      <c r="B1126" s="4" t="s">
        <v>2272</v>
      </c>
      <c r="C1126" s="4" t="s">
        <v>2273</v>
      </c>
      <c r="D1126" s="4" t="s">
        <v>43</v>
      </c>
      <c r="E1126" s="6">
        <v>9306.125</v>
      </c>
      <c r="F1126" s="6">
        <v>0.0</v>
      </c>
      <c r="G1126" s="6">
        <v>0.0</v>
      </c>
      <c r="H1126" s="6">
        <v>10236.0</v>
      </c>
    </row>
    <row r="1127" ht="15.75" customHeight="1">
      <c r="A1127" s="4">
        <v>1124.0</v>
      </c>
      <c r="B1127" s="4" t="s">
        <v>2274</v>
      </c>
      <c r="C1127" s="4" t="s">
        <v>2273</v>
      </c>
      <c r="D1127" s="4" t="s">
        <v>43</v>
      </c>
      <c r="E1127" s="6">
        <v>14280.625</v>
      </c>
      <c r="F1127" s="6">
        <v>0.0</v>
      </c>
      <c r="G1127" s="6">
        <v>0.0</v>
      </c>
      <c r="H1127" s="6">
        <v>10236.0</v>
      </c>
    </row>
    <row r="1128" ht="15.75" customHeight="1">
      <c r="A1128" s="4">
        <v>1125.0</v>
      </c>
      <c r="B1128" s="4" t="s">
        <v>2275</v>
      </c>
      <c r="C1128" s="4" t="s">
        <v>2276</v>
      </c>
      <c r="D1128" s="4" t="s">
        <v>43</v>
      </c>
      <c r="E1128" s="6">
        <v>0.0</v>
      </c>
      <c r="F1128" s="6">
        <v>0.0</v>
      </c>
      <c r="G1128" s="6">
        <v>0.0</v>
      </c>
      <c r="H1128" s="6">
        <v>32322.0</v>
      </c>
    </row>
    <row r="1129" ht="15.75" customHeight="1">
      <c r="A1129" s="4">
        <v>1126.0</v>
      </c>
      <c r="B1129" s="4" t="s">
        <v>2277</v>
      </c>
      <c r="C1129" s="4" t="s">
        <v>2278</v>
      </c>
      <c r="D1129" s="4" t="s">
        <v>43</v>
      </c>
      <c r="E1129" s="6">
        <v>16250.0</v>
      </c>
      <c r="F1129" s="6">
        <v>0.0</v>
      </c>
      <c r="G1129" s="6">
        <v>0.0</v>
      </c>
      <c r="H1129" s="6">
        <v>17875.0</v>
      </c>
    </row>
    <row r="1130" ht="15.75" customHeight="1">
      <c r="A1130" s="4">
        <v>1127.0</v>
      </c>
      <c r="B1130" s="4" t="s">
        <v>2279</v>
      </c>
      <c r="C1130" s="4" t="s">
        <v>2280</v>
      </c>
      <c r="D1130" s="4" t="s">
        <v>36</v>
      </c>
      <c r="E1130" s="6">
        <v>2346.25</v>
      </c>
      <c r="F1130" s="6">
        <v>0.0</v>
      </c>
      <c r="G1130" s="6">
        <v>0.0</v>
      </c>
      <c r="H1130" s="6">
        <v>2580.0</v>
      </c>
    </row>
    <row r="1131" ht="15.75" customHeight="1">
      <c r="A1131" s="4">
        <v>1128.0</v>
      </c>
      <c r="B1131" s="4" t="s">
        <v>2281</v>
      </c>
      <c r="C1131" s="4" t="s">
        <v>2282</v>
      </c>
      <c r="D1131" s="4" t="s">
        <v>36</v>
      </c>
      <c r="E1131" s="6">
        <v>1500.0</v>
      </c>
      <c r="F1131" s="6">
        <v>0.0</v>
      </c>
      <c r="G1131" s="6">
        <v>0.0</v>
      </c>
      <c r="H1131" s="6">
        <v>1650.0</v>
      </c>
    </row>
    <row r="1132" ht="15.75" customHeight="1">
      <c r="A1132" s="4">
        <v>1129.0</v>
      </c>
      <c r="B1132" s="4" t="s">
        <v>2283</v>
      </c>
      <c r="C1132" s="4" t="s">
        <v>2284</v>
      </c>
      <c r="D1132" s="4" t="s">
        <v>36</v>
      </c>
      <c r="E1132" s="6">
        <v>1309.0</v>
      </c>
      <c r="F1132" s="6">
        <v>0.0</v>
      </c>
      <c r="G1132" s="6">
        <v>0.0</v>
      </c>
      <c r="H1132" s="6">
        <v>1439.0</v>
      </c>
    </row>
    <row r="1133" ht="15.75" customHeight="1">
      <c r="A1133" s="4">
        <v>1130.0</v>
      </c>
      <c r="B1133" s="4" t="s">
        <v>2285</v>
      </c>
      <c r="C1133" s="4" t="s">
        <v>2286</v>
      </c>
      <c r="D1133" s="4" t="s">
        <v>2287</v>
      </c>
      <c r="E1133" s="6">
        <v>41.15</v>
      </c>
      <c r="F1133" s="6">
        <v>0.0</v>
      </c>
      <c r="G1133" s="6">
        <v>3.0</v>
      </c>
      <c r="H1133" s="6">
        <v>48.0</v>
      </c>
    </row>
    <row r="1134" ht="15.75" customHeight="1">
      <c r="A1134" s="9">
        <v>1131.0</v>
      </c>
      <c r="B1134" s="9" t="s">
        <v>2288</v>
      </c>
      <c r="C1134" s="10" t="s">
        <v>2289</v>
      </c>
      <c r="D1134" s="9"/>
      <c r="E1134" s="11"/>
      <c r="F1134" s="11"/>
      <c r="G1134" s="11"/>
      <c r="H1134" s="11"/>
    </row>
    <row r="1135" ht="15.75" customHeight="1">
      <c r="A1135" s="4">
        <v>1132.0</v>
      </c>
      <c r="B1135" s="4" t="s">
        <v>2290</v>
      </c>
      <c r="C1135" s="4" t="s">
        <v>2291</v>
      </c>
      <c r="D1135" s="4" t="s">
        <v>43</v>
      </c>
      <c r="E1135" s="6">
        <v>0.0</v>
      </c>
      <c r="F1135" s="6">
        <v>0.0</v>
      </c>
      <c r="G1135" s="6">
        <v>0.0</v>
      </c>
      <c r="H1135" s="6">
        <v>4132.0</v>
      </c>
    </row>
    <row r="1136" ht="15.75" customHeight="1">
      <c r="A1136" s="4">
        <v>1133.0</v>
      </c>
      <c r="B1136" s="4" t="s">
        <v>2292</v>
      </c>
      <c r="C1136" s="4" t="s">
        <v>2293</v>
      </c>
      <c r="D1136" s="4" t="s">
        <v>36</v>
      </c>
      <c r="E1136" s="6">
        <v>0.0</v>
      </c>
      <c r="F1136" s="6">
        <v>0.0</v>
      </c>
      <c r="G1136" s="6">
        <v>0.0</v>
      </c>
      <c r="H1136" s="6">
        <v>1411.0</v>
      </c>
    </row>
    <row r="1137" ht="15.75" customHeight="1">
      <c r="A1137" s="4">
        <v>1134.0</v>
      </c>
      <c r="B1137" s="4" t="s">
        <v>2294</v>
      </c>
      <c r="C1137" s="4" t="s">
        <v>2295</v>
      </c>
      <c r="D1137" s="4" t="s">
        <v>36</v>
      </c>
      <c r="E1137" s="6">
        <v>0.0</v>
      </c>
      <c r="F1137" s="6">
        <v>0.0</v>
      </c>
      <c r="G1137" s="6">
        <v>0.0</v>
      </c>
      <c r="H1137" s="6">
        <v>1264.0</v>
      </c>
    </row>
    <row r="1138" ht="15.75" customHeight="1">
      <c r="A1138" s="9">
        <v>1135.0</v>
      </c>
      <c r="B1138" s="9" t="s">
        <v>2296</v>
      </c>
      <c r="C1138" s="10" t="s">
        <v>2297</v>
      </c>
      <c r="D1138" s="9"/>
      <c r="E1138" s="11"/>
      <c r="F1138" s="11"/>
      <c r="G1138" s="11"/>
      <c r="H1138" s="11"/>
    </row>
    <row r="1139" ht="15.75" customHeight="1">
      <c r="A1139" s="4">
        <v>1136.0</v>
      </c>
      <c r="B1139" s="4" t="s">
        <v>2298</v>
      </c>
      <c r="C1139" s="4" t="s">
        <v>2299</v>
      </c>
      <c r="D1139" s="4" t="s">
        <v>36</v>
      </c>
      <c r="E1139" s="6">
        <v>28.4</v>
      </c>
      <c r="F1139" s="6">
        <v>0.0</v>
      </c>
      <c r="G1139" s="6">
        <v>0.0</v>
      </c>
      <c r="H1139" s="6">
        <v>31.0</v>
      </c>
    </row>
    <row r="1140" ht="15.75" customHeight="1">
      <c r="A1140" s="9">
        <v>1137.0</v>
      </c>
      <c r="B1140" s="9" t="s">
        <v>2300</v>
      </c>
      <c r="C1140" s="10" t="s">
        <v>2301</v>
      </c>
      <c r="D1140" s="9"/>
      <c r="E1140" s="11"/>
      <c r="F1140" s="11"/>
      <c r="G1140" s="11"/>
      <c r="H1140" s="11"/>
    </row>
    <row r="1141" ht="15.75" customHeight="1">
      <c r="A1141" s="4">
        <v>1138.0</v>
      </c>
      <c r="B1141" s="4" t="s">
        <v>2302</v>
      </c>
      <c r="C1141" s="4" t="s">
        <v>2303</v>
      </c>
      <c r="D1141" s="4" t="s">
        <v>36</v>
      </c>
      <c r="E1141" s="6">
        <v>0.0</v>
      </c>
      <c r="F1141" s="6">
        <v>0.0</v>
      </c>
      <c r="G1141" s="6">
        <v>0.0</v>
      </c>
      <c r="H1141" s="6">
        <v>2728.0</v>
      </c>
    </row>
    <row r="1142" ht="15.75" customHeight="1">
      <c r="A1142" s="4">
        <v>1139.0</v>
      </c>
      <c r="B1142" s="4" t="s">
        <v>2304</v>
      </c>
      <c r="C1142" s="4" t="s">
        <v>2305</v>
      </c>
      <c r="D1142" s="4" t="s">
        <v>36</v>
      </c>
      <c r="E1142" s="6">
        <v>0.0</v>
      </c>
      <c r="F1142" s="6">
        <v>0.0</v>
      </c>
      <c r="G1142" s="6">
        <v>0.0</v>
      </c>
      <c r="H1142" s="6">
        <v>1650.0</v>
      </c>
    </row>
    <row r="1143" ht="15.75" customHeight="1">
      <c r="A1143" s="9">
        <v>1140.0</v>
      </c>
      <c r="B1143" s="9" t="s">
        <v>2306</v>
      </c>
      <c r="C1143" s="10" t="s">
        <v>2307</v>
      </c>
      <c r="D1143" s="9"/>
      <c r="E1143" s="11"/>
      <c r="F1143" s="11"/>
      <c r="G1143" s="11"/>
      <c r="H1143" s="11"/>
    </row>
    <row r="1144" ht="15.75" customHeight="1">
      <c r="A1144" s="4">
        <v>1141.0</v>
      </c>
      <c r="B1144" s="4" t="s">
        <v>2308</v>
      </c>
      <c r="C1144" s="4" t="s">
        <v>2309</v>
      </c>
      <c r="D1144" s="4" t="s">
        <v>43</v>
      </c>
      <c r="E1144" s="6">
        <v>0.0</v>
      </c>
      <c r="F1144" s="6">
        <v>0.0</v>
      </c>
      <c r="G1144" s="6">
        <v>0.0</v>
      </c>
      <c r="H1144" s="6">
        <v>454652.0</v>
      </c>
    </row>
    <row r="1145" ht="15.75" customHeight="1">
      <c r="A1145" s="9">
        <v>1142.0</v>
      </c>
      <c r="B1145" s="9" t="s">
        <v>2310</v>
      </c>
      <c r="C1145" s="10" t="s">
        <v>2311</v>
      </c>
      <c r="D1145" s="9"/>
      <c r="E1145" s="11"/>
      <c r="F1145" s="11"/>
      <c r="G1145" s="11"/>
      <c r="H1145" s="11"/>
    </row>
    <row r="1146" ht="15.75" customHeight="1">
      <c r="A1146" s="9">
        <v>1143.0</v>
      </c>
      <c r="B1146" s="9" t="s">
        <v>2312</v>
      </c>
      <c r="C1146" s="10" t="s">
        <v>2313</v>
      </c>
      <c r="D1146" s="9"/>
      <c r="E1146" s="11"/>
      <c r="F1146" s="11"/>
      <c r="G1146" s="11"/>
      <c r="H1146" s="11"/>
    </row>
    <row r="1147" ht="15.75" customHeight="1">
      <c r="A1147" s="9">
        <v>1144.0</v>
      </c>
      <c r="B1147" s="9" t="s">
        <v>2314</v>
      </c>
      <c r="C1147" s="10" t="s">
        <v>2315</v>
      </c>
      <c r="D1147" s="9"/>
      <c r="E1147" s="11"/>
      <c r="F1147" s="11"/>
      <c r="G1147" s="11"/>
      <c r="H1147" s="11"/>
    </row>
    <row r="1148" ht="15.75" customHeight="1">
      <c r="A1148" s="9">
        <v>1145.0</v>
      </c>
      <c r="B1148" s="9" t="s">
        <v>2316</v>
      </c>
      <c r="C1148" s="10" t="s">
        <v>2317</v>
      </c>
      <c r="D1148" s="9"/>
      <c r="E1148" s="11"/>
      <c r="F1148" s="11"/>
      <c r="G1148" s="11"/>
      <c r="H1148" s="11"/>
    </row>
    <row r="1149" ht="15.75" customHeight="1">
      <c r="A1149" s="4">
        <v>1146.0</v>
      </c>
      <c r="B1149" s="4" t="s">
        <v>2318</v>
      </c>
      <c r="C1149" s="4" t="s">
        <v>2319</v>
      </c>
      <c r="D1149" s="4" t="s">
        <v>27</v>
      </c>
      <c r="E1149" s="6">
        <v>0.0</v>
      </c>
      <c r="F1149" s="6">
        <v>0.0</v>
      </c>
      <c r="G1149" s="6">
        <v>0.0</v>
      </c>
      <c r="H1149" s="6">
        <v>19497.0</v>
      </c>
    </row>
    <row r="1150" ht="15.75" customHeight="1">
      <c r="A1150" s="4">
        <v>1147.0</v>
      </c>
      <c r="B1150" s="4" t="s">
        <v>2320</v>
      </c>
      <c r="C1150" s="4" t="s">
        <v>2321</v>
      </c>
      <c r="D1150" s="4" t="s">
        <v>27</v>
      </c>
      <c r="E1150" s="6">
        <v>0.0</v>
      </c>
      <c r="F1150" s="6">
        <v>0.0</v>
      </c>
      <c r="G1150" s="6">
        <v>0.0</v>
      </c>
      <c r="H1150" s="6">
        <v>25190.0</v>
      </c>
    </row>
    <row r="1151" ht="15.75" customHeight="1">
      <c r="A1151" s="4">
        <v>1148.0</v>
      </c>
      <c r="B1151" s="4" t="s">
        <v>2322</v>
      </c>
      <c r="C1151" s="4" t="s">
        <v>2323</v>
      </c>
      <c r="D1151" s="4" t="s">
        <v>27</v>
      </c>
      <c r="E1151" s="6">
        <v>0.0</v>
      </c>
      <c r="F1151" s="6">
        <v>0.0</v>
      </c>
      <c r="G1151" s="6">
        <v>0.0</v>
      </c>
      <c r="H1151" s="6">
        <v>32780.0</v>
      </c>
    </row>
    <row r="1152" ht="15.75" customHeight="1">
      <c r="A1152" s="4">
        <v>1149.0</v>
      </c>
      <c r="B1152" s="4" t="s">
        <v>2324</v>
      </c>
      <c r="C1152" s="4" t="s">
        <v>2325</v>
      </c>
      <c r="D1152" s="4" t="s">
        <v>27</v>
      </c>
      <c r="E1152" s="6">
        <v>0.0</v>
      </c>
      <c r="F1152" s="6">
        <v>0.0</v>
      </c>
      <c r="G1152" s="6">
        <v>0.0</v>
      </c>
      <c r="H1152" s="6">
        <v>55550.0</v>
      </c>
    </row>
    <row r="1153" ht="15.75" customHeight="1">
      <c r="A1153" s="4">
        <v>1150.0</v>
      </c>
      <c r="B1153" s="4" t="s">
        <v>2326</v>
      </c>
      <c r="C1153" s="4" t="s">
        <v>2327</v>
      </c>
      <c r="D1153" s="4" t="s">
        <v>27</v>
      </c>
      <c r="E1153" s="6">
        <v>0.0</v>
      </c>
      <c r="F1153" s="6">
        <v>0.0</v>
      </c>
      <c r="G1153" s="6">
        <v>0.0</v>
      </c>
      <c r="H1153" s="6">
        <v>83088.0</v>
      </c>
    </row>
    <row r="1154" ht="15.75" customHeight="1">
      <c r="A1154" s="4">
        <v>1151.0</v>
      </c>
      <c r="B1154" s="4" t="s">
        <v>2328</v>
      </c>
      <c r="C1154" s="4" t="s">
        <v>2329</v>
      </c>
      <c r="D1154" s="4" t="s">
        <v>27</v>
      </c>
      <c r="E1154" s="6">
        <v>0.0</v>
      </c>
      <c r="F1154" s="6">
        <v>0.0</v>
      </c>
      <c r="G1154" s="6">
        <v>0.0</v>
      </c>
      <c r="H1154" s="6">
        <v>110000.0</v>
      </c>
    </row>
    <row r="1155" ht="15.75" customHeight="1">
      <c r="A1155" s="4">
        <v>1152.0</v>
      </c>
      <c r="B1155" s="4" t="s">
        <v>2330</v>
      </c>
      <c r="C1155" s="4" t="s">
        <v>2331</v>
      </c>
      <c r="D1155" s="4" t="s">
        <v>27</v>
      </c>
      <c r="E1155" s="6">
        <v>0.0</v>
      </c>
      <c r="F1155" s="6">
        <v>0.0</v>
      </c>
      <c r="G1155" s="6">
        <v>0.0</v>
      </c>
      <c r="H1155" s="6">
        <v>141119.0</v>
      </c>
    </row>
    <row r="1156" ht="15.75" customHeight="1">
      <c r="A1156" s="4">
        <v>1153.0</v>
      </c>
      <c r="B1156" s="4" t="s">
        <v>2332</v>
      </c>
      <c r="C1156" s="4" t="s">
        <v>2333</v>
      </c>
      <c r="D1156" s="4" t="s">
        <v>27</v>
      </c>
      <c r="E1156" s="6">
        <v>0.0</v>
      </c>
      <c r="F1156" s="6">
        <v>0.0</v>
      </c>
      <c r="G1156" s="6">
        <v>0.0</v>
      </c>
      <c r="H1156" s="6">
        <v>204605.0</v>
      </c>
    </row>
    <row r="1157" ht="15.75" customHeight="1">
      <c r="A1157" s="4">
        <v>1154.0</v>
      </c>
      <c r="B1157" s="4" t="s">
        <v>2334</v>
      </c>
      <c r="C1157" s="4" t="s">
        <v>2335</v>
      </c>
      <c r="D1157" s="4" t="s">
        <v>27</v>
      </c>
      <c r="E1157" s="6">
        <v>0.0</v>
      </c>
      <c r="F1157" s="6">
        <v>0.0</v>
      </c>
      <c r="G1157" s="6">
        <v>0.0</v>
      </c>
      <c r="H1157" s="6">
        <v>273548.0</v>
      </c>
    </row>
    <row r="1158" ht="15.75" customHeight="1">
      <c r="A1158" s="4">
        <v>1155.0</v>
      </c>
      <c r="B1158" s="4" t="s">
        <v>2336</v>
      </c>
      <c r="C1158" s="4" t="s">
        <v>2337</v>
      </c>
      <c r="D1158" s="4" t="s">
        <v>27</v>
      </c>
      <c r="E1158" s="6">
        <v>0.0</v>
      </c>
      <c r="F1158" s="6">
        <v>0.0</v>
      </c>
      <c r="G1158" s="6">
        <v>0.0</v>
      </c>
      <c r="H1158" s="6">
        <v>336798.0</v>
      </c>
    </row>
    <row r="1159" ht="15.75" customHeight="1">
      <c r="A1159" s="4">
        <v>1156.0</v>
      </c>
      <c r="B1159" s="4" t="s">
        <v>2338</v>
      </c>
      <c r="C1159" s="4" t="s">
        <v>2339</v>
      </c>
      <c r="D1159" s="4" t="s">
        <v>27</v>
      </c>
      <c r="E1159" s="6">
        <v>0.0</v>
      </c>
      <c r="F1159" s="6">
        <v>0.0</v>
      </c>
      <c r="G1159" s="6">
        <v>0.0</v>
      </c>
      <c r="H1159" s="6">
        <v>408270.0</v>
      </c>
    </row>
    <row r="1160" ht="15.75" customHeight="1">
      <c r="A1160" s="4">
        <v>1157.0</v>
      </c>
      <c r="B1160" s="4" t="s">
        <v>2340</v>
      </c>
      <c r="C1160" s="4" t="s">
        <v>2341</v>
      </c>
      <c r="D1160" s="4" t="s">
        <v>27</v>
      </c>
      <c r="E1160" s="6">
        <v>0.0</v>
      </c>
      <c r="F1160" s="6">
        <v>0.0</v>
      </c>
      <c r="G1160" s="6">
        <v>0.0</v>
      </c>
      <c r="H1160" s="6">
        <v>506885.0</v>
      </c>
    </row>
    <row r="1161" ht="15.75" customHeight="1">
      <c r="A1161" s="4">
        <v>1158.0</v>
      </c>
      <c r="B1161" s="4" t="s">
        <v>2342</v>
      </c>
      <c r="C1161" s="4" t="s">
        <v>2343</v>
      </c>
      <c r="D1161" s="4" t="s">
        <v>27</v>
      </c>
      <c r="E1161" s="6">
        <v>0.0</v>
      </c>
      <c r="F1161" s="6">
        <v>0.0</v>
      </c>
      <c r="G1161" s="6">
        <v>0.0</v>
      </c>
      <c r="H1161" s="6">
        <v>657420.0</v>
      </c>
    </row>
    <row r="1162" ht="15.75" customHeight="1">
      <c r="A1162" s="4">
        <v>1159.0</v>
      </c>
      <c r="B1162" s="4" t="s">
        <v>2344</v>
      </c>
      <c r="C1162" s="4" t="s">
        <v>2345</v>
      </c>
      <c r="D1162" s="4" t="s">
        <v>27</v>
      </c>
      <c r="E1162" s="6">
        <v>0.0</v>
      </c>
      <c r="F1162" s="6">
        <v>0.0</v>
      </c>
      <c r="G1162" s="6">
        <v>0.0</v>
      </c>
      <c r="H1162" s="6">
        <v>818130.0</v>
      </c>
    </row>
    <row r="1163" ht="15.75" customHeight="1">
      <c r="A1163" s="4">
        <v>1160.0</v>
      </c>
      <c r="B1163" s="4" t="s">
        <v>2346</v>
      </c>
      <c r="C1163" s="4" t="s">
        <v>2347</v>
      </c>
      <c r="D1163" s="4" t="s">
        <v>27</v>
      </c>
      <c r="E1163" s="6">
        <v>0.0</v>
      </c>
      <c r="F1163" s="6">
        <v>0.0</v>
      </c>
      <c r="G1163" s="6">
        <v>0.0</v>
      </c>
      <c r="H1163" s="6">
        <v>1034280.0</v>
      </c>
    </row>
    <row r="1164" ht="15.75" customHeight="1">
      <c r="A1164" s="4">
        <v>1161.0</v>
      </c>
      <c r="B1164" s="4" t="s">
        <v>2348</v>
      </c>
      <c r="C1164" s="4" t="s">
        <v>2349</v>
      </c>
      <c r="D1164" s="4" t="s">
        <v>27</v>
      </c>
      <c r="E1164" s="6">
        <v>0.0</v>
      </c>
      <c r="F1164" s="6">
        <v>0.0</v>
      </c>
      <c r="G1164" s="6">
        <v>0.0</v>
      </c>
      <c r="H1164" s="6">
        <v>1320786.0</v>
      </c>
    </row>
    <row r="1165" ht="15.75" customHeight="1">
      <c r="A1165" s="4">
        <v>1162.0</v>
      </c>
      <c r="B1165" s="4" t="s">
        <v>2350</v>
      </c>
      <c r="C1165" s="4" t="s">
        <v>2351</v>
      </c>
      <c r="D1165" s="4" t="s">
        <v>27</v>
      </c>
      <c r="E1165" s="6">
        <v>0.0</v>
      </c>
      <c r="F1165" s="6">
        <v>0.0</v>
      </c>
      <c r="G1165" s="6">
        <v>0.0</v>
      </c>
      <c r="H1165" s="6">
        <v>1635155.0</v>
      </c>
    </row>
    <row r="1166" ht="15.75" customHeight="1">
      <c r="A1166" s="4">
        <v>1163.0</v>
      </c>
      <c r="B1166" s="4" t="s">
        <v>2352</v>
      </c>
      <c r="C1166" s="4" t="s">
        <v>2353</v>
      </c>
      <c r="D1166" s="4" t="s">
        <v>27</v>
      </c>
      <c r="E1166" s="6">
        <v>0.0</v>
      </c>
      <c r="F1166" s="6">
        <v>0.0</v>
      </c>
      <c r="G1166" s="6">
        <v>0.0</v>
      </c>
      <c r="H1166" s="6">
        <v>25190.0</v>
      </c>
    </row>
    <row r="1167" ht="15.75" customHeight="1">
      <c r="A1167" s="4">
        <v>1164.0</v>
      </c>
      <c r="B1167" s="4" t="s">
        <v>2354</v>
      </c>
      <c r="C1167" s="4" t="s">
        <v>2355</v>
      </c>
      <c r="D1167" s="4" t="s">
        <v>27</v>
      </c>
      <c r="E1167" s="6">
        <v>0.0</v>
      </c>
      <c r="F1167" s="6">
        <v>0.0</v>
      </c>
      <c r="G1167" s="6">
        <v>0.0</v>
      </c>
      <c r="H1167" s="6">
        <v>30958.0</v>
      </c>
    </row>
    <row r="1168" ht="15.75" customHeight="1">
      <c r="A1168" s="4">
        <v>1165.0</v>
      </c>
      <c r="B1168" s="4" t="s">
        <v>2356</v>
      </c>
      <c r="C1168" s="4" t="s">
        <v>2357</v>
      </c>
      <c r="D1168" s="4" t="s">
        <v>27</v>
      </c>
      <c r="E1168" s="6">
        <v>0.0</v>
      </c>
      <c r="F1168" s="6">
        <v>0.0</v>
      </c>
      <c r="G1168" s="6">
        <v>0.0</v>
      </c>
      <c r="H1168" s="6">
        <v>39105.0</v>
      </c>
    </row>
    <row r="1169" ht="15.75" customHeight="1">
      <c r="A1169" s="4">
        <v>1166.0</v>
      </c>
      <c r="B1169" s="4" t="s">
        <v>2358</v>
      </c>
      <c r="C1169" s="4" t="s">
        <v>2359</v>
      </c>
      <c r="D1169" s="4" t="s">
        <v>27</v>
      </c>
      <c r="E1169" s="6">
        <v>0.0</v>
      </c>
      <c r="F1169" s="6">
        <v>0.0</v>
      </c>
      <c r="G1169" s="6">
        <v>0.0</v>
      </c>
      <c r="H1169" s="6">
        <v>54285.0</v>
      </c>
    </row>
    <row r="1170" ht="15.75" customHeight="1">
      <c r="A1170" s="4">
        <v>1167.0</v>
      </c>
      <c r="B1170" s="4" t="s">
        <v>2360</v>
      </c>
      <c r="C1170" s="4" t="s">
        <v>2361</v>
      </c>
      <c r="D1170" s="4" t="s">
        <v>27</v>
      </c>
      <c r="E1170" s="6">
        <v>0.0</v>
      </c>
      <c r="F1170" s="6">
        <v>0.0</v>
      </c>
      <c r="G1170" s="6">
        <v>0.0</v>
      </c>
      <c r="H1170" s="6">
        <v>82747.0</v>
      </c>
    </row>
    <row r="1171" ht="15.75" customHeight="1">
      <c r="A1171" s="4">
        <v>1168.0</v>
      </c>
      <c r="B1171" s="4" t="s">
        <v>2362</v>
      </c>
      <c r="C1171" s="4" t="s">
        <v>2363</v>
      </c>
      <c r="D1171" s="4" t="s">
        <v>27</v>
      </c>
      <c r="E1171" s="6">
        <v>0.0</v>
      </c>
      <c r="F1171" s="6">
        <v>0.0</v>
      </c>
      <c r="G1171" s="6">
        <v>0.0</v>
      </c>
      <c r="H1171" s="6">
        <v>126390.0</v>
      </c>
    </row>
    <row r="1172" ht="15.75" customHeight="1">
      <c r="A1172" s="4">
        <v>1169.0</v>
      </c>
      <c r="B1172" s="4" t="s">
        <v>2364</v>
      </c>
      <c r="C1172" s="4" t="s">
        <v>2365</v>
      </c>
      <c r="D1172" s="4" t="s">
        <v>27</v>
      </c>
      <c r="E1172" s="6">
        <v>0.0</v>
      </c>
      <c r="F1172" s="6">
        <v>0.0</v>
      </c>
      <c r="G1172" s="6">
        <v>0.0</v>
      </c>
      <c r="H1172" s="6">
        <v>28985.0</v>
      </c>
    </row>
    <row r="1173" ht="15.75" customHeight="1">
      <c r="A1173" s="4">
        <v>1170.0</v>
      </c>
      <c r="B1173" s="4" t="s">
        <v>2366</v>
      </c>
      <c r="C1173" s="4" t="s">
        <v>2367</v>
      </c>
      <c r="D1173" s="4" t="s">
        <v>27</v>
      </c>
      <c r="E1173" s="6">
        <v>0.0</v>
      </c>
      <c r="F1173" s="6">
        <v>0.0</v>
      </c>
      <c r="G1173" s="6">
        <v>0.0</v>
      </c>
      <c r="H1173" s="6">
        <v>37207.0</v>
      </c>
    </row>
    <row r="1174" ht="15.75" customHeight="1">
      <c r="A1174" s="4">
        <v>1171.0</v>
      </c>
      <c r="B1174" s="4" t="s">
        <v>2368</v>
      </c>
      <c r="C1174" s="4" t="s">
        <v>2369</v>
      </c>
      <c r="D1174" s="4" t="s">
        <v>27</v>
      </c>
      <c r="E1174" s="6">
        <v>0.0</v>
      </c>
      <c r="F1174" s="6">
        <v>0.0</v>
      </c>
      <c r="G1174" s="6">
        <v>0.0</v>
      </c>
      <c r="H1174" s="6">
        <v>53993.0</v>
      </c>
    </row>
    <row r="1175" ht="15.75" customHeight="1">
      <c r="A1175" s="4">
        <v>1172.0</v>
      </c>
      <c r="B1175" s="4" t="s">
        <v>2370</v>
      </c>
      <c r="C1175" s="4" t="s">
        <v>2371</v>
      </c>
      <c r="D1175" s="4" t="s">
        <v>27</v>
      </c>
      <c r="E1175" s="6">
        <v>0.0</v>
      </c>
      <c r="F1175" s="6">
        <v>0.0</v>
      </c>
      <c r="G1175" s="6">
        <v>0.0</v>
      </c>
      <c r="H1175" s="6">
        <v>70438.0</v>
      </c>
    </row>
    <row r="1176" ht="15.75" customHeight="1">
      <c r="A1176" s="4">
        <v>1173.0</v>
      </c>
      <c r="B1176" s="4" t="s">
        <v>2372</v>
      </c>
      <c r="C1176" s="4" t="s">
        <v>2373</v>
      </c>
      <c r="D1176" s="4" t="s">
        <v>27</v>
      </c>
      <c r="E1176" s="6">
        <v>0.0</v>
      </c>
      <c r="F1176" s="6">
        <v>0.0</v>
      </c>
      <c r="G1176" s="6">
        <v>0.0</v>
      </c>
      <c r="H1176" s="6">
        <v>109494.0</v>
      </c>
    </row>
    <row r="1177" ht="15.75" customHeight="1">
      <c r="A1177" s="4">
        <v>1174.0</v>
      </c>
      <c r="B1177" s="4" t="s">
        <v>2374</v>
      </c>
      <c r="C1177" s="4" t="s">
        <v>2375</v>
      </c>
      <c r="D1177" s="4" t="s">
        <v>27</v>
      </c>
      <c r="E1177" s="6">
        <v>0.0</v>
      </c>
      <c r="F1177" s="6">
        <v>0.0</v>
      </c>
      <c r="G1177" s="6">
        <v>0.0</v>
      </c>
      <c r="H1177" s="6">
        <v>159335.0</v>
      </c>
    </row>
    <row r="1178" ht="15.75" customHeight="1">
      <c r="A1178" s="4">
        <v>1175.0</v>
      </c>
      <c r="B1178" s="4" t="s">
        <v>2376</v>
      </c>
      <c r="C1178" s="4" t="s">
        <v>2377</v>
      </c>
      <c r="D1178" s="4" t="s">
        <v>27</v>
      </c>
      <c r="E1178" s="6">
        <v>0.0</v>
      </c>
      <c r="F1178" s="6">
        <v>0.0</v>
      </c>
      <c r="G1178" s="6">
        <v>0.0</v>
      </c>
      <c r="H1178" s="6">
        <v>236373.0</v>
      </c>
    </row>
    <row r="1179" ht="15.75" customHeight="1">
      <c r="A1179" s="4">
        <v>1176.0</v>
      </c>
      <c r="B1179" s="4" t="s">
        <v>2378</v>
      </c>
      <c r="C1179" s="4" t="s">
        <v>2379</v>
      </c>
      <c r="D1179" s="4" t="s">
        <v>27</v>
      </c>
      <c r="E1179" s="6">
        <v>0.0</v>
      </c>
      <c r="F1179" s="6">
        <v>0.0</v>
      </c>
      <c r="G1179" s="6">
        <v>0.0</v>
      </c>
      <c r="H1179" s="6">
        <v>315909.0</v>
      </c>
    </row>
    <row r="1180" ht="15.75" customHeight="1">
      <c r="A1180" s="4">
        <v>1177.0</v>
      </c>
      <c r="B1180" s="4" t="s">
        <v>2380</v>
      </c>
      <c r="C1180" s="4" t="s">
        <v>2381</v>
      </c>
      <c r="D1180" s="4" t="s">
        <v>27</v>
      </c>
      <c r="E1180" s="6">
        <v>0.0</v>
      </c>
      <c r="F1180" s="6">
        <v>0.0</v>
      </c>
      <c r="G1180" s="6">
        <v>0.0</v>
      </c>
      <c r="H1180" s="6">
        <v>406950.0</v>
      </c>
    </row>
    <row r="1181" ht="15.75" customHeight="1">
      <c r="A1181" s="4">
        <v>1178.0</v>
      </c>
      <c r="B1181" s="4" t="s">
        <v>2382</v>
      </c>
      <c r="C1181" s="4" t="s">
        <v>2383</v>
      </c>
      <c r="D1181" s="4" t="s">
        <v>27</v>
      </c>
      <c r="E1181" s="6">
        <v>0.0</v>
      </c>
      <c r="F1181" s="6">
        <v>0.0</v>
      </c>
      <c r="G1181" s="6">
        <v>0.0</v>
      </c>
      <c r="H1181" s="6">
        <v>33539.0</v>
      </c>
    </row>
    <row r="1182" ht="15.75" customHeight="1">
      <c r="A1182" s="4">
        <v>1179.0</v>
      </c>
      <c r="B1182" s="4" t="s">
        <v>2384</v>
      </c>
      <c r="C1182" s="4" t="s">
        <v>2385</v>
      </c>
      <c r="D1182" s="4" t="s">
        <v>27</v>
      </c>
      <c r="E1182" s="6">
        <v>0.0</v>
      </c>
      <c r="F1182" s="6">
        <v>0.0</v>
      </c>
      <c r="G1182" s="6">
        <v>0.0</v>
      </c>
      <c r="H1182" s="6">
        <v>46214.0</v>
      </c>
    </row>
    <row r="1183" ht="15.75" customHeight="1">
      <c r="A1183" s="4">
        <v>1180.0</v>
      </c>
      <c r="B1183" s="4" t="s">
        <v>2386</v>
      </c>
      <c r="C1183" s="4" t="s">
        <v>2387</v>
      </c>
      <c r="D1183" s="4" t="s">
        <v>27</v>
      </c>
      <c r="E1183" s="6">
        <v>0.0</v>
      </c>
      <c r="F1183" s="6">
        <v>0.0</v>
      </c>
      <c r="G1183" s="6">
        <v>0.0</v>
      </c>
      <c r="H1183" s="6">
        <v>66643.0</v>
      </c>
    </row>
    <row r="1184" ht="15.75" customHeight="1">
      <c r="A1184" s="4">
        <v>1181.0</v>
      </c>
      <c r="B1184" s="4" t="s">
        <v>2388</v>
      </c>
      <c r="C1184" s="4" t="s">
        <v>2389</v>
      </c>
      <c r="D1184" s="4" t="s">
        <v>27</v>
      </c>
      <c r="E1184" s="6">
        <v>0.0</v>
      </c>
      <c r="F1184" s="6">
        <v>0.0</v>
      </c>
      <c r="G1184" s="6">
        <v>0.0</v>
      </c>
      <c r="H1184" s="6">
        <v>89413.0</v>
      </c>
    </row>
    <row r="1185" ht="15.75" customHeight="1">
      <c r="A1185" s="4">
        <v>1182.0</v>
      </c>
      <c r="B1185" s="4" t="s">
        <v>2390</v>
      </c>
      <c r="C1185" s="4" t="s">
        <v>2391</v>
      </c>
      <c r="D1185" s="4" t="s">
        <v>27</v>
      </c>
      <c r="E1185" s="6">
        <v>0.0</v>
      </c>
      <c r="F1185" s="6">
        <v>0.0</v>
      </c>
      <c r="G1185" s="6">
        <v>0.0</v>
      </c>
      <c r="H1185" s="6">
        <v>136565.0</v>
      </c>
    </row>
    <row r="1186" ht="15.75" customHeight="1">
      <c r="A1186" s="4">
        <v>1183.0</v>
      </c>
      <c r="B1186" s="4" t="s">
        <v>2392</v>
      </c>
      <c r="C1186" s="4" t="s">
        <v>2393</v>
      </c>
      <c r="D1186" s="4" t="s">
        <v>27</v>
      </c>
      <c r="E1186" s="6">
        <v>0.0</v>
      </c>
      <c r="F1186" s="6">
        <v>0.0</v>
      </c>
      <c r="G1186" s="6">
        <v>0.0</v>
      </c>
      <c r="H1186" s="6">
        <v>202977.0</v>
      </c>
    </row>
    <row r="1187" ht="15.75" customHeight="1">
      <c r="A1187" s="4">
        <v>1184.0</v>
      </c>
      <c r="B1187" s="4" t="s">
        <v>2394</v>
      </c>
      <c r="C1187" s="4" t="s">
        <v>2395</v>
      </c>
      <c r="D1187" s="4" t="s">
        <v>27</v>
      </c>
      <c r="E1187" s="6">
        <v>0.0</v>
      </c>
      <c r="F1187" s="6">
        <v>0.0</v>
      </c>
      <c r="G1187" s="6">
        <v>0.0</v>
      </c>
      <c r="H1187" s="6">
        <v>308660.0</v>
      </c>
    </row>
    <row r="1188" ht="15.75" customHeight="1">
      <c r="A1188" s="4">
        <v>1185.0</v>
      </c>
      <c r="B1188" s="4" t="s">
        <v>2396</v>
      </c>
      <c r="C1188" s="4" t="s">
        <v>2397</v>
      </c>
      <c r="D1188" s="4" t="s">
        <v>27</v>
      </c>
      <c r="E1188" s="6">
        <v>0.0</v>
      </c>
      <c r="F1188" s="6">
        <v>0.0</v>
      </c>
      <c r="G1188" s="6">
        <v>0.0</v>
      </c>
      <c r="H1188" s="6">
        <v>417758.0</v>
      </c>
    </row>
    <row r="1189" ht="15.75" customHeight="1">
      <c r="A1189" s="4">
        <v>1186.0</v>
      </c>
      <c r="B1189" s="4" t="s">
        <v>2398</v>
      </c>
      <c r="C1189" s="4" t="s">
        <v>2399</v>
      </c>
      <c r="D1189" s="4" t="s">
        <v>27</v>
      </c>
      <c r="E1189" s="6">
        <v>0.0</v>
      </c>
      <c r="F1189" s="6">
        <v>0.0</v>
      </c>
      <c r="G1189" s="6">
        <v>0.0</v>
      </c>
      <c r="H1189" s="6">
        <v>551413.0</v>
      </c>
    </row>
    <row r="1190" ht="15.75" customHeight="1">
      <c r="A1190" s="4">
        <v>1187.0</v>
      </c>
      <c r="B1190" s="4" t="s">
        <v>2400</v>
      </c>
      <c r="C1190" s="4" t="s">
        <v>2401</v>
      </c>
      <c r="D1190" s="4" t="s">
        <v>27</v>
      </c>
      <c r="E1190" s="6">
        <v>0.0</v>
      </c>
      <c r="F1190" s="6">
        <v>0.0</v>
      </c>
      <c r="G1190" s="6">
        <v>0.0</v>
      </c>
      <c r="H1190" s="6">
        <v>784751.0</v>
      </c>
    </row>
    <row r="1191" ht="15.75" customHeight="1">
      <c r="A1191" s="4">
        <v>1188.0</v>
      </c>
      <c r="B1191" s="4" t="s">
        <v>2402</v>
      </c>
      <c r="C1191" s="4" t="s">
        <v>2403</v>
      </c>
      <c r="D1191" s="4" t="s">
        <v>27</v>
      </c>
      <c r="E1191" s="6">
        <v>0.0</v>
      </c>
      <c r="F1191" s="6">
        <v>0.0</v>
      </c>
      <c r="G1191" s="6">
        <v>0.0</v>
      </c>
      <c r="H1191" s="6">
        <v>1078808.0</v>
      </c>
    </row>
    <row r="1192" ht="15.75" customHeight="1">
      <c r="A1192" s="4">
        <v>1189.0</v>
      </c>
      <c r="B1192" s="4" t="s">
        <v>2404</v>
      </c>
      <c r="C1192" s="4" t="s">
        <v>2405</v>
      </c>
      <c r="D1192" s="4" t="s">
        <v>27</v>
      </c>
      <c r="E1192" s="6">
        <v>0.0</v>
      </c>
      <c r="F1192" s="6">
        <v>0.0</v>
      </c>
      <c r="G1192" s="6">
        <v>0.0</v>
      </c>
      <c r="H1192" s="6">
        <v>1340284.0</v>
      </c>
    </row>
    <row r="1193" ht="15.75" customHeight="1">
      <c r="A1193" s="4">
        <v>1190.0</v>
      </c>
      <c r="B1193" s="4" t="s">
        <v>2406</v>
      </c>
      <c r="C1193" s="4" t="s">
        <v>2407</v>
      </c>
      <c r="D1193" s="4" t="s">
        <v>27</v>
      </c>
      <c r="E1193" s="6">
        <v>0.0</v>
      </c>
      <c r="F1193" s="6">
        <v>0.0</v>
      </c>
      <c r="G1193" s="6">
        <v>0.0</v>
      </c>
      <c r="H1193" s="6">
        <v>1650121.0</v>
      </c>
    </row>
    <row r="1194" ht="15.75" customHeight="1">
      <c r="A1194" s="4">
        <v>1191.0</v>
      </c>
      <c r="B1194" s="4" t="s">
        <v>2408</v>
      </c>
      <c r="C1194" s="4" t="s">
        <v>2409</v>
      </c>
      <c r="D1194" s="4" t="s">
        <v>27</v>
      </c>
      <c r="E1194" s="6">
        <v>0.0</v>
      </c>
      <c r="F1194" s="6">
        <v>0.0</v>
      </c>
      <c r="G1194" s="6">
        <v>0.0</v>
      </c>
      <c r="H1194" s="6">
        <v>2039488.0</v>
      </c>
    </row>
    <row r="1195" ht="15.75" customHeight="1">
      <c r="A1195" s="4">
        <v>1192.0</v>
      </c>
      <c r="B1195" s="4" t="s">
        <v>2410</v>
      </c>
      <c r="C1195" s="4" t="s">
        <v>2411</v>
      </c>
      <c r="D1195" s="4" t="s">
        <v>27</v>
      </c>
      <c r="E1195" s="6">
        <v>0.0</v>
      </c>
      <c r="F1195" s="6">
        <v>0.0</v>
      </c>
      <c r="G1195" s="6">
        <v>0.0</v>
      </c>
      <c r="H1195" s="6">
        <v>2686893.0</v>
      </c>
    </row>
    <row r="1196" ht="15.75" customHeight="1">
      <c r="A1196" s="4">
        <v>1193.0</v>
      </c>
      <c r="B1196" s="4" t="s">
        <v>2412</v>
      </c>
      <c r="C1196" s="4" t="s">
        <v>2413</v>
      </c>
      <c r="D1196" s="4" t="s">
        <v>27</v>
      </c>
      <c r="E1196" s="6">
        <v>0.0</v>
      </c>
      <c r="F1196" s="6">
        <v>0.0</v>
      </c>
      <c r="G1196" s="6">
        <v>0.0</v>
      </c>
      <c r="H1196" s="6">
        <v>3327109.0</v>
      </c>
    </row>
    <row r="1197" ht="15.75" customHeight="1">
      <c r="A1197" s="9">
        <v>1194.0</v>
      </c>
      <c r="B1197" s="9" t="s">
        <v>2414</v>
      </c>
      <c r="C1197" s="10" t="s">
        <v>2415</v>
      </c>
      <c r="D1197" s="9"/>
      <c r="E1197" s="11"/>
      <c r="F1197" s="11"/>
      <c r="G1197" s="11"/>
      <c r="H1197" s="11"/>
    </row>
    <row r="1198" ht="15.75" customHeight="1">
      <c r="A1198" s="4">
        <v>1195.0</v>
      </c>
      <c r="B1198" s="4" t="s">
        <v>2416</v>
      </c>
      <c r="C1198" s="4" t="s">
        <v>2417</v>
      </c>
      <c r="D1198" s="4" t="s">
        <v>27</v>
      </c>
      <c r="E1198" s="6">
        <v>0.0</v>
      </c>
      <c r="F1198" s="6">
        <v>0.0</v>
      </c>
      <c r="G1198" s="6">
        <v>0.0</v>
      </c>
      <c r="H1198" s="6">
        <v>9163.0</v>
      </c>
    </row>
    <row r="1199" ht="15.75" customHeight="1">
      <c r="A1199" s="4">
        <v>1196.0</v>
      </c>
      <c r="B1199" s="4" t="s">
        <v>2418</v>
      </c>
      <c r="C1199" s="4" t="s">
        <v>2419</v>
      </c>
      <c r="D1199" s="4" t="s">
        <v>27</v>
      </c>
      <c r="E1199" s="6">
        <v>0.0</v>
      </c>
      <c r="F1199" s="6">
        <v>0.0</v>
      </c>
      <c r="G1199" s="6">
        <v>0.0</v>
      </c>
      <c r="H1199" s="6">
        <v>11819.0</v>
      </c>
    </row>
    <row r="1200" ht="15.75" customHeight="1">
      <c r="A1200" s="4">
        <v>1197.0</v>
      </c>
      <c r="B1200" s="4" t="s">
        <v>2420</v>
      </c>
      <c r="C1200" s="4" t="s">
        <v>2421</v>
      </c>
      <c r="D1200" s="4" t="s">
        <v>27</v>
      </c>
      <c r="E1200" s="6">
        <v>0.0</v>
      </c>
      <c r="F1200" s="6">
        <v>0.0</v>
      </c>
      <c r="G1200" s="6">
        <v>0.0</v>
      </c>
      <c r="H1200" s="6">
        <v>18491.0</v>
      </c>
    </row>
    <row r="1201" ht="15.75" customHeight="1">
      <c r="A1201" s="4">
        <v>1198.0</v>
      </c>
      <c r="B1201" s="4" t="s">
        <v>2422</v>
      </c>
      <c r="C1201" s="4" t="s">
        <v>2423</v>
      </c>
      <c r="D1201" s="4" t="s">
        <v>27</v>
      </c>
      <c r="E1201" s="6">
        <v>0.0</v>
      </c>
      <c r="F1201" s="6">
        <v>0.0</v>
      </c>
      <c r="G1201" s="6">
        <v>0.0</v>
      </c>
      <c r="H1201" s="6">
        <v>23424.0</v>
      </c>
    </row>
    <row r="1202" ht="15.75" customHeight="1">
      <c r="A1202" s="4">
        <v>1199.0</v>
      </c>
      <c r="B1202" s="4" t="s">
        <v>2424</v>
      </c>
      <c r="C1202" s="4" t="s">
        <v>2425</v>
      </c>
      <c r="D1202" s="4" t="s">
        <v>27</v>
      </c>
      <c r="E1202" s="6">
        <v>0.0</v>
      </c>
      <c r="F1202" s="6">
        <v>0.0</v>
      </c>
      <c r="G1202" s="6">
        <v>0.0</v>
      </c>
      <c r="H1202" s="6">
        <v>35310.0</v>
      </c>
    </row>
    <row r="1203" ht="15.75" customHeight="1">
      <c r="A1203" s="4">
        <v>1200.0</v>
      </c>
      <c r="B1203" s="4" t="s">
        <v>2426</v>
      </c>
      <c r="C1203" s="4" t="s">
        <v>2427</v>
      </c>
      <c r="D1203" s="4" t="s">
        <v>27</v>
      </c>
      <c r="E1203" s="6">
        <v>0.0</v>
      </c>
      <c r="F1203" s="6">
        <v>0.0</v>
      </c>
      <c r="G1203" s="6">
        <v>0.0</v>
      </c>
      <c r="H1203" s="6">
        <v>51755.0</v>
      </c>
    </row>
    <row r="1204" ht="15.75" customHeight="1">
      <c r="A1204" s="4">
        <v>1201.0</v>
      </c>
      <c r="B1204" s="4" t="s">
        <v>2428</v>
      </c>
      <c r="C1204" s="4" t="s">
        <v>2429</v>
      </c>
      <c r="D1204" s="4" t="s">
        <v>27</v>
      </c>
      <c r="E1204" s="6">
        <v>0.0</v>
      </c>
      <c r="F1204" s="6">
        <v>0.0</v>
      </c>
      <c r="G1204" s="6">
        <v>0.0</v>
      </c>
      <c r="H1204" s="6">
        <v>26834.0</v>
      </c>
    </row>
    <row r="1205" ht="15.75" customHeight="1">
      <c r="A1205" s="4">
        <v>1202.0</v>
      </c>
      <c r="B1205" s="4" t="s">
        <v>2430</v>
      </c>
      <c r="C1205" s="4" t="s">
        <v>2431</v>
      </c>
      <c r="D1205" s="4" t="s">
        <v>27</v>
      </c>
      <c r="E1205" s="6">
        <v>0.0</v>
      </c>
      <c r="F1205" s="6">
        <v>0.0</v>
      </c>
      <c r="G1205" s="6">
        <v>0.0</v>
      </c>
      <c r="H1205" s="6">
        <v>32906.0</v>
      </c>
    </row>
    <row r="1206" ht="15.75" customHeight="1">
      <c r="A1206" s="4">
        <v>1203.0</v>
      </c>
      <c r="B1206" s="4" t="s">
        <v>2432</v>
      </c>
      <c r="C1206" s="4" t="s">
        <v>2433</v>
      </c>
      <c r="D1206" s="4" t="s">
        <v>27</v>
      </c>
      <c r="E1206" s="6">
        <v>0.0</v>
      </c>
      <c r="F1206" s="6">
        <v>0.0</v>
      </c>
      <c r="G1206" s="6">
        <v>0.0</v>
      </c>
      <c r="H1206" s="6">
        <v>39798.0</v>
      </c>
    </row>
    <row r="1207" ht="15.75" customHeight="1">
      <c r="A1207" s="4">
        <v>1204.0</v>
      </c>
      <c r="B1207" s="4" t="s">
        <v>2434</v>
      </c>
      <c r="C1207" s="4" t="s">
        <v>2435</v>
      </c>
      <c r="D1207" s="4" t="s">
        <v>27</v>
      </c>
      <c r="E1207" s="6">
        <v>0.0</v>
      </c>
      <c r="F1207" s="6">
        <v>0.0</v>
      </c>
      <c r="G1207" s="6">
        <v>0.0</v>
      </c>
      <c r="H1207" s="6">
        <v>59911.0</v>
      </c>
    </row>
    <row r="1208" ht="15.75" customHeight="1">
      <c r="A1208" s="4">
        <v>1205.0</v>
      </c>
      <c r="B1208" s="4" t="s">
        <v>2436</v>
      </c>
      <c r="C1208" s="4" t="s">
        <v>2437</v>
      </c>
      <c r="D1208" s="4" t="s">
        <v>27</v>
      </c>
      <c r="E1208" s="6">
        <v>0.0</v>
      </c>
      <c r="F1208" s="6">
        <v>0.0</v>
      </c>
      <c r="G1208" s="6">
        <v>0.0</v>
      </c>
      <c r="H1208" s="6">
        <v>80344.0</v>
      </c>
    </row>
    <row r="1209" ht="15.75" customHeight="1">
      <c r="A1209" s="4">
        <v>1206.0</v>
      </c>
      <c r="B1209" s="4" t="s">
        <v>2438</v>
      </c>
      <c r="C1209" s="4" t="s">
        <v>2439</v>
      </c>
      <c r="D1209" s="4" t="s">
        <v>27</v>
      </c>
      <c r="E1209" s="6">
        <v>0.0</v>
      </c>
      <c r="F1209" s="6">
        <v>0.0</v>
      </c>
      <c r="G1209" s="6">
        <v>0.0</v>
      </c>
      <c r="H1209" s="6">
        <v>100457.0</v>
      </c>
    </row>
    <row r="1210" ht="15.75" customHeight="1">
      <c r="A1210" s="4">
        <v>1207.0</v>
      </c>
      <c r="B1210" s="4" t="s">
        <v>2440</v>
      </c>
      <c r="C1210" s="4" t="s">
        <v>2441</v>
      </c>
      <c r="D1210" s="4" t="s">
        <v>27</v>
      </c>
      <c r="E1210" s="6">
        <v>0.0</v>
      </c>
      <c r="F1210" s="6">
        <v>0.0</v>
      </c>
      <c r="G1210" s="6">
        <v>0.0</v>
      </c>
      <c r="H1210" s="6">
        <v>105256.0</v>
      </c>
    </row>
    <row r="1211" ht="15.75" customHeight="1">
      <c r="A1211" s="4">
        <v>1208.0</v>
      </c>
      <c r="B1211" s="4" t="s">
        <v>2442</v>
      </c>
      <c r="C1211" s="4" t="s">
        <v>2443</v>
      </c>
      <c r="D1211" s="4" t="s">
        <v>27</v>
      </c>
      <c r="E1211" s="6">
        <v>0.0</v>
      </c>
      <c r="F1211" s="6">
        <v>0.0</v>
      </c>
      <c r="G1211" s="6">
        <v>0.0</v>
      </c>
      <c r="H1211" s="6">
        <v>253940.0</v>
      </c>
    </row>
    <row r="1212" ht="15.75" customHeight="1">
      <c r="A1212" s="9">
        <v>1209.0</v>
      </c>
      <c r="B1212" s="9" t="s">
        <v>2444</v>
      </c>
      <c r="C1212" s="10" t="s">
        <v>2445</v>
      </c>
      <c r="D1212" s="9"/>
      <c r="E1212" s="11"/>
      <c r="F1212" s="11"/>
      <c r="G1212" s="11"/>
      <c r="H1212" s="11"/>
    </row>
    <row r="1213" ht="15.75" customHeight="1">
      <c r="A1213" s="4">
        <v>1210.0</v>
      </c>
      <c r="B1213" s="4" t="s">
        <v>2446</v>
      </c>
      <c r="C1213" s="4" t="s">
        <v>2447</v>
      </c>
      <c r="D1213" s="4" t="s">
        <v>27</v>
      </c>
      <c r="E1213" s="6">
        <v>0.0</v>
      </c>
      <c r="F1213" s="6">
        <v>0.0</v>
      </c>
      <c r="G1213" s="6">
        <v>0.0</v>
      </c>
      <c r="H1213" s="6">
        <v>21731.0</v>
      </c>
    </row>
    <row r="1214" ht="15.75" customHeight="1">
      <c r="A1214" s="4">
        <v>1211.0</v>
      </c>
      <c r="B1214" s="4" t="s">
        <v>2448</v>
      </c>
      <c r="C1214" s="4" t="s">
        <v>2449</v>
      </c>
      <c r="D1214" s="4" t="s">
        <v>27</v>
      </c>
      <c r="E1214" s="6">
        <v>0.0</v>
      </c>
      <c r="F1214" s="6">
        <v>0.0</v>
      </c>
      <c r="G1214" s="6">
        <v>0.0</v>
      </c>
      <c r="H1214" s="6">
        <v>27500.0</v>
      </c>
    </row>
    <row r="1215" ht="15.75" customHeight="1">
      <c r="A1215" s="4">
        <v>1212.0</v>
      </c>
      <c r="B1215" s="4" t="s">
        <v>2450</v>
      </c>
      <c r="C1215" s="4" t="s">
        <v>2451</v>
      </c>
      <c r="D1215" s="4" t="s">
        <v>27</v>
      </c>
      <c r="E1215" s="6">
        <v>0.0</v>
      </c>
      <c r="F1215" s="6">
        <v>0.0</v>
      </c>
      <c r="G1215" s="6">
        <v>0.0</v>
      </c>
      <c r="H1215" s="6">
        <v>36344.0</v>
      </c>
    </row>
    <row r="1216" ht="15.75" customHeight="1">
      <c r="A1216" s="4">
        <v>1213.0</v>
      </c>
      <c r="B1216" s="4" t="s">
        <v>2452</v>
      </c>
      <c r="C1216" s="4" t="s">
        <v>2453</v>
      </c>
      <c r="D1216" s="4" t="s">
        <v>27</v>
      </c>
      <c r="E1216" s="6">
        <v>0.0</v>
      </c>
      <c r="F1216" s="6">
        <v>0.0</v>
      </c>
      <c r="G1216" s="6">
        <v>0.0</v>
      </c>
      <c r="H1216" s="6">
        <v>48290.0</v>
      </c>
    </row>
    <row r="1217" ht="15.75" customHeight="1">
      <c r="A1217" s="4">
        <v>1214.0</v>
      </c>
      <c r="B1217" s="4" t="s">
        <v>2454</v>
      </c>
      <c r="C1217" s="4" t="s">
        <v>2455</v>
      </c>
      <c r="D1217" s="4" t="s">
        <v>27</v>
      </c>
      <c r="E1217" s="6">
        <v>0.0</v>
      </c>
      <c r="F1217" s="6">
        <v>0.0</v>
      </c>
      <c r="G1217" s="6">
        <v>0.0</v>
      </c>
      <c r="H1217" s="6">
        <v>74690.0</v>
      </c>
    </row>
    <row r="1218" ht="15.75" customHeight="1">
      <c r="A1218" s="4">
        <v>1215.0</v>
      </c>
      <c r="B1218" s="4" t="s">
        <v>2456</v>
      </c>
      <c r="C1218" s="4" t="s">
        <v>2457</v>
      </c>
      <c r="D1218" s="4" t="s">
        <v>27</v>
      </c>
      <c r="E1218" s="6">
        <v>0.0</v>
      </c>
      <c r="F1218" s="6">
        <v>0.0</v>
      </c>
      <c r="G1218" s="6">
        <v>0.0</v>
      </c>
      <c r="H1218" s="6">
        <v>25058.0</v>
      </c>
    </row>
    <row r="1219" ht="15.75" customHeight="1">
      <c r="A1219" s="4">
        <v>1216.0</v>
      </c>
      <c r="B1219" s="4" t="s">
        <v>2458</v>
      </c>
      <c r="C1219" s="4" t="s">
        <v>2459</v>
      </c>
      <c r="D1219" s="4" t="s">
        <v>27</v>
      </c>
      <c r="E1219" s="6">
        <v>0.0</v>
      </c>
      <c r="F1219" s="6">
        <v>0.0</v>
      </c>
      <c r="G1219" s="6">
        <v>0.0</v>
      </c>
      <c r="H1219" s="6">
        <v>38126.0</v>
      </c>
    </row>
    <row r="1220" ht="15.75" customHeight="1">
      <c r="A1220" s="4">
        <v>1217.0</v>
      </c>
      <c r="B1220" s="4" t="s">
        <v>2460</v>
      </c>
      <c r="C1220" s="4" t="s">
        <v>2461</v>
      </c>
      <c r="D1220" s="4" t="s">
        <v>27</v>
      </c>
      <c r="E1220" s="6">
        <v>0.0</v>
      </c>
      <c r="F1220" s="6">
        <v>0.0</v>
      </c>
      <c r="G1220" s="6">
        <v>0.0</v>
      </c>
      <c r="H1220" s="6">
        <v>47888.0</v>
      </c>
    </row>
    <row r="1221" ht="15.75" customHeight="1">
      <c r="A1221" s="4">
        <v>1218.0</v>
      </c>
      <c r="B1221" s="4" t="s">
        <v>2462</v>
      </c>
      <c r="C1221" s="4" t="s">
        <v>2463</v>
      </c>
      <c r="D1221" s="4" t="s">
        <v>27</v>
      </c>
      <c r="E1221" s="6">
        <v>0.0</v>
      </c>
      <c r="F1221" s="6">
        <v>0.0</v>
      </c>
      <c r="G1221" s="6">
        <v>0.0</v>
      </c>
      <c r="H1221" s="6">
        <v>69140.0</v>
      </c>
    </row>
    <row r="1222" ht="15.75" customHeight="1">
      <c r="A1222" s="4">
        <v>1219.0</v>
      </c>
      <c r="B1222" s="4" t="s">
        <v>2464</v>
      </c>
      <c r="C1222" s="4" t="s">
        <v>2465</v>
      </c>
      <c r="D1222" s="4" t="s">
        <v>27</v>
      </c>
      <c r="E1222" s="6">
        <v>0.0</v>
      </c>
      <c r="F1222" s="6">
        <v>0.0</v>
      </c>
      <c r="G1222" s="6">
        <v>0.0</v>
      </c>
      <c r="H1222" s="6">
        <v>106469.0</v>
      </c>
    </row>
    <row r="1223" ht="15.75" customHeight="1">
      <c r="A1223" s="4">
        <v>1220.0</v>
      </c>
      <c r="B1223" s="4" t="s">
        <v>2466</v>
      </c>
      <c r="C1223" s="4" t="s">
        <v>2467</v>
      </c>
      <c r="D1223" s="4" t="s">
        <v>27</v>
      </c>
      <c r="E1223" s="6">
        <v>0.0</v>
      </c>
      <c r="F1223" s="6">
        <v>0.0</v>
      </c>
      <c r="G1223" s="6">
        <v>0.0</v>
      </c>
      <c r="H1223" s="6">
        <v>29018.0</v>
      </c>
    </row>
    <row r="1224" ht="15.75" customHeight="1">
      <c r="A1224" s="4">
        <v>1221.0</v>
      </c>
      <c r="B1224" s="4" t="s">
        <v>2468</v>
      </c>
      <c r="C1224" s="4" t="s">
        <v>2469</v>
      </c>
      <c r="D1224" s="4" t="s">
        <v>27</v>
      </c>
      <c r="E1224" s="6">
        <v>0.0</v>
      </c>
      <c r="F1224" s="6">
        <v>0.0</v>
      </c>
      <c r="G1224" s="6">
        <v>0.0</v>
      </c>
      <c r="H1224" s="6">
        <v>39974.0</v>
      </c>
    </row>
    <row r="1225" ht="15.75" customHeight="1">
      <c r="A1225" s="4">
        <v>1222.0</v>
      </c>
      <c r="B1225" s="4" t="s">
        <v>2470</v>
      </c>
      <c r="C1225" s="4" t="s">
        <v>2471</v>
      </c>
      <c r="D1225" s="4" t="s">
        <v>27</v>
      </c>
      <c r="E1225" s="6">
        <v>0.0</v>
      </c>
      <c r="F1225" s="6">
        <v>0.0</v>
      </c>
      <c r="G1225" s="6">
        <v>0.0</v>
      </c>
      <c r="H1225" s="6">
        <v>61088.0</v>
      </c>
    </row>
    <row r="1226" ht="15.75" customHeight="1">
      <c r="A1226" s="4">
        <v>1223.0</v>
      </c>
      <c r="B1226" s="4" t="s">
        <v>2472</v>
      </c>
      <c r="C1226" s="4" t="s">
        <v>2473</v>
      </c>
      <c r="D1226" s="4" t="s">
        <v>27</v>
      </c>
      <c r="E1226" s="6">
        <v>0.0</v>
      </c>
      <c r="F1226" s="6">
        <v>0.0</v>
      </c>
      <c r="G1226" s="6">
        <v>0.0</v>
      </c>
      <c r="H1226" s="6">
        <v>84056.0</v>
      </c>
    </row>
    <row r="1227" ht="15.75" customHeight="1">
      <c r="A1227" s="4">
        <v>1224.0</v>
      </c>
      <c r="B1227" s="4" t="s">
        <v>2474</v>
      </c>
      <c r="C1227" s="4" t="s">
        <v>2475</v>
      </c>
      <c r="D1227" s="4" t="s">
        <v>27</v>
      </c>
      <c r="E1227" s="6">
        <v>0.0</v>
      </c>
      <c r="F1227" s="6">
        <v>0.0</v>
      </c>
      <c r="G1227" s="6">
        <v>0.0</v>
      </c>
      <c r="H1227" s="6">
        <v>137753.0</v>
      </c>
    </row>
    <row r="1228" ht="15.75" customHeight="1">
      <c r="A1228" s="4">
        <v>1225.0</v>
      </c>
      <c r="B1228" s="4" t="s">
        <v>2476</v>
      </c>
      <c r="C1228" s="4" t="s">
        <v>2477</v>
      </c>
      <c r="D1228" s="4" t="s">
        <v>27</v>
      </c>
      <c r="E1228" s="6">
        <v>0.0</v>
      </c>
      <c r="F1228" s="6">
        <v>0.0</v>
      </c>
      <c r="G1228" s="6">
        <v>0.0</v>
      </c>
      <c r="H1228" s="6">
        <v>213125.0</v>
      </c>
    </row>
    <row r="1229" ht="15.75" customHeight="1">
      <c r="A1229" s="9">
        <v>1226.0</v>
      </c>
      <c r="B1229" s="9" t="s">
        <v>2478</v>
      </c>
      <c r="C1229" s="10" t="s">
        <v>2479</v>
      </c>
      <c r="D1229" s="9"/>
      <c r="E1229" s="11"/>
      <c r="F1229" s="11"/>
      <c r="G1229" s="11"/>
      <c r="H1229" s="11"/>
    </row>
    <row r="1230" ht="15.75" customHeight="1">
      <c r="A1230" s="4">
        <v>1227.0</v>
      </c>
      <c r="B1230" s="4" t="s">
        <v>2480</v>
      </c>
      <c r="C1230" s="4" t="s">
        <v>2481</v>
      </c>
      <c r="D1230" s="4" t="s">
        <v>27</v>
      </c>
      <c r="E1230" s="6">
        <v>0.0</v>
      </c>
      <c r="F1230" s="6">
        <v>0.0</v>
      </c>
      <c r="G1230" s="6">
        <v>0.0</v>
      </c>
      <c r="H1230" s="6">
        <v>22286.0</v>
      </c>
    </row>
    <row r="1231" ht="15.75" customHeight="1">
      <c r="A1231" s="4">
        <v>1228.0</v>
      </c>
      <c r="B1231" s="4" t="s">
        <v>2482</v>
      </c>
      <c r="C1231" s="4" t="s">
        <v>2483</v>
      </c>
      <c r="D1231" s="4" t="s">
        <v>27</v>
      </c>
      <c r="E1231" s="6">
        <v>0.0</v>
      </c>
      <c r="F1231" s="6">
        <v>0.0</v>
      </c>
      <c r="G1231" s="6">
        <v>0.0</v>
      </c>
      <c r="H1231" s="6">
        <v>28358.0</v>
      </c>
    </row>
    <row r="1232" ht="15.75" customHeight="1">
      <c r="A1232" s="4">
        <v>1229.0</v>
      </c>
      <c r="B1232" s="4" t="s">
        <v>2484</v>
      </c>
      <c r="C1232" s="4" t="s">
        <v>2485</v>
      </c>
      <c r="D1232" s="4" t="s">
        <v>27</v>
      </c>
      <c r="E1232" s="6">
        <v>0.0</v>
      </c>
      <c r="F1232" s="6">
        <v>0.0</v>
      </c>
      <c r="G1232" s="6">
        <v>0.0</v>
      </c>
      <c r="H1232" s="6">
        <v>27698.0</v>
      </c>
    </row>
    <row r="1233" ht="15.75" customHeight="1">
      <c r="A1233" s="4">
        <v>1230.0</v>
      </c>
      <c r="B1233" s="4" t="s">
        <v>2486</v>
      </c>
      <c r="C1233" s="4" t="s">
        <v>2487</v>
      </c>
      <c r="D1233" s="4" t="s">
        <v>27</v>
      </c>
      <c r="E1233" s="6">
        <v>0.0</v>
      </c>
      <c r="F1233" s="6">
        <v>0.0</v>
      </c>
      <c r="G1233" s="6">
        <v>0.0</v>
      </c>
      <c r="H1233" s="6">
        <v>38126.0</v>
      </c>
    </row>
    <row r="1234" ht="15.75" customHeight="1">
      <c r="A1234" s="4">
        <v>1231.0</v>
      </c>
      <c r="B1234" s="4" t="s">
        <v>2488</v>
      </c>
      <c r="C1234" s="4" t="s">
        <v>2489</v>
      </c>
      <c r="D1234" s="4" t="s">
        <v>27</v>
      </c>
      <c r="E1234" s="6">
        <v>0.0</v>
      </c>
      <c r="F1234" s="6">
        <v>0.0</v>
      </c>
      <c r="G1234" s="6">
        <v>0.0</v>
      </c>
      <c r="H1234" s="6">
        <v>47894.0</v>
      </c>
    </row>
    <row r="1235" ht="15.75" customHeight="1">
      <c r="A1235" s="4">
        <v>1232.0</v>
      </c>
      <c r="B1235" s="4" t="s">
        <v>2490</v>
      </c>
      <c r="C1235" s="4" t="s">
        <v>2491</v>
      </c>
      <c r="D1235" s="4" t="s">
        <v>27</v>
      </c>
      <c r="E1235" s="6">
        <v>0.0</v>
      </c>
      <c r="F1235" s="6">
        <v>0.0</v>
      </c>
      <c r="G1235" s="6">
        <v>0.0</v>
      </c>
      <c r="H1235" s="6">
        <v>33110.0</v>
      </c>
    </row>
    <row r="1236" ht="15.75" customHeight="1">
      <c r="A1236" s="4">
        <v>1233.0</v>
      </c>
      <c r="B1236" s="4" t="s">
        <v>2492</v>
      </c>
      <c r="C1236" s="4" t="s">
        <v>2493</v>
      </c>
      <c r="D1236" s="4" t="s">
        <v>27</v>
      </c>
      <c r="E1236" s="6">
        <v>0.0</v>
      </c>
      <c r="F1236" s="6">
        <v>0.0</v>
      </c>
      <c r="G1236" s="6">
        <v>0.0</v>
      </c>
      <c r="H1236" s="6">
        <v>59306.0</v>
      </c>
    </row>
    <row r="1237" ht="15.75" customHeight="1">
      <c r="A1237" s="9">
        <v>1234.0</v>
      </c>
      <c r="B1237" s="9" t="s">
        <v>2494</v>
      </c>
      <c r="C1237" s="10" t="s">
        <v>2495</v>
      </c>
      <c r="D1237" s="9"/>
      <c r="E1237" s="11"/>
      <c r="F1237" s="11"/>
      <c r="G1237" s="11"/>
      <c r="H1237" s="11"/>
    </row>
    <row r="1238" ht="15.75" customHeight="1">
      <c r="A1238" s="4">
        <v>1235.0</v>
      </c>
      <c r="B1238" s="4" t="s">
        <v>2496</v>
      </c>
      <c r="C1238" s="4" t="s">
        <v>2497</v>
      </c>
      <c r="D1238" s="4" t="s">
        <v>27</v>
      </c>
      <c r="E1238" s="6">
        <v>0.0</v>
      </c>
      <c r="F1238" s="6">
        <v>0.0</v>
      </c>
      <c r="G1238" s="6">
        <v>0.0</v>
      </c>
      <c r="H1238" s="6">
        <v>40040.0</v>
      </c>
    </row>
    <row r="1239" ht="15.75" customHeight="1">
      <c r="A1239" s="4">
        <v>1236.0</v>
      </c>
      <c r="B1239" s="4" t="s">
        <v>2498</v>
      </c>
      <c r="C1239" s="4" t="s">
        <v>2499</v>
      </c>
      <c r="D1239" s="4" t="s">
        <v>27</v>
      </c>
      <c r="E1239" s="6">
        <v>0.0</v>
      </c>
      <c r="F1239" s="6">
        <v>0.0</v>
      </c>
      <c r="G1239" s="6">
        <v>0.0</v>
      </c>
      <c r="H1239" s="6">
        <v>50270.0</v>
      </c>
    </row>
    <row r="1240" ht="15.75" customHeight="1">
      <c r="A1240" s="4">
        <v>1237.0</v>
      </c>
      <c r="B1240" s="4" t="s">
        <v>2500</v>
      </c>
      <c r="C1240" s="4" t="s">
        <v>2501</v>
      </c>
      <c r="D1240" s="4" t="s">
        <v>27</v>
      </c>
      <c r="E1240" s="6">
        <v>0.0</v>
      </c>
      <c r="F1240" s="6">
        <v>0.0</v>
      </c>
      <c r="G1240" s="6">
        <v>0.0</v>
      </c>
      <c r="H1240" s="6">
        <v>56474.0</v>
      </c>
    </row>
    <row r="1241" ht="15.75" customHeight="1">
      <c r="A1241" s="4">
        <v>1238.0</v>
      </c>
      <c r="B1241" s="4" t="s">
        <v>2502</v>
      </c>
      <c r="C1241" s="4" t="s">
        <v>2503</v>
      </c>
      <c r="D1241" s="4" t="s">
        <v>27</v>
      </c>
      <c r="E1241" s="6">
        <v>0.0</v>
      </c>
      <c r="F1241" s="6">
        <v>0.0</v>
      </c>
      <c r="G1241" s="6">
        <v>0.0</v>
      </c>
      <c r="H1241" s="6">
        <v>67232.0</v>
      </c>
    </row>
    <row r="1242" ht="15.75" customHeight="1">
      <c r="A1242" s="4">
        <v>1239.0</v>
      </c>
      <c r="B1242" s="4" t="s">
        <v>2504</v>
      </c>
      <c r="C1242" s="4" t="s">
        <v>2505</v>
      </c>
      <c r="D1242" s="4" t="s">
        <v>27</v>
      </c>
      <c r="E1242" s="6">
        <v>0.0</v>
      </c>
      <c r="F1242" s="6">
        <v>0.0</v>
      </c>
      <c r="G1242" s="6">
        <v>0.0</v>
      </c>
      <c r="H1242" s="6">
        <v>90200.0</v>
      </c>
    </row>
    <row r="1243" ht="15.75" customHeight="1">
      <c r="A1243" s="4">
        <v>1240.0</v>
      </c>
      <c r="B1243" s="4" t="s">
        <v>2506</v>
      </c>
      <c r="C1243" s="4" t="s">
        <v>2507</v>
      </c>
      <c r="D1243" s="4" t="s">
        <v>27</v>
      </c>
      <c r="E1243" s="6">
        <v>0.0</v>
      </c>
      <c r="F1243" s="6">
        <v>0.0</v>
      </c>
      <c r="G1243" s="6">
        <v>0.0</v>
      </c>
      <c r="H1243" s="6">
        <v>118250.0</v>
      </c>
    </row>
    <row r="1244" ht="15.75" customHeight="1">
      <c r="A1244" s="4">
        <v>1241.0</v>
      </c>
      <c r="B1244" s="4" t="s">
        <v>2508</v>
      </c>
      <c r="C1244" s="4" t="s">
        <v>2509</v>
      </c>
      <c r="D1244" s="4" t="s">
        <v>27</v>
      </c>
      <c r="E1244" s="6">
        <v>0.0</v>
      </c>
      <c r="F1244" s="6">
        <v>0.0</v>
      </c>
      <c r="G1244" s="6">
        <v>0.0</v>
      </c>
      <c r="H1244" s="6">
        <v>47630.0</v>
      </c>
    </row>
    <row r="1245" ht="15.75" customHeight="1">
      <c r="A1245" s="4">
        <v>1242.0</v>
      </c>
      <c r="B1245" s="4" t="s">
        <v>2510</v>
      </c>
      <c r="C1245" s="4" t="s">
        <v>2511</v>
      </c>
      <c r="D1245" s="4" t="s">
        <v>27</v>
      </c>
      <c r="E1245" s="6">
        <v>0.0</v>
      </c>
      <c r="F1245" s="6">
        <v>0.0</v>
      </c>
      <c r="G1245" s="6">
        <v>0.0</v>
      </c>
      <c r="H1245" s="6">
        <v>55676.0</v>
      </c>
    </row>
    <row r="1246" ht="15.75" customHeight="1">
      <c r="A1246" s="4">
        <v>1243.0</v>
      </c>
      <c r="B1246" s="4" t="s">
        <v>2512</v>
      </c>
      <c r="C1246" s="4" t="s">
        <v>2513</v>
      </c>
      <c r="D1246" s="4" t="s">
        <v>27</v>
      </c>
      <c r="E1246" s="6">
        <v>0.0</v>
      </c>
      <c r="F1246" s="6">
        <v>0.0</v>
      </c>
      <c r="G1246" s="6">
        <v>0.0</v>
      </c>
      <c r="H1246" s="6">
        <v>76928.0</v>
      </c>
    </row>
    <row r="1247" ht="15.75" customHeight="1">
      <c r="A1247" s="4">
        <v>1244.0</v>
      </c>
      <c r="B1247" s="4" t="s">
        <v>2514</v>
      </c>
      <c r="C1247" s="4" t="s">
        <v>2515</v>
      </c>
      <c r="D1247" s="4" t="s">
        <v>27</v>
      </c>
      <c r="E1247" s="6">
        <v>0.0</v>
      </c>
      <c r="F1247" s="6">
        <v>0.0</v>
      </c>
      <c r="G1247" s="6">
        <v>0.0</v>
      </c>
      <c r="H1247" s="6">
        <v>98945.0</v>
      </c>
    </row>
    <row r="1248" ht="15.75" customHeight="1">
      <c r="A1248" s="4">
        <v>1245.0</v>
      </c>
      <c r="B1248" s="4" t="s">
        <v>2516</v>
      </c>
      <c r="C1248" s="4" t="s">
        <v>2517</v>
      </c>
      <c r="D1248" s="4" t="s">
        <v>27</v>
      </c>
      <c r="E1248" s="6">
        <v>0.0</v>
      </c>
      <c r="F1248" s="6">
        <v>0.0</v>
      </c>
      <c r="G1248" s="6">
        <v>0.0</v>
      </c>
      <c r="H1248" s="6">
        <v>120197.0</v>
      </c>
    </row>
    <row r="1249" ht="15.75" customHeight="1">
      <c r="A1249" s="4">
        <v>1246.0</v>
      </c>
      <c r="B1249" s="4" t="s">
        <v>2518</v>
      </c>
      <c r="C1249" s="4" t="s">
        <v>2519</v>
      </c>
      <c r="D1249" s="4" t="s">
        <v>27</v>
      </c>
      <c r="E1249" s="6">
        <v>0.0</v>
      </c>
      <c r="F1249" s="6">
        <v>0.0</v>
      </c>
      <c r="G1249" s="6">
        <v>0.0</v>
      </c>
      <c r="H1249" s="6">
        <v>185273.0</v>
      </c>
    </row>
    <row r="1250" ht="15.75" customHeight="1">
      <c r="A1250" s="4">
        <v>1247.0</v>
      </c>
      <c r="B1250" s="4" t="s">
        <v>2520</v>
      </c>
      <c r="C1250" s="4" t="s">
        <v>2521</v>
      </c>
      <c r="D1250" s="4" t="s">
        <v>27</v>
      </c>
      <c r="E1250" s="6">
        <v>0.0</v>
      </c>
      <c r="F1250" s="6">
        <v>0.0</v>
      </c>
      <c r="G1250" s="6">
        <v>0.0</v>
      </c>
      <c r="H1250" s="6">
        <v>48818.0</v>
      </c>
    </row>
    <row r="1251" ht="15.75" customHeight="1">
      <c r="A1251" s="4">
        <v>1248.0</v>
      </c>
      <c r="B1251" s="4" t="s">
        <v>2522</v>
      </c>
      <c r="C1251" s="4" t="s">
        <v>2523</v>
      </c>
      <c r="D1251" s="4" t="s">
        <v>27</v>
      </c>
      <c r="E1251" s="6">
        <v>0.0</v>
      </c>
      <c r="F1251" s="6">
        <v>0.0</v>
      </c>
      <c r="G1251" s="6">
        <v>0.0</v>
      </c>
      <c r="H1251" s="6">
        <v>63200.0</v>
      </c>
    </row>
    <row r="1252" ht="15.75" customHeight="1">
      <c r="A1252" s="4">
        <v>1249.0</v>
      </c>
      <c r="B1252" s="4" t="s">
        <v>2524</v>
      </c>
      <c r="C1252" s="4" t="s">
        <v>2525</v>
      </c>
      <c r="D1252" s="4" t="s">
        <v>27</v>
      </c>
      <c r="E1252" s="6">
        <v>0.0</v>
      </c>
      <c r="F1252" s="6">
        <v>0.0</v>
      </c>
      <c r="G1252" s="6">
        <v>0.0</v>
      </c>
      <c r="H1252" s="6">
        <v>99368.0</v>
      </c>
    </row>
    <row r="1253" ht="15.75" customHeight="1">
      <c r="A1253" s="4">
        <v>1250.0</v>
      </c>
      <c r="B1253" s="4" t="s">
        <v>2526</v>
      </c>
      <c r="C1253" s="4" t="s">
        <v>2527</v>
      </c>
      <c r="D1253" s="4" t="s">
        <v>27</v>
      </c>
      <c r="E1253" s="6">
        <v>0.0</v>
      </c>
      <c r="F1253" s="6">
        <v>0.0</v>
      </c>
      <c r="G1253" s="6">
        <v>0.0</v>
      </c>
      <c r="H1253" s="6">
        <v>107789.0</v>
      </c>
    </row>
    <row r="1254" ht="15.75" customHeight="1">
      <c r="A1254" s="4">
        <v>1251.0</v>
      </c>
      <c r="B1254" s="4" t="s">
        <v>2528</v>
      </c>
      <c r="C1254" s="4" t="s">
        <v>2529</v>
      </c>
      <c r="D1254" s="4" t="s">
        <v>27</v>
      </c>
      <c r="E1254" s="6">
        <v>0.0</v>
      </c>
      <c r="F1254" s="6">
        <v>0.0</v>
      </c>
      <c r="G1254" s="6">
        <v>0.0</v>
      </c>
      <c r="H1254" s="6">
        <v>147917.0</v>
      </c>
    </row>
    <row r="1255" ht="15.75" customHeight="1">
      <c r="A1255" s="4">
        <v>1252.0</v>
      </c>
      <c r="B1255" s="4" t="s">
        <v>2530</v>
      </c>
      <c r="C1255" s="4" t="s">
        <v>2531</v>
      </c>
      <c r="D1255" s="4" t="s">
        <v>27</v>
      </c>
      <c r="E1255" s="6">
        <v>0.0</v>
      </c>
      <c r="F1255" s="6">
        <v>0.0</v>
      </c>
      <c r="G1255" s="6">
        <v>0.0</v>
      </c>
      <c r="H1255" s="6">
        <v>230516.0</v>
      </c>
    </row>
    <row r="1256" ht="15.75" customHeight="1">
      <c r="A1256" s="4">
        <v>1253.0</v>
      </c>
      <c r="B1256" s="4" t="s">
        <v>2532</v>
      </c>
      <c r="C1256" s="4" t="s">
        <v>2533</v>
      </c>
      <c r="D1256" s="4" t="s">
        <v>27</v>
      </c>
      <c r="E1256" s="6">
        <v>0.0</v>
      </c>
      <c r="F1256" s="6">
        <v>0.0</v>
      </c>
      <c r="G1256" s="6">
        <v>0.0</v>
      </c>
      <c r="H1256" s="6">
        <v>351279.0</v>
      </c>
    </row>
    <row r="1257" ht="15.75" customHeight="1">
      <c r="A1257" s="4">
        <v>1254.0</v>
      </c>
      <c r="B1257" s="4" t="s">
        <v>2534</v>
      </c>
      <c r="C1257" s="4" t="s">
        <v>2535</v>
      </c>
      <c r="D1257" s="4" t="s">
        <v>27</v>
      </c>
      <c r="E1257" s="6">
        <v>0.0</v>
      </c>
      <c r="F1257" s="6">
        <v>0.0</v>
      </c>
      <c r="G1257" s="6">
        <v>0.0</v>
      </c>
      <c r="H1257" s="6">
        <v>445450.0</v>
      </c>
    </row>
    <row r="1258" ht="15.75" customHeight="1">
      <c r="A1258" s="4">
        <v>1255.0</v>
      </c>
      <c r="B1258" s="4" t="s">
        <v>2536</v>
      </c>
      <c r="C1258" s="4" t="s">
        <v>2537</v>
      </c>
      <c r="D1258" s="4" t="s">
        <v>27</v>
      </c>
      <c r="E1258" s="6">
        <v>0.0</v>
      </c>
      <c r="F1258" s="6">
        <v>0.0</v>
      </c>
      <c r="G1258" s="6">
        <v>0.0</v>
      </c>
      <c r="H1258" s="6">
        <v>588417.0</v>
      </c>
    </row>
    <row r="1259" ht="15.75" customHeight="1">
      <c r="A1259" s="4">
        <v>1256.0</v>
      </c>
      <c r="B1259" s="4" t="s">
        <v>2538</v>
      </c>
      <c r="C1259" s="4" t="s">
        <v>2539</v>
      </c>
      <c r="D1259" s="4" t="s">
        <v>27</v>
      </c>
      <c r="E1259" s="6">
        <v>0.0</v>
      </c>
      <c r="F1259" s="6">
        <v>0.0</v>
      </c>
      <c r="G1259" s="6">
        <v>0.0</v>
      </c>
      <c r="H1259" s="6">
        <v>819560.0</v>
      </c>
    </row>
    <row r="1260" ht="15.75" customHeight="1">
      <c r="A1260" s="4">
        <v>1257.0</v>
      </c>
      <c r="B1260" s="4" t="s">
        <v>2540</v>
      </c>
      <c r="C1260" s="4" t="s">
        <v>2541</v>
      </c>
      <c r="D1260" s="4" t="s">
        <v>27</v>
      </c>
      <c r="E1260" s="6">
        <v>0.0</v>
      </c>
      <c r="F1260" s="6">
        <v>0.0</v>
      </c>
      <c r="G1260" s="6">
        <v>0.0</v>
      </c>
      <c r="H1260" s="6">
        <v>1041980.0</v>
      </c>
    </row>
    <row r="1261" ht="15.75" customHeight="1">
      <c r="A1261" s="4">
        <v>1258.0</v>
      </c>
      <c r="B1261" s="4" t="s">
        <v>2542</v>
      </c>
      <c r="C1261" s="4" t="s">
        <v>2543</v>
      </c>
      <c r="D1261" s="4" t="s">
        <v>27</v>
      </c>
      <c r="E1261" s="6">
        <v>0.0</v>
      </c>
      <c r="F1261" s="6">
        <v>0.0</v>
      </c>
      <c r="G1261" s="6">
        <v>0.0</v>
      </c>
      <c r="H1261" s="6">
        <v>1354936.0</v>
      </c>
    </row>
    <row r="1262" ht="15.75" customHeight="1">
      <c r="A1262" s="4">
        <v>1259.0</v>
      </c>
      <c r="B1262" s="4" t="s">
        <v>2544</v>
      </c>
      <c r="C1262" s="4" t="s">
        <v>2545</v>
      </c>
      <c r="D1262" s="4" t="s">
        <v>27</v>
      </c>
      <c r="E1262" s="6">
        <v>0.0</v>
      </c>
      <c r="F1262" s="6">
        <v>0.0</v>
      </c>
      <c r="G1262" s="6">
        <v>0.0</v>
      </c>
      <c r="H1262" s="6">
        <v>1642894.0</v>
      </c>
    </row>
    <row r="1263" ht="15.75" customHeight="1">
      <c r="A1263" s="4">
        <v>1260.0</v>
      </c>
      <c r="B1263" s="4" t="s">
        <v>2546</v>
      </c>
      <c r="C1263" s="4" t="s">
        <v>2547</v>
      </c>
      <c r="D1263" s="4" t="s">
        <v>27</v>
      </c>
      <c r="E1263" s="6">
        <v>0.0</v>
      </c>
      <c r="F1263" s="6">
        <v>0.0</v>
      </c>
      <c r="G1263" s="6">
        <v>0.0</v>
      </c>
      <c r="H1263" s="6">
        <v>2041479.0</v>
      </c>
    </row>
    <row r="1264" ht="15.75" customHeight="1">
      <c r="A1264" s="4">
        <v>1261.0</v>
      </c>
      <c r="B1264" s="4" t="s">
        <v>2548</v>
      </c>
      <c r="C1264" s="4" t="s">
        <v>2549</v>
      </c>
      <c r="D1264" s="4" t="s">
        <v>27</v>
      </c>
      <c r="E1264" s="6">
        <v>0.0</v>
      </c>
      <c r="F1264" s="6">
        <v>0.0</v>
      </c>
      <c r="G1264" s="6">
        <v>0.0</v>
      </c>
      <c r="H1264" s="6">
        <v>2636601.0</v>
      </c>
    </row>
    <row r="1265" ht="15.75" customHeight="1">
      <c r="A1265" s="4">
        <v>1262.0</v>
      </c>
      <c r="B1265" s="4" t="s">
        <v>2550</v>
      </c>
      <c r="C1265" s="4" t="s">
        <v>2551</v>
      </c>
      <c r="D1265" s="4" t="s">
        <v>27</v>
      </c>
      <c r="E1265" s="6">
        <v>0.0</v>
      </c>
      <c r="F1265" s="6">
        <v>0.0</v>
      </c>
      <c r="G1265" s="6">
        <v>0.0</v>
      </c>
      <c r="H1265" s="6">
        <v>3257991.0</v>
      </c>
    </row>
    <row r="1266" ht="15.75" customHeight="1">
      <c r="A1266" s="9">
        <v>1263.0</v>
      </c>
      <c r="B1266" s="9" t="s">
        <v>2552</v>
      </c>
      <c r="C1266" s="10" t="s">
        <v>2553</v>
      </c>
      <c r="D1266" s="9"/>
      <c r="E1266" s="11"/>
      <c r="F1266" s="11"/>
      <c r="G1266" s="11"/>
      <c r="H1266" s="11"/>
    </row>
    <row r="1267" ht="15.75" customHeight="1">
      <c r="A1267" s="4">
        <v>1264.0</v>
      </c>
      <c r="B1267" s="4" t="s">
        <v>2554</v>
      </c>
      <c r="C1267" s="4" t="s">
        <v>2555</v>
      </c>
      <c r="D1267" s="4" t="s">
        <v>27</v>
      </c>
      <c r="E1267" s="6">
        <v>0.0</v>
      </c>
      <c r="F1267" s="6">
        <v>0.0</v>
      </c>
      <c r="G1267" s="6">
        <v>0.0</v>
      </c>
      <c r="H1267" s="6">
        <v>60610.0</v>
      </c>
    </row>
    <row r="1268" ht="15.75" customHeight="1">
      <c r="A1268" s="4">
        <v>1265.0</v>
      </c>
      <c r="B1268" s="4" t="s">
        <v>2556</v>
      </c>
      <c r="C1268" s="4" t="s">
        <v>2557</v>
      </c>
      <c r="D1268" s="4" t="s">
        <v>27</v>
      </c>
      <c r="E1268" s="6">
        <v>0.0</v>
      </c>
      <c r="F1268" s="6">
        <v>0.0</v>
      </c>
      <c r="G1268" s="6">
        <v>0.0</v>
      </c>
      <c r="H1268" s="6">
        <v>126098.0</v>
      </c>
    </row>
    <row r="1269" ht="15.75" customHeight="1">
      <c r="A1269" s="4">
        <v>1266.0</v>
      </c>
      <c r="B1269" s="4" t="s">
        <v>2558</v>
      </c>
      <c r="C1269" s="4" t="s">
        <v>2559</v>
      </c>
      <c r="D1269" s="4" t="s">
        <v>27</v>
      </c>
      <c r="E1269" s="6">
        <v>0.0</v>
      </c>
      <c r="F1269" s="6">
        <v>0.0</v>
      </c>
      <c r="G1269" s="6">
        <v>0.0</v>
      </c>
      <c r="H1269" s="6">
        <v>151398.0</v>
      </c>
    </row>
    <row r="1270" ht="15.75" customHeight="1">
      <c r="A1270" s="4">
        <v>1267.0</v>
      </c>
      <c r="B1270" s="4" t="s">
        <v>2560</v>
      </c>
      <c r="C1270" s="4" t="s">
        <v>2561</v>
      </c>
      <c r="D1270" s="4" t="s">
        <v>27</v>
      </c>
      <c r="E1270" s="6">
        <v>0.0</v>
      </c>
      <c r="F1270" s="6">
        <v>0.0</v>
      </c>
      <c r="G1270" s="6">
        <v>0.0</v>
      </c>
      <c r="H1270" s="6">
        <v>2108557.0</v>
      </c>
    </row>
    <row r="1271" ht="15.75" customHeight="1">
      <c r="A1271" s="4">
        <v>1268.0</v>
      </c>
      <c r="B1271" s="4" t="s">
        <v>2562</v>
      </c>
      <c r="C1271" s="4" t="s">
        <v>2563</v>
      </c>
      <c r="D1271" s="4" t="s">
        <v>27</v>
      </c>
      <c r="E1271" s="6">
        <v>0.0</v>
      </c>
      <c r="F1271" s="6">
        <v>0.0</v>
      </c>
      <c r="G1271" s="6">
        <v>0.0</v>
      </c>
      <c r="H1271" s="6">
        <v>408105.0</v>
      </c>
    </row>
    <row r="1272" ht="15.75" customHeight="1">
      <c r="A1272" s="4">
        <v>1269.0</v>
      </c>
      <c r="B1272" s="4" t="s">
        <v>2564</v>
      </c>
      <c r="C1272" s="4" t="s">
        <v>2565</v>
      </c>
      <c r="D1272" s="4" t="s">
        <v>27</v>
      </c>
      <c r="E1272" s="6">
        <v>0.0</v>
      </c>
      <c r="F1272" s="6">
        <v>0.0</v>
      </c>
      <c r="G1272" s="6">
        <v>0.0</v>
      </c>
      <c r="H1272" s="6">
        <v>44291.0</v>
      </c>
    </row>
    <row r="1273" ht="15.75" customHeight="1">
      <c r="A1273" s="4">
        <v>1270.0</v>
      </c>
      <c r="B1273" s="4" t="s">
        <v>2566</v>
      </c>
      <c r="C1273" s="4" t="s">
        <v>2567</v>
      </c>
      <c r="D1273" s="4" t="s">
        <v>27</v>
      </c>
      <c r="E1273" s="6">
        <v>0.0</v>
      </c>
      <c r="F1273" s="6">
        <v>0.0</v>
      </c>
      <c r="G1273" s="6">
        <v>0.0</v>
      </c>
      <c r="H1273" s="6">
        <v>87554.0</v>
      </c>
    </row>
    <row r="1274" ht="15.75" customHeight="1">
      <c r="A1274" s="9">
        <v>1271.0</v>
      </c>
      <c r="B1274" s="9" t="s">
        <v>2568</v>
      </c>
      <c r="C1274" s="10" t="s">
        <v>2569</v>
      </c>
      <c r="D1274" s="9"/>
      <c r="E1274" s="11"/>
      <c r="F1274" s="11"/>
      <c r="G1274" s="11"/>
      <c r="H1274" s="11"/>
    </row>
    <row r="1275" ht="15.75" customHeight="1">
      <c r="A1275" s="4">
        <v>1272.0</v>
      </c>
      <c r="B1275" s="4" t="s">
        <v>2570</v>
      </c>
      <c r="C1275" s="4" t="s">
        <v>2571</v>
      </c>
      <c r="D1275" s="4" t="s">
        <v>27</v>
      </c>
      <c r="E1275" s="6">
        <v>0.0</v>
      </c>
      <c r="F1275" s="6">
        <v>0.0</v>
      </c>
      <c r="G1275" s="6">
        <v>0.0</v>
      </c>
      <c r="H1275" s="6">
        <v>23171.0</v>
      </c>
    </row>
    <row r="1276" ht="15.75" customHeight="1">
      <c r="A1276" s="4">
        <v>1273.0</v>
      </c>
      <c r="B1276" s="4" t="s">
        <v>2572</v>
      </c>
      <c r="C1276" s="4" t="s">
        <v>2573</v>
      </c>
      <c r="D1276" s="4" t="s">
        <v>27</v>
      </c>
      <c r="E1276" s="6">
        <v>0.0</v>
      </c>
      <c r="F1276" s="6">
        <v>0.0</v>
      </c>
      <c r="G1276" s="6">
        <v>0.0</v>
      </c>
      <c r="H1276" s="6">
        <v>56441.0</v>
      </c>
    </row>
    <row r="1277" ht="15.75" customHeight="1">
      <c r="A1277" s="4">
        <v>1274.0</v>
      </c>
      <c r="B1277" s="4" t="s">
        <v>2574</v>
      </c>
      <c r="C1277" s="4" t="s">
        <v>2575</v>
      </c>
      <c r="D1277" s="4" t="s">
        <v>27</v>
      </c>
      <c r="E1277" s="6">
        <v>0.0</v>
      </c>
      <c r="F1277" s="6">
        <v>0.0</v>
      </c>
      <c r="G1277" s="6">
        <v>0.0</v>
      </c>
      <c r="H1277" s="6">
        <v>46695.0</v>
      </c>
    </row>
    <row r="1278" ht="15.75" customHeight="1">
      <c r="A1278" s="4">
        <v>1275.0</v>
      </c>
      <c r="B1278" s="4" t="s">
        <v>2576</v>
      </c>
      <c r="C1278" s="4" t="s">
        <v>2577</v>
      </c>
      <c r="D1278" s="4" t="s">
        <v>27</v>
      </c>
      <c r="E1278" s="6">
        <v>0.0</v>
      </c>
      <c r="F1278" s="6">
        <v>0.0</v>
      </c>
      <c r="G1278" s="6">
        <v>0.0</v>
      </c>
      <c r="H1278" s="6">
        <v>51755.0</v>
      </c>
    </row>
    <row r="1279" ht="15.75" customHeight="1">
      <c r="A1279" s="4">
        <v>1276.0</v>
      </c>
      <c r="B1279" s="4" t="s">
        <v>2578</v>
      </c>
      <c r="C1279" s="4" t="s">
        <v>2579</v>
      </c>
      <c r="D1279" s="4" t="s">
        <v>27</v>
      </c>
      <c r="E1279" s="6">
        <v>0.0</v>
      </c>
      <c r="F1279" s="6">
        <v>0.0</v>
      </c>
      <c r="G1279" s="6">
        <v>0.0</v>
      </c>
      <c r="H1279" s="6">
        <v>79293.0</v>
      </c>
    </row>
    <row r="1280" ht="15.75" customHeight="1">
      <c r="A1280" s="4">
        <v>1277.0</v>
      </c>
      <c r="B1280" s="4" t="s">
        <v>2580</v>
      </c>
      <c r="C1280" s="4" t="s">
        <v>2581</v>
      </c>
      <c r="D1280" s="4" t="s">
        <v>27</v>
      </c>
      <c r="E1280" s="6">
        <v>0.0</v>
      </c>
      <c r="F1280" s="6">
        <v>0.0</v>
      </c>
      <c r="G1280" s="6">
        <v>0.0</v>
      </c>
      <c r="H1280" s="6">
        <v>106205.0</v>
      </c>
    </row>
    <row r="1281" ht="15.75" customHeight="1">
      <c r="A1281" s="4">
        <v>1278.0</v>
      </c>
      <c r="B1281" s="4" t="s">
        <v>2582</v>
      </c>
      <c r="C1281" s="4" t="s">
        <v>2583</v>
      </c>
      <c r="D1281" s="4" t="s">
        <v>27</v>
      </c>
      <c r="E1281" s="6">
        <v>0.0</v>
      </c>
      <c r="F1281" s="6">
        <v>0.0</v>
      </c>
      <c r="G1281" s="6">
        <v>0.0</v>
      </c>
      <c r="H1281" s="6">
        <v>135932.0</v>
      </c>
    </row>
    <row r="1282" ht="15.75" customHeight="1">
      <c r="A1282" s="4">
        <v>1279.0</v>
      </c>
      <c r="B1282" s="4" t="s">
        <v>2584</v>
      </c>
      <c r="C1282" s="4" t="s">
        <v>2585</v>
      </c>
      <c r="D1282" s="4" t="s">
        <v>27</v>
      </c>
      <c r="E1282" s="6">
        <v>0.0</v>
      </c>
      <c r="F1282" s="6">
        <v>0.0</v>
      </c>
      <c r="G1282" s="6">
        <v>0.0</v>
      </c>
      <c r="H1282" s="6">
        <v>197015.0</v>
      </c>
    </row>
    <row r="1283" ht="15.75" customHeight="1">
      <c r="A1283" s="4">
        <v>1280.0</v>
      </c>
      <c r="B1283" s="4" t="s">
        <v>2586</v>
      </c>
      <c r="C1283" s="4" t="s">
        <v>2587</v>
      </c>
      <c r="D1283" s="4" t="s">
        <v>27</v>
      </c>
      <c r="E1283" s="6">
        <v>0.0</v>
      </c>
      <c r="F1283" s="6">
        <v>0.0</v>
      </c>
      <c r="G1283" s="6">
        <v>0.0</v>
      </c>
      <c r="H1283" s="6">
        <v>259000.0</v>
      </c>
    </row>
    <row r="1284" ht="15.75" customHeight="1">
      <c r="A1284" s="9">
        <v>1281.0</v>
      </c>
      <c r="B1284" s="9" t="s">
        <v>2588</v>
      </c>
      <c r="C1284" s="10" t="s">
        <v>2589</v>
      </c>
      <c r="D1284" s="9"/>
      <c r="E1284" s="11"/>
      <c r="F1284" s="11"/>
      <c r="G1284" s="11"/>
      <c r="H1284" s="11"/>
    </row>
    <row r="1285" ht="15.75" customHeight="1">
      <c r="A1285" s="4">
        <v>1282.0</v>
      </c>
      <c r="B1285" s="4" t="s">
        <v>2590</v>
      </c>
      <c r="C1285" s="4" t="s">
        <v>2591</v>
      </c>
      <c r="D1285" s="4" t="s">
        <v>27</v>
      </c>
      <c r="E1285" s="6">
        <v>0.0</v>
      </c>
      <c r="F1285" s="6">
        <v>0.0</v>
      </c>
      <c r="G1285" s="6">
        <v>0.0</v>
      </c>
      <c r="H1285" s="6">
        <v>23545.0</v>
      </c>
    </row>
    <row r="1286" ht="15.75" customHeight="1">
      <c r="A1286" s="4">
        <v>1283.0</v>
      </c>
      <c r="B1286" s="4" t="s">
        <v>2592</v>
      </c>
      <c r="C1286" s="4" t="s">
        <v>2593</v>
      </c>
      <c r="D1286" s="4" t="s">
        <v>27</v>
      </c>
      <c r="E1286" s="6">
        <v>9100.0</v>
      </c>
      <c r="F1286" s="6">
        <v>14737.5</v>
      </c>
      <c r="G1286" s="6">
        <v>0.0</v>
      </c>
      <c r="H1286" s="6">
        <v>0.0</v>
      </c>
    </row>
    <row r="1287" ht="15.75" customHeight="1">
      <c r="A1287" s="4">
        <v>1284.0</v>
      </c>
      <c r="B1287" s="4" t="s">
        <v>2594</v>
      </c>
      <c r="C1287" s="4" t="s">
        <v>2595</v>
      </c>
      <c r="D1287" s="4" t="s">
        <v>27</v>
      </c>
      <c r="E1287" s="6">
        <v>0.0</v>
      </c>
      <c r="F1287" s="6">
        <v>0.0</v>
      </c>
      <c r="G1287" s="6">
        <v>0.0</v>
      </c>
      <c r="H1287" s="6">
        <v>26221.0</v>
      </c>
    </row>
    <row r="1288" ht="15.75" customHeight="1">
      <c r="A1288" s="4">
        <v>1285.0</v>
      </c>
      <c r="B1288" s="4" t="s">
        <v>2596</v>
      </c>
      <c r="C1288" s="4" t="s">
        <v>2597</v>
      </c>
      <c r="D1288" s="4" t="s">
        <v>27</v>
      </c>
      <c r="E1288" s="6">
        <v>9100.0</v>
      </c>
      <c r="F1288" s="6">
        <v>6440.0</v>
      </c>
      <c r="G1288" s="6">
        <v>0.0</v>
      </c>
      <c r="H1288" s="6">
        <v>0.0</v>
      </c>
    </row>
    <row r="1289" ht="15.75" customHeight="1">
      <c r="A1289" s="4">
        <v>1286.0</v>
      </c>
      <c r="B1289" s="4" t="s">
        <v>2598</v>
      </c>
      <c r="C1289" s="4" t="s">
        <v>2599</v>
      </c>
      <c r="D1289" s="4" t="s">
        <v>27</v>
      </c>
      <c r="E1289" s="6">
        <v>0.0</v>
      </c>
      <c r="F1289" s="6">
        <v>0.0</v>
      </c>
      <c r="G1289" s="6">
        <v>0.0</v>
      </c>
      <c r="H1289" s="6">
        <v>17094.0</v>
      </c>
    </row>
    <row r="1290" ht="15.75" customHeight="1">
      <c r="A1290" s="4">
        <v>1287.0</v>
      </c>
      <c r="B1290" s="4" t="s">
        <v>2600</v>
      </c>
      <c r="C1290" s="4" t="s">
        <v>2601</v>
      </c>
      <c r="D1290" s="4" t="s">
        <v>27</v>
      </c>
      <c r="E1290" s="6">
        <v>11915.0</v>
      </c>
      <c r="F1290" s="6">
        <v>26220.0</v>
      </c>
      <c r="G1290" s="6">
        <v>0.0</v>
      </c>
      <c r="H1290" s="6">
        <v>0.0</v>
      </c>
    </row>
    <row r="1291" ht="15.75" customHeight="1">
      <c r="A1291" s="4">
        <v>1288.0</v>
      </c>
      <c r="B1291" s="4" t="s">
        <v>2602</v>
      </c>
      <c r="C1291" s="4" t="s">
        <v>2603</v>
      </c>
      <c r="D1291" s="4" t="s">
        <v>27</v>
      </c>
      <c r="E1291" s="6">
        <v>0.0</v>
      </c>
      <c r="F1291" s="6">
        <v>0.0</v>
      </c>
      <c r="G1291" s="6">
        <v>0.0</v>
      </c>
      <c r="H1291" s="6">
        <v>41948.0</v>
      </c>
    </row>
    <row r="1292" ht="15.75" customHeight="1">
      <c r="A1292" s="9">
        <v>1289.0</v>
      </c>
      <c r="B1292" s="9" t="s">
        <v>2604</v>
      </c>
      <c r="C1292" s="10" t="s">
        <v>2605</v>
      </c>
      <c r="D1292" s="9"/>
      <c r="E1292" s="11"/>
      <c r="F1292" s="11"/>
      <c r="G1292" s="11"/>
      <c r="H1292" s="11"/>
    </row>
    <row r="1293" ht="15.75" customHeight="1">
      <c r="A1293" s="4">
        <v>1290.0</v>
      </c>
      <c r="B1293" s="4" t="s">
        <v>2606</v>
      </c>
      <c r="C1293" s="4" t="s">
        <v>2607</v>
      </c>
      <c r="D1293" s="4" t="s">
        <v>2608</v>
      </c>
      <c r="E1293" s="6">
        <v>0.0</v>
      </c>
      <c r="F1293" s="6">
        <v>0.0</v>
      </c>
      <c r="G1293" s="6">
        <v>0.0</v>
      </c>
      <c r="H1293" s="6">
        <v>534220.0</v>
      </c>
    </row>
    <row r="1294" ht="15.75" customHeight="1">
      <c r="A1294" s="4">
        <v>1291.0</v>
      </c>
      <c r="B1294" s="4" t="s">
        <v>2609</v>
      </c>
      <c r="C1294" s="4" t="s">
        <v>2610</v>
      </c>
      <c r="D1294" s="4" t="s">
        <v>2608</v>
      </c>
      <c r="E1294" s="6">
        <v>0.0</v>
      </c>
      <c r="F1294" s="6">
        <v>0.0</v>
      </c>
      <c r="G1294" s="6">
        <v>0.0</v>
      </c>
      <c r="H1294" s="6">
        <v>475095.0</v>
      </c>
    </row>
    <row r="1295" ht="15.75" customHeight="1">
      <c r="A1295" s="4">
        <v>1292.0</v>
      </c>
      <c r="B1295" s="4" t="s">
        <v>2611</v>
      </c>
      <c r="C1295" s="4" t="s">
        <v>2612</v>
      </c>
      <c r="D1295" s="4" t="s">
        <v>2608</v>
      </c>
      <c r="E1295" s="6">
        <v>0.0</v>
      </c>
      <c r="F1295" s="6">
        <v>0.0</v>
      </c>
      <c r="G1295" s="6">
        <v>0.0</v>
      </c>
      <c r="H1295" s="6">
        <v>414595.0</v>
      </c>
    </row>
    <row r="1296" ht="15.75" customHeight="1">
      <c r="A1296" s="4">
        <v>1293.0</v>
      </c>
      <c r="B1296" s="4" t="s">
        <v>2613</v>
      </c>
      <c r="C1296" s="4" t="s">
        <v>2614</v>
      </c>
      <c r="D1296" s="4" t="s">
        <v>2608</v>
      </c>
      <c r="E1296" s="6">
        <v>0.0</v>
      </c>
      <c r="F1296" s="6">
        <v>0.0</v>
      </c>
      <c r="G1296" s="6">
        <v>0.0</v>
      </c>
      <c r="H1296" s="6">
        <v>351345.0</v>
      </c>
    </row>
    <row r="1297" ht="15.75" customHeight="1">
      <c r="A1297" s="4">
        <v>1294.0</v>
      </c>
      <c r="B1297" s="4" t="s">
        <v>2615</v>
      </c>
      <c r="C1297" s="4" t="s">
        <v>2616</v>
      </c>
      <c r="D1297" s="4" t="s">
        <v>2608</v>
      </c>
      <c r="E1297" s="6">
        <v>0.0</v>
      </c>
      <c r="F1297" s="6">
        <v>0.0</v>
      </c>
      <c r="G1297" s="6">
        <v>0.0</v>
      </c>
      <c r="H1297" s="6">
        <v>290845.0</v>
      </c>
    </row>
    <row r="1298" ht="15.75" customHeight="1">
      <c r="A1298" s="4">
        <v>1295.0</v>
      </c>
      <c r="B1298" s="4" t="s">
        <v>2617</v>
      </c>
      <c r="C1298" s="4" t="s">
        <v>2618</v>
      </c>
      <c r="D1298" s="4" t="s">
        <v>2608</v>
      </c>
      <c r="E1298" s="6">
        <v>0.0</v>
      </c>
      <c r="F1298" s="6">
        <v>0.0</v>
      </c>
      <c r="G1298" s="6">
        <v>0.0</v>
      </c>
      <c r="H1298" s="6">
        <v>514860.0</v>
      </c>
    </row>
    <row r="1299" ht="15.75" customHeight="1">
      <c r="A1299" s="4">
        <v>1296.0</v>
      </c>
      <c r="B1299" s="4" t="s">
        <v>2619</v>
      </c>
      <c r="C1299" s="4" t="s">
        <v>2620</v>
      </c>
      <c r="D1299" s="4" t="s">
        <v>2608</v>
      </c>
      <c r="E1299" s="6">
        <v>0.0</v>
      </c>
      <c r="F1299" s="6">
        <v>0.0</v>
      </c>
      <c r="G1299" s="6">
        <v>0.0</v>
      </c>
      <c r="H1299" s="6">
        <v>458100.0</v>
      </c>
    </row>
    <row r="1300" ht="15.75" customHeight="1">
      <c r="A1300" s="4">
        <v>1297.0</v>
      </c>
      <c r="B1300" s="4" t="s">
        <v>2621</v>
      </c>
      <c r="C1300" s="4" t="s">
        <v>2622</v>
      </c>
      <c r="D1300" s="4" t="s">
        <v>2608</v>
      </c>
      <c r="E1300" s="6">
        <v>0.0</v>
      </c>
      <c r="F1300" s="6">
        <v>0.0</v>
      </c>
      <c r="G1300" s="6">
        <v>0.0</v>
      </c>
      <c r="H1300" s="6">
        <v>400020.0</v>
      </c>
    </row>
    <row r="1301" ht="15.75" customHeight="1">
      <c r="A1301" s="4">
        <v>1298.0</v>
      </c>
      <c r="B1301" s="4" t="s">
        <v>2623</v>
      </c>
      <c r="C1301" s="4" t="s">
        <v>2624</v>
      </c>
      <c r="D1301" s="4" t="s">
        <v>2608</v>
      </c>
      <c r="E1301" s="6">
        <v>0.0</v>
      </c>
      <c r="F1301" s="6">
        <v>0.0</v>
      </c>
      <c r="G1301" s="6">
        <v>0.0</v>
      </c>
      <c r="H1301" s="6">
        <v>339300.0</v>
      </c>
    </row>
    <row r="1302" ht="15.75" customHeight="1">
      <c r="A1302" s="4">
        <v>1299.0</v>
      </c>
      <c r="B1302" s="4" t="s">
        <v>2625</v>
      </c>
      <c r="C1302" s="4" t="s">
        <v>2626</v>
      </c>
      <c r="D1302" s="4" t="s">
        <v>2608</v>
      </c>
      <c r="E1302" s="6">
        <v>0.0</v>
      </c>
      <c r="F1302" s="6">
        <v>0.0</v>
      </c>
      <c r="G1302" s="6">
        <v>0.0</v>
      </c>
      <c r="H1302" s="6">
        <v>281220.0</v>
      </c>
    </row>
    <row r="1303" ht="15.75" customHeight="1">
      <c r="A1303" s="4">
        <v>1300.0</v>
      </c>
      <c r="B1303" s="4" t="s">
        <v>2627</v>
      </c>
      <c r="C1303" s="4" t="s">
        <v>2628</v>
      </c>
      <c r="D1303" s="4" t="s">
        <v>2608</v>
      </c>
      <c r="E1303" s="6">
        <v>0.0</v>
      </c>
      <c r="F1303" s="6">
        <v>0.0</v>
      </c>
      <c r="G1303" s="6">
        <v>0.0</v>
      </c>
      <c r="H1303" s="6">
        <v>708867.0</v>
      </c>
    </row>
    <row r="1304" ht="15.75" customHeight="1">
      <c r="A1304" s="4">
        <v>1301.0</v>
      </c>
      <c r="B1304" s="4" t="s">
        <v>2629</v>
      </c>
      <c r="C1304" s="4" t="s">
        <v>2630</v>
      </c>
      <c r="D1304" s="4" t="s">
        <v>2608</v>
      </c>
      <c r="E1304" s="6">
        <v>0.0</v>
      </c>
      <c r="F1304" s="6">
        <v>0.0</v>
      </c>
      <c r="G1304" s="6">
        <v>0.0</v>
      </c>
      <c r="H1304" s="6">
        <v>762987.0</v>
      </c>
    </row>
    <row r="1305" ht="15.75" customHeight="1">
      <c r="A1305" s="4">
        <v>1302.0</v>
      </c>
      <c r="B1305" s="4" t="s">
        <v>2631</v>
      </c>
      <c r="C1305" s="4" t="s">
        <v>2632</v>
      </c>
      <c r="D1305" s="4" t="s">
        <v>2608</v>
      </c>
      <c r="E1305" s="6">
        <v>0.0</v>
      </c>
      <c r="F1305" s="6">
        <v>0.0</v>
      </c>
      <c r="G1305" s="6">
        <v>0.0</v>
      </c>
      <c r="H1305" s="6">
        <v>807867.0</v>
      </c>
    </row>
    <row r="1306" ht="15.75" customHeight="1">
      <c r="A1306" s="4">
        <v>1303.0</v>
      </c>
      <c r="B1306" s="4" t="s">
        <v>2633</v>
      </c>
      <c r="C1306" s="4" t="s">
        <v>2634</v>
      </c>
      <c r="D1306" s="4" t="s">
        <v>2608</v>
      </c>
      <c r="E1306" s="6">
        <v>0.0</v>
      </c>
      <c r="F1306" s="6">
        <v>0.0</v>
      </c>
      <c r="G1306" s="6">
        <v>0.0</v>
      </c>
      <c r="H1306" s="6">
        <v>441302.0</v>
      </c>
    </row>
    <row r="1307" ht="15.75" customHeight="1">
      <c r="A1307" s="4">
        <v>1304.0</v>
      </c>
      <c r="B1307" s="4" t="s">
        <v>2635</v>
      </c>
      <c r="C1307" s="4" t="s">
        <v>2636</v>
      </c>
      <c r="D1307" s="4" t="s">
        <v>2608</v>
      </c>
      <c r="E1307" s="6">
        <v>0.0</v>
      </c>
      <c r="F1307" s="6">
        <v>0.0</v>
      </c>
      <c r="G1307" s="6">
        <v>0.0</v>
      </c>
      <c r="H1307" s="6">
        <v>968946.0</v>
      </c>
    </row>
    <row r="1308" ht="15.75" customHeight="1">
      <c r="A1308" s="4">
        <v>1305.0</v>
      </c>
      <c r="B1308" s="4" t="s">
        <v>2637</v>
      </c>
      <c r="C1308" s="4" t="s">
        <v>2638</v>
      </c>
      <c r="D1308" s="4" t="s">
        <v>2608</v>
      </c>
      <c r="E1308" s="6">
        <v>0.0</v>
      </c>
      <c r="F1308" s="6">
        <v>0.0</v>
      </c>
      <c r="G1308" s="6">
        <v>0.0</v>
      </c>
      <c r="H1308" s="6">
        <v>996446.0</v>
      </c>
    </row>
    <row r="1309" ht="15.75" customHeight="1">
      <c r="A1309" s="4">
        <v>1306.0</v>
      </c>
      <c r="B1309" s="4" t="s">
        <v>2639</v>
      </c>
      <c r="C1309" s="4" t="s">
        <v>2640</v>
      </c>
      <c r="D1309" s="4" t="s">
        <v>2608</v>
      </c>
      <c r="E1309" s="6">
        <v>0.0</v>
      </c>
      <c r="F1309" s="6">
        <v>0.0</v>
      </c>
      <c r="G1309" s="6">
        <v>0.0</v>
      </c>
      <c r="H1309" s="6">
        <v>1051446.0</v>
      </c>
    </row>
    <row r="1310" ht="15.75" customHeight="1">
      <c r="A1310" s="4">
        <v>1307.0</v>
      </c>
      <c r="B1310" s="4" t="s">
        <v>2641</v>
      </c>
      <c r="C1310" s="4" t="s">
        <v>2642</v>
      </c>
      <c r="D1310" s="4" t="s">
        <v>2608</v>
      </c>
      <c r="E1310" s="6">
        <v>0.0</v>
      </c>
      <c r="F1310" s="6">
        <v>0.0</v>
      </c>
      <c r="G1310" s="6">
        <v>0.0</v>
      </c>
      <c r="H1310" s="6">
        <v>1106446.0</v>
      </c>
    </row>
    <row r="1311" ht="15.75" customHeight="1">
      <c r="A1311" s="4">
        <v>1308.0</v>
      </c>
      <c r="B1311" s="4" t="s">
        <v>2643</v>
      </c>
      <c r="C1311" s="4" t="s">
        <v>2644</v>
      </c>
      <c r="D1311" s="4" t="s">
        <v>2608</v>
      </c>
      <c r="E1311" s="6">
        <v>0.0</v>
      </c>
      <c r="F1311" s="6">
        <v>0.0</v>
      </c>
      <c r="G1311" s="6">
        <v>0.0</v>
      </c>
      <c r="H1311" s="6">
        <v>996446.0</v>
      </c>
    </row>
    <row r="1312" ht="15.75" customHeight="1">
      <c r="A1312" s="4">
        <v>1309.0</v>
      </c>
      <c r="B1312" s="4" t="s">
        <v>2645</v>
      </c>
      <c r="C1312" s="4" t="s">
        <v>2646</v>
      </c>
      <c r="D1312" s="4" t="s">
        <v>2608</v>
      </c>
      <c r="E1312" s="6">
        <v>0.0</v>
      </c>
      <c r="F1312" s="6">
        <v>0.0</v>
      </c>
      <c r="G1312" s="6">
        <v>0.0</v>
      </c>
      <c r="H1312" s="6">
        <v>1051446.0</v>
      </c>
    </row>
    <row r="1313" ht="15.75" customHeight="1">
      <c r="A1313" s="4">
        <v>1310.0</v>
      </c>
      <c r="B1313" s="4" t="s">
        <v>2647</v>
      </c>
      <c r="C1313" s="4" t="s">
        <v>2648</v>
      </c>
      <c r="D1313" s="4" t="s">
        <v>2608</v>
      </c>
      <c r="E1313" s="6">
        <v>0.0</v>
      </c>
      <c r="F1313" s="6">
        <v>0.0</v>
      </c>
      <c r="G1313" s="6">
        <v>0.0</v>
      </c>
      <c r="H1313" s="6">
        <v>831446.0</v>
      </c>
    </row>
    <row r="1314" ht="15.75" customHeight="1">
      <c r="A1314" s="4">
        <v>1311.0</v>
      </c>
      <c r="B1314" s="4" t="s">
        <v>2649</v>
      </c>
      <c r="C1314" s="4" t="s">
        <v>2650</v>
      </c>
      <c r="D1314" s="4" t="s">
        <v>2608</v>
      </c>
      <c r="E1314" s="6">
        <v>0.0</v>
      </c>
      <c r="F1314" s="6">
        <v>0.0</v>
      </c>
      <c r="G1314" s="6">
        <v>0.0</v>
      </c>
      <c r="H1314" s="6">
        <v>858946.0</v>
      </c>
    </row>
    <row r="1315" ht="15.75" customHeight="1">
      <c r="A1315" s="4">
        <v>1312.0</v>
      </c>
      <c r="B1315" s="4" t="s">
        <v>2651</v>
      </c>
      <c r="C1315" s="4" t="s">
        <v>2652</v>
      </c>
      <c r="D1315" s="4" t="s">
        <v>2608</v>
      </c>
      <c r="E1315" s="6">
        <v>0.0</v>
      </c>
      <c r="F1315" s="6">
        <v>0.0</v>
      </c>
      <c r="G1315" s="6">
        <v>0.0</v>
      </c>
      <c r="H1315" s="6">
        <v>886446.0</v>
      </c>
    </row>
    <row r="1316" ht="15.75" customHeight="1">
      <c r="A1316" s="4">
        <v>1313.0</v>
      </c>
      <c r="B1316" s="4" t="s">
        <v>2653</v>
      </c>
      <c r="C1316" s="4" t="s">
        <v>2654</v>
      </c>
      <c r="D1316" s="4" t="s">
        <v>2608</v>
      </c>
      <c r="E1316" s="6">
        <v>0.0</v>
      </c>
      <c r="F1316" s="6">
        <v>0.0</v>
      </c>
      <c r="G1316" s="6">
        <v>0.0</v>
      </c>
      <c r="H1316" s="6">
        <v>900196.0</v>
      </c>
    </row>
    <row r="1317" ht="15.75" customHeight="1">
      <c r="A1317" s="4">
        <v>1314.0</v>
      </c>
      <c r="B1317" s="4" t="s">
        <v>2655</v>
      </c>
      <c r="C1317" s="4" t="s">
        <v>2656</v>
      </c>
      <c r="D1317" s="4" t="s">
        <v>2608</v>
      </c>
      <c r="E1317" s="6">
        <v>0.0</v>
      </c>
      <c r="F1317" s="6">
        <v>0.0</v>
      </c>
      <c r="G1317" s="6">
        <v>0.0</v>
      </c>
      <c r="H1317" s="6">
        <v>941446.0</v>
      </c>
    </row>
    <row r="1318" ht="15.75" customHeight="1">
      <c r="A1318" s="4">
        <v>1315.0</v>
      </c>
      <c r="B1318" s="4" t="s">
        <v>2657</v>
      </c>
      <c r="C1318" s="4" t="s">
        <v>2658</v>
      </c>
      <c r="D1318" s="4" t="s">
        <v>2608</v>
      </c>
      <c r="E1318" s="6">
        <v>0.0</v>
      </c>
      <c r="F1318" s="6">
        <v>0.0</v>
      </c>
      <c r="G1318" s="6">
        <v>0.0</v>
      </c>
      <c r="H1318" s="6">
        <v>968946.0</v>
      </c>
    </row>
    <row r="1319" ht="15.75" customHeight="1">
      <c r="A1319" s="4">
        <v>1316.0</v>
      </c>
      <c r="B1319" s="4" t="s">
        <v>2659</v>
      </c>
      <c r="C1319" s="4" t="s">
        <v>2660</v>
      </c>
      <c r="D1319" s="4" t="s">
        <v>2608</v>
      </c>
      <c r="E1319" s="6">
        <v>0.0</v>
      </c>
      <c r="F1319" s="6">
        <v>0.0</v>
      </c>
      <c r="G1319" s="6">
        <v>0.0</v>
      </c>
      <c r="H1319" s="6">
        <v>625196.0</v>
      </c>
    </row>
    <row r="1320" ht="15.75" customHeight="1">
      <c r="A1320" s="4">
        <v>1317.0</v>
      </c>
      <c r="B1320" s="4" t="s">
        <v>2661</v>
      </c>
      <c r="C1320" s="4" t="s">
        <v>2662</v>
      </c>
      <c r="D1320" s="4" t="s">
        <v>2608</v>
      </c>
      <c r="E1320" s="6">
        <v>0.0</v>
      </c>
      <c r="F1320" s="6">
        <v>0.0</v>
      </c>
      <c r="G1320" s="6">
        <v>0.0</v>
      </c>
      <c r="H1320" s="6">
        <v>666446.0</v>
      </c>
    </row>
    <row r="1321" ht="15.75" customHeight="1">
      <c r="A1321" s="4">
        <v>1318.0</v>
      </c>
      <c r="B1321" s="4" t="s">
        <v>2663</v>
      </c>
      <c r="C1321" s="4" t="s">
        <v>2664</v>
      </c>
      <c r="D1321" s="4" t="s">
        <v>2608</v>
      </c>
      <c r="E1321" s="6">
        <v>0.0</v>
      </c>
      <c r="F1321" s="6">
        <v>0.0</v>
      </c>
      <c r="G1321" s="6">
        <v>0.0</v>
      </c>
      <c r="H1321" s="6">
        <v>693946.0</v>
      </c>
    </row>
    <row r="1322" ht="15.75" customHeight="1">
      <c r="A1322" s="4">
        <v>1319.0</v>
      </c>
      <c r="B1322" s="4" t="s">
        <v>2665</v>
      </c>
      <c r="C1322" s="4" t="s">
        <v>2666</v>
      </c>
      <c r="D1322" s="4" t="s">
        <v>2608</v>
      </c>
      <c r="E1322" s="6">
        <v>0.0</v>
      </c>
      <c r="F1322" s="6">
        <v>0.0</v>
      </c>
      <c r="G1322" s="6">
        <v>0.0</v>
      </c>
      <c r="H1322" s="6">
        <v>721446.0</v>
      </c>
    </row>
    <row r="1323" ht="15.75" customHeight="1">
      <c r="A1323" s="4">
        <v>1320.0</v>
      </c>
      <c r="B1323" s="4" t="s">
        <v>2667</v>
      </c>
      <c r="C1323" s="4" t="s">
        <v>2668</v>
      </c>
      <c r="D1323" s="4" t="s">
        <v>2608</v>
      </c>
      <c r="E1323" s="6">
        <v>0.0</v>
      </c>
      <c r="F1323" s="6">
        <v>0.0</v>
      </c>
      <c r="G1323" s="6">
        <v>0.0</v>
      </c>
      <c r="H1323" s="6">
        <v>748946.0</v>
      </c>
    </row>
    <row r="1324" ht="15.75" customHeight="1">
      <c r="A1324" s="4">
        <v>1321.0</v>
      </c>
      <c r="B1324" s="4" t="s">
        <v>2669</v>
      </c>
      <c r="C1324" s="4" t="s">
        <v>2670</v>
      </c>
      <c r="D1324" s="4" t="s">
        <v>2608</v>
      </c>
      <c r="E1324" s="6">
        <v>0.0</v>
      </c>
      <c r="F1324" s="6">
        <v>0.0</v>
      </c>
      <c r="G1324" s="6">
        <v>0.0</v>
      </c>
      <c r="H1324" s="6">
        <v>776446.0</v>
      </c>
    </row>
    <row r="1325" ht="15.75" customHeight="1">
      <c r="A1325" s="4">
        <v>1322.0</v>
      </c>
      <c r="B1325" s="4" t="s">
        <v>2671</v>
      </c>
      <c r="C1325" s="4" t="s">
        <v>2672</v>
      </c>
      <c r="D1325" s="4" t="s">
        <v>2608</v>
      </c>
      <c r="E1325" s="6">
        <v>0.0</v>
      </c>
      <c r="F1325" s="6">
        <v>0.0</v>
      </c>
      <c r="G1325" s="6">
        <v>0.0</v>
      </c>
      <c r="H1325" s="6">
        <v>531470.0</v>
      </c>
    </row>
    <row r="1326" ht="15.75" customHeight="1">
      <c r="A1326" s="4">
        <v>1323.0</v>
      </c>
      <c r="B1326" s="4" t="s">
        <v>2673</v>
      </c>
      <c r="C1326" s="4" t="s">
        <v>2674</v>
      </c>
      <c r="D1326" s="4" t="s">
        <v>2608</v>
      </c>
      <c r="E1326" s="6">
        <v>0.0</v>
      </c>
      <c r="F1326" s="6">
        <v>0.0</v>
      </c>
      <c r="G1326" s="6">
        <v>0.0</v>
      </c>
      <c r="H1326" s="6">
        <v>558970.0</v>
      </c>
    </row>
    <row r="1327" ht="15.75" customHeight="1">
      <c r="A1327" s="4">
        <v>1324.0</v>
      </c>
      <c r="B1327" s="4" t="s">
        <v>2675</v>
      </c>
      <c r="C1327" s="4" t="s">
        <v>2676</v>
      </c>
      <c r="D1327" s="4" t="s">
        <v>2608</v>
      </c>
      <c r="E1327" s="6">
        <v>0.0</v>
      </c>
      <c r="F1327" s="6">
        <v>0.0</v>
      </c>
      <c r="G1327" s="6">
        <v>0.0</v>
      </c>
      <c r="H1327" s="6">
        <v>586470.0</v>
      </c>
    </row>
    <row r="1328" ht="15.75" customHeight="1">
      <c r="A1328" s="4">
        <v>1325.0</v>
      </c>
      <c r="B1328" s="4" t="s">
        <v>2677</v>
      </c>
      <c r="C1328" s="4" t="s">
        <v>2678</v>
      </c>
      <c r="D1328" s="4" t="s">
        <v>2608</v>
      </c>
      <c r="E1328" s="6">
        <v>0.0</v>
      </c>
      <c r="F1328" s="6">
        <v>0.0</v>
      </c>
      <c r="G1328" s="6">
        <v>0.0</v>
      </c>
      <c r="H1328" s="6">
        <v>613970.0</v>
      </c>
    </row>
    <row r="1329" ht="15.75" customHeight="1">
      <c r="A1329" s="4">
        <v>1326.0</v>
      </c>
      <c r="B1329" s="4" t="s">
        <v>2679</v>
      </c>
      <c r="C1329" s="4" t="s">
        <v>2680</v>
      </c>
      <c r="D1329" s="4" t="s">
        <v>2608</v>
      </c>
      <c r="E1329" s="6">
        <v>0.0</v>
      </c>
      <c r="F1329" s="6">
        <v>0.0</v>
      </c>
      <c r="G1329" s="6">
        <v>0.0</v>
      </c>
      <c r="H1329" s="6">
        <v>641470.0</v>
      </c>
    </row>
    <row r="1330" ht="15.75" customHeight="1">
      <c r="A1330" s="4">
        <v>1327.0</v>
      </c>
      <c r="B1330" s="4" t="s">
        <v>2681</v>
      </c>
      <c r="C1330" s="4" t="s">
        <v>2682</v>
      </c>
      <c r="D1330" s="4" t="s">
        <v>2608</v>
      </c>
      <c r="E1330" s="6">
        <v>0.0</v>
      </c>
      <c r="F1330" s="6">
        <v>0.0</v>
      </c>
      <c r="G1330" s="6">
        <v>0.0</v>
      </c>
      <c r="H1330" s="6">
        <v>668970.0</v>
      </c>
    </row>
    <row r="1331" ht="15.75" customHeight="1">
      <c r="A1331" s="4">
        <v>1328.0</v>
      </c>
      <c r="B1331" s="4" t="s">
        <v>2683</v>
      </c>
      <c r="C1331" s="4" t="s">
        <v>2684</v>
      </c>
      <c r="D1331" s="4" t="s">
        <v>2608</v>
      </c>
      <c r="E1331" s="6">
        <v>0.0</v>
      </c>
      <c r="F1331" s="6">
        <v>0.0</v>
      </c>
      <c r="G1331" s="6">
        <v>0.0</v>
      </c>
      <c r="H1331" s="6">
        <v>2303845.0</v>
      </c>
    </row>
    <row r="1332" ht="15.75" customHeight="1">
      <c r="A1332" s="4">
        <v>1329.0</v>
      </c>
      <c r="B1332" s="4" t="s">
        <v>2685</v>
      </c>
      <c r="C1332" s="4" t="s">
        <v>2686</v>
      </c>
      <c r="D1332" s="4" t="s">
        <v>2608</v>
      </c>
      <c r="E1332" s="6">
        <v>0.0</v>
      </c>
      <c r="F1332" s="6">
        <v>0.0</v>
      </c>
      <c r="G1332" s="6">
        <v>0.0</v>
      </c>
      <c r="H1332" s="6">
        <v>1776533.0</v>
      </c>
    </row>
    <row r="1333" ht="15.75" customHeight="1">
      <c r="A1333" s="4">
        <v>1330.0</v>
      </c>
      <c r="B1333" s="4" t="s">
        <v>2687</v>
      </c>
      <c r="C1333" s="4" t="s">
        <v>2688</v>
      </c>
      <c r="D1333" s="4" t="s">
        <v>2608</v>
      </c>
      <c r="E1333" s="6">
        <v>0.0</v>
      </c>
      <c r="F1333" s="6">
        <v>0.0</v>
      </c>
      <c r="G1333" s="6">
        <v>0.0</v>
      </c>
      <c r="H1333" s="6">
        <v>1273970.0</v>
      </c>
    </row>
    <row r="1334" ht="15.75" customHeight="1">
      <c r="A1334" s="4">
        <v>1331.0</v>
      </c>
      <c r="B1334" s="4" t="s">
        <v>2689</v>
      </c>
      <c r="C1334" s="4" t="s">
        <v>2690</v>
      </c>
      <c r="D1334" s="4" t="s">
        <v>2608</v>
      </c>
      <c r="E1334" s="6">
        <v>0.0</v>
      </c>
      <c r="F1334" s="6">
        <v>0.0</v>
      </c>
      <c r="G1334" s="6">
        <v>0.0</v>
      </c>
      <c r="H1334" s="6">
        <v>531470.0</v>
      </c>
    </row>
    <row r="1335" ht="15.75" customHeight="1">
      <c r="A1335" s="4">
        <v>1332.0</v>
      </c>
      <c r="B1335" s="4" t="s">
        <v>2691</v>
      </c>
      <c r="C1335" s="4" t="s">
        <v>2692</v>
      </c>
      <c r="D1335" s="4" t="s">
        <v>2608</v>
      </c>
      <c r="E1335" s="6">
        <v>0.0</v>
      </c>
      <c r="F1335" s="6">
        <v>0.0</v>
      </c>
      <c r="G1335" s="6">
        <v>0.0</v>
      </c>
      <c r="H1335" s="6">
        <v>558970.0</v>
      </c>
    </row>
    <row r="1336" ht="15.75" customHeight="1">
      <c r="A1336" s="4">
        <v>1333.0</v>
      </c>
      <c r="B1336" s="4" t="s">
        <v>2693</v>
      </c>
      <c r="C1336" s="4" t="s">
        <v>2694</v>
      </c>
      <c r="D1336" s="4" t="s">
        <v>2608</v>
      </c>
      <c r="E1336" s="6">
        <v>0.0</v>
      </c>
      <c r="F1336" s="6">
        <v>0.0</v>
      </c>
      <c r="G1336" s="6">
        <v>0.0</v>
      </c>
      <c r="H1336" s="6">
        <v>579595.0</v>
      </c>
    </row>
    <row r="1337" ht="15.75" customHeight="1">
      <c r="A1337" s="4">
        <v>1334.0</v>
      </c>
      <c r="B1337" s="4" t="s">
        <v>2695</v>
      </c>
      <c r="C1337" s="4" t="s">
        <v>2696</v>
      </c>
      <c r="D1337" s="4" t="s">
        <v>2608</v>
      </c>
      <c r="E1337" s="6">
        <v>0.0</v>
      </c>
      <c r="F1337" s="6">
        <v>0.0</v>
      </c>
      <c r="G1337" s="6">
        <v>0.0</v>
      </c>
      <c r="H1337" s="6">
        <v>593345.0</v>
      </c>
    </row>
    <row r="1338" ht="15.75" customHeight="1">
      <c r="A1338" s="4">
        <v>1335.0</v>
      </c>
      <c r="B1338" s="4" t="s">
        <v>2697</v>
      </c>
      <c r="C1338" s="4" t="s">
        <v>2698</v>
      </c>
      <c r="D1338" s="4" t="s">
        <v>2608</v>
      </c>
      <c r="E1338" s="6">
        <v>0.0</v>
      </c>
      <c r="F1338" s="6">
        <v>0.0</v>
      </c>
      <c r="G1338" s="6">
        <v>0.0</v>
      </c>
      <c r="H1338" s="6">
        <v>620845.0</v>
      </c>
    </row>
    <row r="1339" ht="15.75" customHeight="1">
      <c r="A1339" s="4">
        <v>1336.0</v>
      </c>
      <c r="B1339" s="4" t="s">
        <v>2699</v>
      </c>
      <c r="C1339" s="4" t="s">
        <v>2700</v>
      </c>
      <c r="D1339" s="4" t="s">
        <v>2608</v>
      </c>
      <c r="E1339" s="6">
        <v>0.0</v>
      </c>
      <c r="F1339" s="6">
        <v>0.0</v>
      </c>
      <c r="G1339" s="6">
        <v>0.0</v>
      </c>
      <c r="H1339" s="6">
        <v>641470.0</v>
      </c>
    </row>
    <row r="1340" ht="15.75" customHeight="1">
      <c r="A1340" s="4">
        <v>1337.0</v>
      </c>
      <c r="B1340" s="4" t="s">
        <v>2701</v>
      </c>
      <c r="C1340" s="4" t="s">
        <v>2702</v>
      </c>
      <c r="D1340" s="4" t="s">
        <v>2608</v>
      </c>
      <c r="E1340" s="6">
        <v>0.0</v>
      </c>
      <c r="F1340" s="6">
        <v>0.0</v>
      </c>
      <c r="G1340" s="6">
        <v>0.0</v>
      </c>
      <c r="H1340" s="6">
        <v>662095.0</v>
      </c>
    </row>
    <row r="1341" ht="15.75" customHeight="1">
      <c r="A1341" s="4">
        <v>1338.0</v>
      </c>
      <c r="B1341" s="4" t="s">
        <v>2703</v>
      </c>
      <c r="C1341" s="4" t="s">
        <v>2704</v>
      </c>
      <c r="D1341" s="4" t="s">
        <v>2608</v>
      </c>
      <c r="E1341" s="6">
        <v>0.0</v>
      </c>
      <c r="F1341" s="6">
        <v>0.0</v>
      </c>
      <c r="G1341" s="6">
        <v>0.0</v>
      </c>
      <c r="H1341" s="6">
        <v>531470.0</v>
      </c>
    </row>
    <row r="1342" ht="15.75" customHeight="1">
      <c r="A1342" s="4">
        <v>1339.0</v>
      </c>
      <c r="B1342" s="4" t="s">
        <v>2705</v>
      </c>
      <c r="C1342" s="4" t="s">
        <v>2706</v>
      </c>
      <c r="D1342" s="4" t="s">
        <v>2608</v>
      </c>
      <c r="E1342" s="6">
        <v>0.0</v>
      </c>
      <c r="F1342" s="6">
        <v>0.0</v>
      </c>
      <c r="G1342" s="6">
        <v>0.0</v>
      </c>
      <c r="H1342" s="6">
        <v>531470.0</v>
      </c>
    </row>
    <row r="1343" ht="15.75" customHeight="1">
      <c r="A1343" s="4">
        <v>1340.0</v>
      </c>
      <c r="B1343" s="4" t="s">
        <v>2707</v>
      </c>
      <c r="C1343" s="4" t="s">
        <v>2708</v>
      </c>
      <c r="D1343" s="4" t="s">
        <v>2608</v>
      </c>
      <c r="E1343" s="6">
        <v>0.0</v>
      </c>
      <c r="F1343" s="6">
        <v>0.0</v>
      </c>
      <c r="G1343" s="6">
        <v>0.0</v>
      </c>
      <c r="H1343" s="6">
        <v>572720.0</v>
      </c>
    </row>
    <row r="1344" ht="15.75" customHeight="1">
      <c r="A1344" s="4">
        <v>1341.0</v>
      </c>
      <c r="B1344" s="4" t="s">
        <v>2709</v>
      </c>
      <c r="C1344" s="4" t="s">
        <v>2710</v>
      </c>
      <c r="D1344" s="4" t="s">
        <v>2608</v>
      </c>
      <c r="E1344" s="6">
        <v>0.0</v>
      </c>
      <c r="F1344" s="6">
        <v>0.0</v>
      </c>
      <c r="G1344" s="6">
        <v>0.0</v>
      </c>
      <c r="H1344" s="6">
        <v>593345.0</v>
      </c>
    </row>
    <row r="1345" ht="15.75" customHeight="1">
      <c r="A1345" s="4">
        <v>1342.0</v>
      </c>
      <c r="B1345" s="4" t="s">
        <v>2711</v>
      </c>
      <c r="C1345" s="4" t="s">
        <v>2712</v>
      </c>
      <c r="D1345" s="4" t="s">
        <v>2608</v>
      </c>
      <c r="E1345" s="6">
        <v>0.0</v>
      </c>
      <c r="F1345" s="6">
        <v>0.0</v>
      </c>
      <c r="G1345" s="6">
        <v>0.0</v>
      </c>
      <c r="H1345" s="6">
        <v>613970.0</v>
      </c>
    </row>
    <row r="1346" ht="15.75" customHeight="1">
      <c r="A1346" s="4">
        <v>1343.0</v>
      </c>
      <c r="B1346" s="4" t="s">
        <v>2713</v>
      </c>
      <c r="C1346" s="4" t="s">
        <v>2714</v>
      </c>
      <c r="D1346" s="4" t="s">
        <v>2608</v>
      </c>
      <c r="E1346" s="6">
        <v>0.0</v>
      </c>
      <c r="F1346" s="6">
        <v>0.0</v>
      </c>
      <c r="G1346" s="6">
        <v>0.0</v>
      </c>
      <c r="H1346" s="6">
        <v>462720.0</v>
      </c>
    </row>
    <row r="1347" ht="15.75" customHeight="1">
      <c r="A1347" s="4">
        <v>1344.0</v>
      </c>
      <c r="B1347" s="4" t="s">
        <v>2715</v>
      </c>
      <c r="C1347" s="4" t="s">
        <v>2716</v>
      </c>
      <c r="D1347" s="4" t="s">
        <v>2608</v>
      </c>
      <c r="E1347" s="6">
        <v>0.0</v>
      </c>
      <c r="F1347" s="6">
        <v>0.0</v>
      </c>
      <c r="G1347" s="6">
        <v>0.0</v>
      </c>
      <c r="H1347" s="6">
        <v>490220.0</v>
      </c>
    </row>
    <row r="1348" ht="15.75" customHeight="1">
      <c r="A1348" s="4">
        <v>1345.0</v>
      </c>
      <c r="B1348" s="4" t="s">
        <v>2717</v>
      </c>
      <c r="C1348" s="4" t="s">
        <v>2718</v>
      </c>
      <c r="D1348" s="4" t="s">
        <v>2608</v>
      </c>
      <c r="E1348" s="6">
        <v>0.0</v>
      </c>
      <c r="F1348" s="6">
        <v>0.0</v>
      </c>
      <c r="G1348" s="6">
        <v>0.0</v>
      </c>
      <c r="H1348" s="6">
        <v>517720.0</v>
      </c>
    </row>
    <row r="1349" ht="15.75" customHeight="1">
      <c r="A1349" s="4">
        <v>1346.0</v>
      </c>
      <c r="B1349" s="4" t="s">
        <v>2719</v>
      </c>
      <c r="C1349" s="4" t="s">
        <v>2720</v>
      </c>
      <c r="D1349" s="4" t="s">
        <v>2608</v>
      </c>
      <c r="E1349" s="6">
        <v>0.0</v>
      </c>
      <c r="F1349" s="6">
        <v>0.0</v>
      </c>
      <c r="G1349" s="6">
        <v>0.0</v>
      </c>
      <c r="H1349" s="6">
        <v>545220.0</v>
      </c>
    </row>
    <row r="1350" ht="15.75" customHeight="1">
      <c r="A1350" s="4">
        <v>1347.0</v>
      </c>
      <c r="B1350" s="4" t="s">
        <v>2721</v>
      </c>
      <c r="C1350" s="4" t="s">
        <v>2722</v>
      </c>
      <c r="D1350" s="4" t="s">
        <v>2608</v>
      </c>
      <c r="E1350" s="6">
        <v>0.0</v>
      </c>
      <c r="F1350" s="6">
        <v>0.0</v>
      </c>
      <c r="G1350" s="6">
        <v>0.0</v>
      </c>
      <c r="H1350" s="6">
        <v>572720.0</v>
      </c>
    </row>
    <row r="1351" ht="15.75" customHeight="1">
      <c r="A1351" s="4">
        <v>1348.0</v>
      </c>
      <c r="B1351" s="4" t="s">
        <v>2723</v>
      </c>
      <c r="C1351" s="4" t="s">
        <v>2724</v>
      </c>
      <c r="D1351" s="4" t="s">
        <v>2608</v>
      </c>
      <c r="E1351" s="6">
        <v>0.0</v>
      </c>
      <c r="F1351" s="6">
        <v>0.0</v>
      </c>
      <c r="G1351" s="6">
        <v>0.0</v>
      </c>
      <c r="H1351" s="6">
        <v>600220.0</v>
      </c>
    </row>
    <row r="1352" ht="15.75" customHeight="1">
      <c r="A1352" s="4">
        <v>1349.0</v>
      </c>
      <c r="B1352" s="4" t="s">
        <v>2725</v>
      </c>
      <c r="C1352" s="4" t="s">
        <v>2726</v>
      </c>
      <c r="D1352" s="4" t="s">
        <v>2608</v>
      </c>
      <c r="E1352" s="6">
        <v>0.0</v>
      </c>
      <c r="F1352" s="6">
        <v>0.0</v>
      </c>
      <c r="G1352" s="6">
        <v>0.0</v>
      </c>
      <c r="H1352" s="6">
        <v>393970.0</v>
      </c>
    </row>
    <row r="1353" ht="15.75" customHeight="1">
      <c r="A1353" s="4">
        <v>1350.0</v>
      </c>
      <c r="B1353" s="4" t="s">
        <v>2727</v>
      </c>
      <c r="C1353" s="4" t="s">
        <v>2728</v>
      </c>
      <c r="D1353" s="4" t="s">
        <v>2608</v>
      </c>
      <c r="E1353" s="6">
        <v>0.0</v>
      </c>
      <c r="F1353" s="6">
        <v>0.0</v>
      </c>
      <c r="G1353" s="6">
        <v>0.0</v>
      </c>
      <c r="H1353" s="6">
        <v>421470.0</v>
      </c>
    </row>
    <row r="1354" ht="15.75" customHeight="1">
      <c r="A1354" s="4">
        <v>1351.0</v>
      </c>
      <c r="B1354" s="4" t="s">
        <v>2729</v>
      </c>
      <c r="C1354" s="4" t="s">
        <v>2730</v>
      </c>
      <c r="D1354" s="4" t="s">
        <v>2608</v>
      </c>
      <c r="E1354" s="6">
        <v>0.0</v>
      </c>
      <c r="F1354" s="6">
        <v>0.0</v>
      </c>
      <c r="G1354" s="6">
        <v>0.0</v>
      </c>
      <c r="H1354" s="6">
        <v>435220.0</v>
      </c>
    </row>
    <row r="1355" ht="15.75" customHeight="1">
      <c r="A1355" s="4">
        <v>1352.0</v>
      </c>
      <c r="B1355" s="4" t="s">
        <v>2731</v>
      </c>
      <c r="C1355" s="4" t="s">
        <v>2732</v>
      </c>
      <c r="D1355" s="4" t="s">
        <v>2608</v>
      </c>
      <c r="E1355" s="6">
        <v>0.0</v>
      </c>
      <c r="F1355" s="6">
        <v>0.0</v>
      </c>
      <c r="G1355" s="6">
        <v>0.0</v>
      </c>
      <c r="H1355" s="6">
        <v>462720.0</v>
      </c>
    </row>
    <row r="1356" ht="15.75" customHeight="1">
      <c r="A1356" s="4">
        <v>1353.0</v>
      </c>
      <c r="B1356" s="4" t="s">
        <v>2733</v>
      </c>
      <c r="C1356" s="4" t="s">
        <v>2734</v>
      </c>
      <c r="D1356" s="4" t="s">
        <v>2608</v>
      </c>
      <c r="E1356" s="6">
        <v>0.0</v>
      </c>
      <c r="F1356" s="6">
        <v>0.0</v>
      </c>
      <c r="G1356" s="6">
        <v>0.0</v>
      </c>
      <c r="H1356" s="6">
        <v>393970.0</v>
      </c>
    </row>
    <row r="1357" ht="15.75" customHeight="1">
      <c r="A1357" s="4">
        <v>1354.0</v>
      </c>
      <c r="B1357" s="4" t="s">
        <v>2735</v>
      </c>
      <c r="C1357" s="4" t="s">
        <v>2736</v>
      </c>
      <c r="D1357" s="4" t="s">
        <v>2608</v>
      </c>
      <c r="E1357" s="6">
        <v>0.0</v>
      </c>
      <c r="F1357" s="6">
        <v>0.0</v>
      </c>
      <c r="G1357" s="6">
        <v>0.0</v>
      </c>
      <c r="H1357" s="6">
        <v>407720.0</v>
      </c>
    </row>
    <row r="1358" ht="15.75" customHeight="1">
      <c r="A1358" s="4">
        <v>1355.0</v>
      </c>
      <c r="B1358" s="4" t="s">
        <v>2737</v>
      </c>
      <c r="C1358" s="4" t="s">
        <v>2738</v>
      </c>
      <c r="D1358" s="4" t="s">
        <v>2608</v>
      </c>
      <c r="E1358" s="6">
        <v>0.0</v>
      </c>
      <c r="F1358" s="6">
        <v>0.0</v>
      </c>
      <c r="G1358" s="6">
        <v>0.0</v>
      </c>
      <c r="H1358" s="6">
        <v>435220.0</v>
      </c>
    </row>
    <row r="1359" ht="15.75" customHeight="1">
      <c r="A1359" s="4">
        <v>1356.0</v>
      </c>
      <c r="B1359" s="4" t="s">
        <v>2739</v>
      </c>
      <c r="C1359" s="4" t="s">
        <v>2740</v>
      </c>
      <c r="D1359" s="4" t="s">
        <v>2608</v>
      </c>
      <c r="E1359" s="6">
        <v>0.0</v>
      </c>
      <c r="F1359" s="6">
        <v>0.0</v>
      </c>
      <c r="G1359" s="6">
        <v>0.0</v>
      </c>
      <c r="H1359" s="6">
        <v>462720.0</v>
      </c>
    </row>
    <row r="1360" ht="15.75" customHeight="1">
      <c r="A1360" s="4">
        <v>1357.0</v>
      </c>
      <c r="B1360" s="4" t="s">
        <v>2741</v>
      </c>
      <c r="C1360" s="4" t="s">
        <v>2742</v>
      </c>
      <c r="D1360" s="4" t="s">
        <v>2608</v>
      </c>
      <c r="E1360" s="6">
        <v>0.0</v>
      </c>
      <c r="F1360" s="6">
        <v>0.0</v>
      </c>
      <c r="G1360" s="6">
        <v>0.0</v>
      </c>
      <c r="H1360" s="6">
        <v>490220.0</v>
      </c>
    </row>
    <row r="1361" ht="15.75" customHeight="1">
      <c r="A1361" s="4">
        <v>1358.0</v>
      </c>
      <c r="B1361" s="4" t="s">
        <v>2743</v>
      </c>
      <c r="C1361" s="4" t="s">
        <v>2744</v>
      </c>
      <c r="D1361" s="4" t="s">
        <v>2608</v>
      </c>
      <c r="E1361" s="6">
        <v>0.0</v>
      </c>
      <c r="F1361" s="6">
        <v>0.0</v>
      </c>
      <c r="G1361" s="6">
        <v>0.0</v>
      </c>
      <c r="H1361" s="6">
        <v>556446.0</v>
      </c>
    </row>
    <row r="1362" ht="15.75" customHeight="1">
      <c r="A1362" s="4">
        <v>1359.0</v>
      </c>
      <c r="B1362" s="4" t="s">
        <v>2745</v>
      </c>
      <c r="C1362" s="4" t="s">
        <v>2746</v>
      </c>
      <c r="D1362" s="4" t="s">
        <v>2608</v>
      </c>
      <c r="E1362" s="6">
        <v>0.0</v>
      </c>
      <c r="F1362" s="6">
        <v>0.0</v>
      </c>
      <c r="G1362" s="6">
        <v>0.0</v>
      </c>
      <c r="H1362" s="6">
        <v>531470.0</v>
      </c>
    </row>
    <row r="1363" ht="15.75" customHeight="1">
      <c r="A1363" s="4">
        <v>1360.0</v>
      </c>
      <c r="B1363" s="4" t="s">
        <v>2747</v>
      </c>
      <c r="C1363" s="4" t="s">
        <v>2748</v>
      </c>
      <c r="D1363" s="4" t="s">
        <v>2608</v>
      </c>
      <c r="E1363" s="6">
        <v>0.0</v>
      </c>
      <c r="F1363" s="6">
        <v>0.0</v>
      </c>
      <c r="G1363" s="6">
        <v>0.0</v>
      </c>
      <c r="H1363" s="6">
        <v>563596.0</v>
      </c>
    </row>
    <row r="1364" ht="15.75" customHeight="1">
      <c r="A1364" s="4">
        <v>1361.0</v>
      </c>
      <c r="B1364" s="4" t="s">
        <v>2749</v>
      </c>
      <c r="C1364" s="4" t="s">
        <v>2750</v>
      </c>
      <c r="D1364" s="4" t="s">
        <v>2608</v>
      </c>
      <c r="E1364" s="6">
        <v>0.0</v>
      </c>
      <c r="F1364" s="6">
        <v>0.0</v>
      </c>
      <c r="G1364" s="6">
        <v>0.0</v>
      </c>
      <c r="H1364" s="6">
        <v>589996.0</v>
      </c>
    </row>
    <row r="1365" ht="15.75" customHeight="1">
      <c r="A1365" s="4">
        <v>1362.0</v>
      </c>
      <c r="B1365" s="4" t="s">
        <v>2751</v>
      </c>
      <c r="C1365" s="4" t="s">
        <v>2752</v>
      </c>
      <c r="D1365" s="4" t="s">
        <v>2608</v>
      </c>
      <c r="E1365" s="6">
        <v>0.0</v>
      </c>
      <c r="F1365" s="6">
        <v>0.0</v>
      </c>
      <c r="G1365" s="6">
        <v>0.0</v>
      </c>
      <c r="H1365" s="6">
        <v>603196.0</v>
      </c>
    </row>
    <row r="1366" ht="15.75" customHeight="1">
      <c r="A1366" s="4">
        <v>1363.0</v>
      </c>
      <c r="B1366" s="4" t="s">
        <v>2753</v>
      </c>
      <c r="C1366" s="4" t="s">
        <v>2754</v>
      </c>
      <c r="D1366" s="4" t="s">
        <v>2608</v>
      </c>
      <c r="E1366" s="6">
        <v>0.0</v>
      </c>
      <c r="F1366" s="6">
        <v>0.0</v>
      </c>
      <c r="G1366" s="6">
        <v>0.0</v>
      </c>
      <c r="H1366" s="6">
        <v>616396.0</v>
      </c>
    </row>
    <row r="1367" ht="15.75" customHeight="1">
      <c r="A1367" s="4">
        <v>1364.0</v>
      </c>
      <c r="B1367" s="4" t="s">
        <v>2755</v>
      </c>
      <c r="C1367" s="4" t="s">
        <v>2756</v>
      </c>
      <c r="D1367" s="4" t="s">
        <v>2608</v>
      </c>
      <c r="E1367" s="6">
        <v>0.0</v>
      </c>
      <c r="F1367" s="6">
        <v>0.0</v>
      </c>
      <c r="G1367" s="6">
        <v>0.0</v>
      </c>
      <c r="H1367" s="6">
        <v>629596.0</v>
      </c>
    </row>
    <row r="1368" ht="15.75" customHeight="1">
      <c r="A1368" s="4">
        <v>1365.0</v>
      </c>
      <c r="B1368" s="4" t="s">
        <v>2757</v>
      </c>
      <c r="C1368" s="4" t="s">
        <v>2758</v>
      </c>
      <c r="D1368" s="4" t="s">
        <v>2608</v>
      </c>
      <c r="E1368" s="6">
        <v>0.0</v>
      </c>
      <c r="F1368" s="6">
        <v>0.0</v>
      </c>
      <c r="G1368" s="6">
        <v>0.0</v>
      </c>
      <c r="H1368" s="6">
        <v>523996.0</v>
      </c>
    </row>
    <row r="1369" ht="15.75" customHeight="1">
      <c r="A1369" s="4">
        <v>1366.0</v>
      </c>
      <c r="B1369" s="4" t="s">
        <v>2759</v>
      </c>
      <c r="C1369" s="4" t="s">
        <v>2760</v>
      </c>
      <c r="D1369" s="4" t="s">
        <v>2608</v>
      </c>
      <c r="E1369" s="6">
        <v>0.0</v>
      </c>
      <c r="F1369" s="6">
        <v>0.0</v>
      </c>
      <c r="G1369" s="6">
        <v>0.0</v>
      </c>
      <c r="H1369" s="6">
        <v>537196.0</v>
      </c>
    </row>
    <row r="1370" ht="15.75" customHeight="1">
      <c r="A1370" s="4">
        <v>1367.0</v>
      </c>
      <c r="B1370" s="4" t="s">
        <v>2761</v>
      </c>
      <c r="C1370" s="4" t="s">
        <v>2762</v>
      </c>
      <c r="D1370" s="4" t="s">
        <v>2608</v>
      </c>
      <c r="E1370" s="6">
        <v>0.0</v>
      </c>
      <c r="F1370" s="6">
        <v>0.0</v>
      </c>
      <c r="G1370" s="6">
        <v>0.0</v>
      </c>
      <c r="H1370" s="6">
        <v>550396.0</v>
      </c>
    </row>
    <row r="1371" ht="15.75" customHeight="1">
      <c r="A1371" s="4">
        <v>1368.0</v>
      </c>
      <c r="B1371" s="4" t="s">
        <v>2763</v>
      </c>
      <c r="C1371" s="4" t="s">
        <v>2764</v>
      </c>
      <c r="D1371" s="4" t="s">
        <v>2608</v>
      </c>
      <c r="E1371" s="6">
        <v>0.0</v>
      </c>
      <c r="F1371" s="6">
        <v>0.0</v>
      </c>
      <c r="G1371" s="6">
        <v>0.0</v>
      </c>
      <c r="H1371" s="6">
        <v>563596.0</v>
      </c>
    </row>
    <row r="1372" ht="15.75" customHeight="1">
      <c r="A1372" s="4">
        <v>1369.0</v>
      </c>
      <c r="B1372" s="4" t="s">
        <v>2765</v>
      </c>
      <c r="C1372" s="4" t="s">
        <v>2766</v>
      </c>
      <c r="D1372" s="4" t="s">
        <v>2608</v>
      </c>
      <c r="E1372" s="6">
        <v>0.0</v>
      </c>
      <c r="F1372" s="6">
        <v>0.0</v>
      </c>
      <c r="G1372" s="6">
        <v>0.0</v>
      </c>
      <c r="H1372" s="6">
        <v>576796.0</v>
      </c>
    </row>
    <row r="1373" ht="15.75" customHeight="1">
      <c r="A1373" s="4">
        <v>1370.0</v>
      </c>
      <c r="B1373" s="4" t="s">
        <v>2767</v>
      </c>
      <c r="C1373" s="4" t="s">
        <v>2768</v>
      </c>
      <c r="D1373" s="4" t="s">
        <v>2608</v>
      </c>
      <c r="E1373" s="6">
        <v>0.0</v>
      </c>
      <c r="F1373" s="6">
        <v>0.0</v>
      </c>
      <c r="G1373" s="6">
        <v>0.0</v>
      </c>
      <c r="H1373" s="6">
        <v>589996.0</v>
      </c>
    </row>
    <row r="1374" ht="15.75" customHeight="1">
      <c r="A1374" s="4">
        <v>1371.0</v>
      </c>
      <c r="B1374" s="4" t="s">
        <v>2769</v>
      </c>
      <c r="C1374" s="4" t="s">
        <v>2770</v>
      </c>
      <c r="D1374" s="4" t="s">
        <v>2608</v>
      </c>
      <c r="E1374" s="6">
        <v>0.0</v>
      </c>
      <c r="F1374" s="6">
        <v>0.0</v>
      </c>
      <c r="G1374" s="6">
        <v>0.0</v>
      </c>
      <c r="H1374" s="6">
        <v>537196.0</v>
      </c>
    </row>
    <row r="1375" ht="15.75" customHeight="1">
      <c r="A1375" s="4">
        <v>1372.0</v>
      </c>
      <c r="B1375" s="4" t="s">
        <v>2771</v>
      </c>
      <c r="C1375" s="4" t="s">
        <v>2772</v>
      </c>
      <c r="D1375" s="4" t="s">
        <v>2608</v>
      </c>
      <c r="E1375" s="6">
        <v>0.0</v>
      </c>
      <c r="F1375" s="6">
        <v>0.0</v>
      </c>
      <c r="G1375" s="6">
        <v>0.0</v>
      </c>
      <c r="H1375" s="6">
        <v>550396.0</v>
      </c>
    </row>
    <row r="1376" ht="15.75" customHeight="1">
      <c r="A1376" s="4">
        <v>1373.0</v>
      </c>
      <c r="B1376" s="4" t="s">
        <v>2773</v>
      </c>
      <c r="C1376" s="4" t="s">
        <v>2774</v>
      </c>
      <c r="D1376" s="4" t="s">
        <v>2608</v>
      </c>
      <c r="E1376" s="6">
        <v>0.0</v>
      </c>
      <c r="F1376" s="6">
        <v>0.0</v>
      </c>
      <c r="G1376" s="6">
        <v>0.0</v>
      </c>
      <c r="H1376" s="6">
        <v>563596.0</v>
      </c>
    </row>
    <row r="1377" ht="15.75" customHeight="1">
      <c r="A1377" s="4">
        <v>1374.0</v>
      </c>
      <c r="B1377" s="4" t="s">
        <v>2775</v>
      </c>
      <c r="C1377" s="4" t="s">
        <v>2776</v>
      </c>
      <c r="D1377" s="4" t="s">
        <v>2608</v>
      </c>
      <c r="E1377" s="6">
        <v>0.0</v>
      </c>
      <c r="F1377" s="6">
        <v>0.0</v>
      </c>
      <c r="G1377" s="6">
        <v>0.0</v>
      </c>
      <c r="H1377" s="6">
        <v>576796.0</v>
      </c>
    </row>
    <row r="1378" ht="15.75" customHeight="1">
      <c r="A1378" s="4">
        <v>1375.0</v>
      </c>
      <c r="B1378" s="4" t="s">
        <v>2777</v>
      </c>
      <c r="C1378" s="4" t="s">
        <v>2778</v>
      </c>
      <c r="D1378" s="4" t="s">
        <v>2608</v>
      </c>
      <c r="E1378" s="6">
        <v>0.0</v>
      </c>
      <c r="F1378" s="6">
        <v>0.0</v>
      </c>
      <c r="G1378" s="6">
        <v>0.0</v>
      </c>
      <c r="H1378" s="6">
        <v>589996.0</v>
      </c>
    </row>
    <row r="1379" ht="15.75" customHeight="1">
      <c r="A1379" s="4">
        <v>1376.0</v>
      </c>
      <c r="B1379" s="4" t="s">
        <v>2779</v>
      </c>
      <c r="C1379" s="4" t="s">
        <v>2780</v>
      </c>
      <c r="D1379" s="4" t="s">
        <v>2608</v>
      </c>
      <c r="E1379" s="6">
        <v>0.0</v>
      </c>
      <c r="F1379" s="6">
        <v>0.0</v>
      </c>
      <c r="G1379" s="6">
        <v>0.0</v>
      </c>
      <c r="H1379" s="6">
        <v>603196.0</v>
      </c>
    </row>
    <row r="1380" ht="15.75" customHeight="1">
      <c r="A1380" s="4">
        <v>1377.0</v>
      </c>
      <c r="B1380" s="4" t="s">
        <v>2781</v>
      </c>
      <c r="C1380" s="4" t="s">
        <v>2782</v>
      </c>
      <c r="D1380" s="4" t="s">
        <v>2608</v>
      </c>
      <c r="E1380" s="6">
        <v>0.0</v>
      </c>
      <c r="F1380" s="6">
        <v>0.0</v>
      </c>
      <c r="G1380" s="6">
        <v>0.0</v>
      </c>
      <c r="H1380" s="6">
        <v>499020.0</v>
      </c>
    </row>
    <row r="1381" ht="15.75" customHeight="1">
      <c r="A1381" s="4">
        <v>1378.0</v>
      </c>
      <c r="B1381" s="4" t="s">
        <v>2783</v>
      </c>
      <c r="C1381" s="4" t="s">
        <v>2784</v>
      </c>
      <c r="D1381" s="4" t="s">
        <v>2608</v>
      </c>
      <c r="E1381" s="6">
        <v>0.0</v>
      </c>
      <c r="F1381" s="6">
        <v>0.0</v>
      </c>
      <c r="G1381" s="6">
        <v>0.0</v>
      </c>
      <c r="H1381" s="6">
        <v>512220.0</v>
      </c>
    </row>
    <row r="1382" ht="15.75" customHeight="1">
      <c r="A1382" s="4">
        <v>1379.0</v>
      </c>
      <c r="B1382" s="4" t="s">
        <v>2785</v>
      </c>
      <c r="C1382" s="4" t="s">
        <v>2786</v>
      </c>
      <c r="D1382" s="4" t="s">
        <v>2608</v>
      </c>
      <c r="E1382" s="6">
        <v>0.0</v>
      </c>
      <c r="F1382" s="6">
        <v>0.0</v>
      </c>
      <c r="G1382" s="6">
        <v>0.0</v>
      </c>
      <c r="H1382" s="6">
        <v>525420.0</v>
      </c>
    </row>
    <row r="1383" ht="15.75" customHeight="1">
      <c r="A1383" s="4">
        <v>1380.0</v>
      </c>
      <c r="B1383" s="4" t="s">
        <v>2787</v>
      </c>
      <c r="C1383" s="4" t="s">
        <v>2788</v>
      </c>
      <c r="D1383" s="4" t="s">
        <v>2608</v>
      </c>
      <c r="E1383" s="6">
        <v>0.0</v>
      </c>
      <c r="F1383" s="6">
        <v>0.0</v>
      </c>
      <c r="G1383" s="6">
        <v>0.0</v>
      </c>
      <c r="H1383" s="6">
        <v>538620.0</v>
      </c>
    </row>
    <row r="1384" ht="15.75" customHeight="1">
      <c r="A1384" s="4">
        <v>1381.0</v>
      </c>
      <c r="B1384" s="4" t="s">
        <v>2789</v>
      </c>
      <c r="C1384" s="4" t="s">
        <v>2790</v>
      </c>
      <c r="D1384" s="4" t="s">
        <v>2608</v>
      </c>
      <c r="E1384" s="6">
        <v>0.0</v>
      </c>
      <c r="F1384" s="6">
        <v>0.0</v>
      </c>
      <c r="G1384" s="6">
        <v>0.0</v>
      </c>
      <c r="H1384" s="6">
        <v>551820.0</v>
      </c>
    </row>
    <row r="1385" ht="15.75" customHeight="1">
      <c r="A1385" s="4">
        <v>1382.0</v>
      </c>
      <c r="B1385" s="4" t="s">
        <v>2791</v>
      </c>
      <c r="C1385" s="4" t="s">
        <v>2792</v>
      </c>
      <c r="D1385" s="4" t="s">
        <v>2608</v>
      </c>
      <c r="E1385" s="6">
        <v>0.0</v>
      </c>
      <c r="F1385" s="6">
        <v>0.0</v>
      </c>
      <c r="G1385" s="6">
        <v>0.0</v>
      </c>
      <c r="H1385" s="6">
        <v>565020.0</v>
      </c>
    </row>
    <row r="1386" ht="15.75" customHeight="1">
      <c r="A1386" s="4">
        <v>1383.0</v>
      </c>
      <c r="B1386" s="4" t="s">
        <v>2793</v>
      </c>
      <c r="C1386" s="4" t="s">
        <v>2794</v>
      </c>
      <c r="D1386" s="4" t="s">
        <v>2608</v>
      </c>
      <c r="E1386" s="6">
        <v>0.0</v>
      </c>
      <c r="F1386" s="6">
        <v>0.0</v>
      </c>
      <c r="G1386" s="6">
        <v>0.0</v>
      </c>
      <c r="H1386" s="6">
        <v>499020.0</v>
      </c>
    </row>
    <row r="1387" ht="15.75" customHeight="1">
      <c r="A1387" s="4">
        <v>1384.0</v>
      </c>
      <c r="B1387" s="4" t="s">
        <v>2795</v>
      </c>
      <c r="C1387" s="4" t="s">
        <v>2796</v>
      </c>
      <c r="D1387" s="4" t="s">
        <v>2608</v>
      </c>
      <c r="E1387" s="6">
        <v>0.0</v>
      </c>
      <c r="F1387" s="6">
        <v>0.0</v>
      </c>
      <c r="G1387" s="6">
        <v>0.0</v>
      </c>
      <c r="H1387" s="6">
        <v>512220.0</v>
      </c>
    </row>
    <row r="1388" ht="15.75" customHeight="1">
      <c r="A1388" s="4">
        <v>1385.0</v>
      </c>
      <c r="B1388" s="4" t="s">
        <v>2797</v>
      </c>
      <c r="C1388" s="4" t="s">
        <v>2798</v>
      </c>
      <c r="D1388" s="4" t="s">
        <v>2608</v>
      </c>
      <c r="E1388" s="6">
        <v>0.0</v>
      </c>
      <c r="F1388" s="6">
        <v>0.0</v>
      </c>
      <c r="G1388" s="6">
        <v>0.0</v>
      </c>
      <c r="H1388" s="6">
        <v>525420.0</v>
      </c>
    </row>
    <row r="1389" ht="15.75" customHeight="1">
      <c r="A1389" s="4">
        <v>1386.0</v>
      </c>
      <c r="B1389" s="4" t="s">
        <v>2799</v>
      </c>
      <c r="C1389" s="4" t="s">
        <v>2800</v>
      </c>
      <c r="D1389" s="4" t="s">
        <v>2608</v>
      </c>
      <c r="E1389" s="6">
        <v>0.0</v>
      </c>
      <c r="F1389" s="6">
        <v>0.0</v>
      </c>
      <c r="G1389" s="6">
        <v>0.0</v>
      </c>
      <c r="H1389" s="6">
        <v>538620.0</v>
      </c>
    </row>
    <row r="1390" ht="15.75" customHeight="1">
      <c r="A1390" s="4">
        <v>1387.0</v>
      </c>
      <c r="B1390" s="4" t="s">
        <v>2801</v>
      </c>
      <c r="C1390" s="4" t="s">
        <v>2802</v>
      </c>
      <c r="D1390" s="4" t="s">
        <v>2608</v>
      </c>
      <c r="E1390" s="6">
        <v>0.0</v>
      </c>
      <c r="F1390" s="6">
        <v>0.0</v>
      </c>
      <c r="G1390" s="6">
        <v>0.0</v>
      </c>
      <c r="H1390" s="6">
        <v>565020.0</v>
      </c>
    </row>
    <row r="1391" ht="15.75" customHeight="1">
      <c r="A1391" s="4">
        <v>1388.0</v>
      </c>
      <c r="B1391" s="4" t="s">
        <v>2803</v>
      </c>
      <c r="C1391" s="4" t="s">
        <v>2804</v>
      </c>
      <c r="D1391" s="4" t="s">
        <v>2608</v>
      </c>
      <c r="E1391" s="6">
        <v>0.0</v>
      </c>
      <c r="F1391" s="6">
        <v>0.0</v>
      </c>
      <c r="G1391" s="6">
        <v>0.0</v>
      </c>
      <c r="H1391" s="6">
        <v>499020.0</v>
      </c>
    </row>
    <row r="1392" ht="15.75" customHeight="1">
      <c r="A1392" s="4">
        <v>1389.0</v>
      </c>
      <c r="B1392" s="4" t="s">
        <v>2805</v>
      </c>
      <c r="C1392" s="4" t="s">
        <v>2806</v>
      </c>
      <c r="D1392" s="4" t="s">
        <v>2608</v>
      </c>
      <c r="E1392" s="6">
        <v>0.0</v>
      </c>
      <c r="F1392" s="6">
        <v>0.0</v>
      </c>
      <c r="G1392" s="6">
        <v>0.0</v>
      </c>
      <c r="H1392" s="6">
        <v>512220.0</v>
      </c>
    </row>
    <row r="1393" ht="15.75" customHeight="1">
      <c r="A1393" s="4">
        <v>1390.0</v>
      </c>
      <c r="B1393" s="4" t="s">
        <v>2807</v>
      </c>
      <c r="C1393" s="4" t="s">
        <v>2808</v>
      </c>
      <c r="D1393" s="4" t="s">
        <v>2608</v>
      </c>
      <c r="E1393" s="6">
        <v>0.0</v>
      </c>
      <c r="F1393" s="6">
        <v>0.0</v>
      </c>
      <c r="G1393" s="6">
        <v>0.0</v>
      </c>
      <c r="H1393" s="6">
        <v>525420.0</v>
      </c>
    </row>
    <row r="1394" ht="15.75" customHeight="1">
      <c r="A1394" s="4">
        <v>1391.0</v>
      </c>
      <c r="B1394" s="4" t="s">
        <v>2809</v>
      </c>
      <c r="C1394" s="4" t="s">
        <v>2810</v>
      </c>
      <c r="D1394" s="4" t="s">
        <v>2608</v>
      </c>
      <c r="E1394" s="6">
        <v>0.0</v>
      </c>
      <c r="F1394" s="6">
        <v>0.0</v>
      </c>
      <c r="G1394" s="6">
        <v>0.0</v>
      </c>
      <c r="H1394" s="6">
        <v>538620.0</v>
      </c>
    </row>
    <row r="1395" ht="15.75" customHeight="1">
      <c r="A1395" s="4">
        <v>1392.0</v>
      </c>
      <c r="B1395" s="4" t="s">
        <v>2811</v>
      </c>
      <c r="C1395" s="4" t="s">
        <v>2812</v>
      </c>
      <c r="D1395" s="4" t="s">
        <v>2608</v>
      </c>
      <c r="E1395" s="6">
        <v>0.0</v>
      </c>
      <c r="F1395" s="6">
        <v>0.0</v>
      </c>
      <c r="G1395" s="6">
        <v>0.0</v>
      </c>
      <c r="H1395" s="6">
        <v>551820.0</v>
      </c>
    </row>
    <row r="1396" ht="15.75" customHeight="1">
      <c r="A1396" s="4">
        <v>1393.0</v>
      </c>
      <c r="B1396" s="4" t="s">
        <v>2813</v>
      </c>
      <c r="C1396" s="4" t="s">
        <v>2814</v>
      </c>
      <c r="D1396" s="4" t="s">
        <v>2608</v>
      </c>
      <c r="E1396" s="6">
        <v>0.0</v>
      </c>
      <c r="F1396" s="6">
        <v>0.0</v>
      </c>
      <c r="G1396" s="6">
        <v>0.0</v>
      </c>
      <c r="H1396" s="6">
        <v>499020.0</v>
      </c>
    </row>
    <row r="1397" ht="15.75" customHeight="1">
      <c r="A1397" s="4">
        <v>1394.0</v>
      </c>
      <c r="B1397" s="4" t="s">
        <v>2815</v>
      </c>
      <c r="C1397" s="4" t="s">
        <v>2816</v>
      </c>
      <c r="D1397" s="4" t="s">
        <v>2608</v>
      </c>
      <c r="E1397" s="6">
        <v>0.0</v>
      </c>
      <c r="F1397" s="6">
        <v>0.0</v>
      </c>
      <c r="G1397" s="6">
        <v>0.0</v>
      </c>
      <c r="H1397" s="6">
        <v>512220.0</v>
      </c>
    </row>
    <row r="1398" ht="15.75" customHeight="1">
      <c r="A1398" s="4">
        <v>1395.0</v>
      </c>
      <c r="B1398" s="4" t="s">
        <v>2817</v>
      </c>
      <c r="C1398" s="4" t="s">
        <v>2818</v>
      </c>
      <c r="D1398" s="4" t="s">
        <v>2608</v>
      </c>
      <c r="E1398" s="6">
        <v>0.0</v>
      </c>
      <c r="F1398" s="6">
        <v>0.0</v>
      </c>
      <c r="G1398" s="6">
        <v>0.0</v>
      </c>
      <c r="H1398" s="6">
        <v>525420.0</v>
      </c>
    </row>
    <row r="1399" ht="15.75" customHeight="1">
      <c r="A1399" s="4">
        <v>1396.0</v>
      </c>
      <c r="B1399" s="4" t="s">
        <v>2819</v>
      </c>
      <c r="C1399" s="4" t="s">
        <v>2820</v>
      </c>
      <c r="D1399" s="4" t="s">
        <v>2608</v>
      </c>
      <c r="E1399" s="6">
        <v>0.0</v>
      </c>
      <c r="F1399" s="6">
        <v>0.0</v>
      </c>
      <c r="G1399" s="6">
        <v>0.0</v>
      </c>
      <c r="H1399" s="6">
        <v>538620.0</v>
      </c>
    </row>
    <row r="1400" ht="15.75" customHeight="1">
      <c r="A1400" s="4">
        <v>1397.0</v>
      </c>
      <c r="B1400" s="4" t="s">
        <v>2821</v>
      </c>
      <c r="C1400" s="4" t="s">
        <v>2822</v>
      </c>
      <c r="D1400" s="4" t="s">
        <v>2608</v>
      </c>
      <c r="E1400" s="6">
        <v>0.0</v>
      </c>
      <c r="F1400" s="6">
        <v>0.0</v>
      </c>
      <c r="G1400" s="6">
        <v>0.0</v>
      </c>
      <c r="H1400" s="6">
        <v>551820.0</v>
      </c>
    </row>
    <row r="1401" ht="15.75" customHeight="1">
      <c r="A1401" s="4">
        <v>1398.0</v>
      </c>
      <c r="B1401" s="4" t="s">
        <v>2823</v>
      </c>
      <c r="C1401" s="4" t="s">
        <v>2824</v>
      </c>
      <c r="D1401" s="4" t="s">
        <v>2608</v>
      </c>
      <c r="E1401" s="6">
        <v>0.0</v>
      </c>
      <c r="F1401" s="6">
        <v>0.0</v>
      </c>
      <c r="G1401" s="6">
        <v>0.0</v>
      </c>
      <c r="H1401" s="6">
        <v>499020.0</v>
      </c>
    </row>
    <row r="1402" ht="15.75" customHeight="1">
      <c r="A1402" s="4">
        <v>1399.0</v>
      </c>
      <c r="B1402" s="4" t="s">
        <v>2825</v>
      </c>
      <c r="C1402" s="4" t="s">
        <v>2826</v>
      </c>
      <c r="D1402" s="4" t="s">
        <v>2608</v>
      </c>
      <c r="E1402" s="6">
        <v>0.0</v>
      </c>
      <c r="F1402" s="6">
        <v>0.0</v>
      </c>
      <c r="G1402" s="6">
        <v>0.0</v>
      </c>
      <c r="H1402" s="6">
        <v>512220.0</v>
      </c>
    </row>
    <row r="1403" ht="15.75" customHeight="1">
      <c r="A1403" s="4">
        <v>1400.0</v>
      </c>
      <c r="B1403" s="4" t="s">
        <v>2827</v>
      </c>
      <c r="C1403" s="4" t="s">
        <v>2828</v>
      </c>
      <c r="D1403" s="4" t="s">
        <v>2608</v>
      </c>
      <c r="E1403" s="6">
        <v>0.0</v>
      </c>
      <c r="F1403" s="6">
        <v>0.0</v>
      </c>
      <c r="G1403" s="6">
        <v>0.0</v>
      </c>
      <c r="H1403" s="6">
        <v>525420.0</v>
      </c>
    </row>
    <row r="1404" ht="15.75" customHeight="1">
      <c r="A1404" s="4">
        <v>1401.0</v>
      </c>
      <c r="B1404" s="4" t="s">
        <v>2829</v>
      </c>
      <c r="C1404" s="4" t="s">
        <v>2830</v>
      </c>
      <c r="D1404" s="4" t="s">
        <v>2608</v>
      </c>
      <c r="E1404" s="6">
        <v>0.0</v>
      </c>
      <c r="F1404" s="6">
        <v>0.0</v>
      </c>
      <c r="G1404" s="6">
        <v>0.0</v>
      </c>
      <c r="H1404" s="6">
        <v>538620.0</v>
      </c>
    </row>
    <row r="1405" ht="15.75" customHeight="1">
      <c r="A1405" s="4">
        <v>1402.0</v>
      </c>
      <c r="B1405" s="4" t="s">
        <v>2831</v>
      </c>
      <c r="C1405" s="4" t="s">
        <v>2832</v>
      </c>
      <c r="D1405" s="4" t="s">
        <v>2608</v>
      </c>
      <c r="E1405" s="6">
        <v>0.0</v>
      </c>
      <c r="F1405" s="6">
        <v>0.0</v>
      </c>
      <c r="G1405" s="6">
        <v>0.0</v>
      </c>
      <c r="H1405" s="6">
        <v>551820.0</v>
      </c>
    </row>
    <row r="1406" ht="15.75" customHeight="1">
      <c r="A1406" s="4">
        <v>1403.0</v>
      </c>
      <c r="B1406" s="4" t="s">
        <v>2833</v>
      </c>
      <c r="C1406" s="4" t="s">
        <v>2834</v>
      </c>
      <c r="D1406" s="4" t="s">
        <v>2608</v>
      </c>
      <c r="E1406" s="6">
        <v>0.0</v>
      </c>
      <c r="F1406" s="6">
        <v>0.0</v>
      </c>
      <c r="G1406" s="6">
        <v>0.0</v>
      </c>
      <c r="H1406" s="6">
        <v>485820.0</v>
      </c>
    </row>
    <row r="1407" ht="15.75" customHeight="1">
      <c r="A1407" s="4">
        <v>1404.0</v>
      </c>
      <c r="B1407" s="4" t="s">
        <v>2835</v>
      </c>
      <c r="C1407" s="4" t="s">
        <v>2836</v>
      </c>
      <c r="D1407" s="4" t="s">
        <v>2608</v>
      </c>
      <c r="E1407" s="6">
        <v>0.0</v>
      </c>
      <c r="F1407" s="6">
        <v>0.0</v>
      </c>
      <c r="G1407" s="6">
        <v>0.0</v>
      </c>
      <c r="H1407" s="6">
        <v>499020.0</v>
      </c>
    </row>
    <row r="1408" ht="15.75" customHeight="1">
      <c r="A1408" s="4">
        <v>1405.0</v>
      </c>
      <c r="B1408" s="4" t="s">
        <v>2837</v>
      </c>
      <c r="C1408" s="4" t="s">
        <v>2838</v>
      </c>
      <c r="D1408" s="4" t="s">
        <v>2608</v>
      </c>
      <c r="E1408" s="6">
        <v>0.0</v>
      </c>
      <c r="F1408" s="6">
        <v>0.0</v>
      </c>
      <c r="G1408" s="6">
        <v>0.0</v>
      </c>
      <c r="H1408" s="6">
        <v>512220.0</v>
      </c>
    </row>
    <row r="1409" ht="15.75" customHeight="1">
      <c r="A1409" s="4">
        <v>1406.0</v>
      </c>
      <c r="B1409" s="4" t="s">
        <v>2839</v>
      </c>
      <c r="C1409" s="4" t="s">
        <v>2840</v>
      </c>
      <c r="D1409" s="4" t="s">
        <v>2608</v>
      </c>
      <c r="E1409" s="6">
        <v>0.0</v>
      </c>
      <c r="F1409" s="6">
        <v>0.0</v>
      </c>
      <c r="G1409" s="6">
        <v>0.0</v>
      </c>
      <c r="H1409" s="6">
        <v>525420.0</v>
      </c>
    </row>
    <row r="1410" ht="15.75" customHeight="1">
      <c r="A1410" s="4">
        <v>1407.0</v>
      </c>
      <c r="B1410" s="4" t="s">
        <v>2841</v>
      </c>
      <c r="C1410" s="4" t="s">
        <v>2842</v>
      </c>
      <c r="D1410" s="4" t="s">
        <v>2608</v>
      </c>
      <c r="E1410" s="6">
        <v>0.0</v>
      </c>
      <c r="F1410" s="6">
        <v>0.0</v>
      </c>
      <c r="G1410" s="6">
        <v>0.0</v>
      </c>
      <c r="H1410" s="6">
        <v>538620.0</v>
      </c>
    </row>
    <row r="1411" ht="15.75" customHeight="1">
      <c r="A1411" s="4">
        <v>1408.0</v>
      </c>
      <c r="B1411" s="4" t="s">
        <v>2843</v>
      </c>
      <c r="C1411" s="4" t="s">
        <v>2844</v>
      </c>
      <c r="D1411" s="4" t="s">
        <v>2608</v>
      </c>
      <c r="E1411" s="6">
        <v>0.0</v>
      </c>
      <c r="F1411" s="6">
        <v>0.0</v>
      </c>
      <c r="G1411" s="6">
        <v>0.0</v>
      </c>
      <c r="H1411" s="6">
        <v>485820.0</v>
      </c>
    </row>
    <row r="1412" ht="15.75" customHeight="1">
      <c r="A1412" s="4">
        <v>1409.0</v>
      </c>
      <c r="B1412" s="4" t="s">
        <v>2845</v>
      </c>
      <c r="C1412" s="4" t="s">
        <v>2846</v>
      </c>
      <c r="D1412" s="4" t="s">
        <v>2608</v>
      </c>
      <c r="E1412" s="6">
        <v>0.0</v>
      </c>
      <c r="F1412" s="6">
        <v>0.0</v>
      </c>
      <c r="G1412" s="6">
        <v>0.0</v>
      </c>
      <c r="H1412" s="6">
        <v>499020.0</v>
      </c>
    </row>
    <row r="1413" ht="15.75" customHeight="1">
      <c r="A1413" s="4">
        <v>1410.0</v>
      </c>
      <c r="B1413" s="4" t="s">
        <v>2847</v>
      </c>
      <c r="C1413" s="4" t="s">
        <v>2848</v>
      </c>
      <c r="D1413" s="4" t="s">
        <v>2608</v>
      </c>
      <c r="E1413" s="6">
        <v>0.0</v>
      </c>
      <c r="F1413" s="6">
        <v>0.0</v>
      </c>
      <c r="G1413" s="6">
        <v>0.0</v>
      </c>
      <c r="H1413" s="6">
        <v>512220.0</v>
      </c>
    </row>
    <row r="1414" ht="15.75" customHeight="1">
      <c r="A1414" s="4">
        <v>1411.0</v>
      </c>
      <c r="B1414" s="4" t="s">
        <v>2849</v>
      </c>
      <c r="C1414" s="4" t="s">
        <v>2850</v>
      </c>
      <c r="D1414" s="4" t="s">
        <v>2608</v>
      </c>
      <c r="E1414" s="6">
        <v>0.0</v>
      </c>
      <c r="F1414" s="6">
        <v>0.0</v>
      </c>
      <c r="G1414" s="6">
        <v>0.0</v>
      </c>
      <c r="H1414" s="6">
        <v>525420.0</v>
      </c>
    </row>
    <row r="1415" ht="15.75" customHeight="1">
      <c r="A1415" s="4">
        <v>1412.0</v>
      </c>
      <c r="B1415" s="4" t="s">
        <v>2851</v>
      </c>
      <c r="C1415" s="4" t="s">
        <v>2852</v>
      </c>
      <c r="D1415" s="4" t="s">
        <v>2608</v>
      </c>
      <c r="E1415" s="6">
        <v>0.0</v>
      </c>
      <c r="F1415" s="6">
        <v>0.0</v>
      </c>
      <c r="G1415" s="6">
        <v>0.0</v>
      </c>
      <c r="H1415" s="6">
        <v>538620.0</v>
      </c>
    </row>
    <row r="1416" ht="15.75" customHeight="1">
      <c r="A1416" s="4">
        <v>1413.0</v>
      </c>
      <c r="B1416" s="4" t="s">
        <v>2853</v>
      </c>
      <c r="C1416" s="4" t="s">
        <v>2854</v>
      </c>
      <c r="D1416" s="4" t="s">
        <v>2608</v>
      </c>
      <c r="E1416" s="6">
        <v>0.0</v>
      </c>
      <c r="F1416" s="6">
        <v>0.0</v>
      </c>
      <c r="G1416" s="6">
        <v>0.0</v>
      </c>
      <c r="H1416" s="6">
        <v>551820.0</v>
      </c>
    </row>
    <row r="1417" ht="15.75" customHeight="1">
      <c r="A1417" s="4">
        <v>1414.0</v>
      </c>
      <c r="B1417" s="4" t="s">
        <v>2855</v>
      </c>
      <c r="C1417" s="4" t="s">
        <v>2856</v>
      </c>
      <c r="D1417" s="4" t="s">
        <v>2608</v>
      </c>
      <c r="E1417" s="6">
        <v>0.0</v>
      </c>
      <c r="F1417" s="6">
        <v>0.0</v>
      </c>
      <c r="G1417" s="6">
        <v>0.0</v>
      </c>
      <c r="H1417" s="6">
        <v>0.0</v>
      </c>
    </row>
    <row r="1418" ht="15.75" customHeight="1">
      <c r="A1418" s="4">
        <v>1415.0</v>
      </c>
      <c r="B1418" s="4" t="s">
        <v>2857</v>
      </c>
      <c r="C1418" s="4" t="s">
        <v>2858</v>
      </c>
      <c r="D1418" s="4" t="s">
        <v>2608</v>
      </c>
      <c r="E1418" s="6">
        <v>1434485.0</v>
      </c>
      <c r="F1418" s="6">
        <v>3100000.0</v>
      </c>
      <c r="G1418" s="6">
        <v>0.0</v>
      </c>
      <c r="H1418" s="6">
        <v>4987933.0</v>
      </c>
    </row>
    <row r="1419" ht="15.75" customHeight="1">
      <c r="A1419" s="4">
        <v>1416.0</v>
      </c>
      <c r="B1419" s="4" t="s">
        <v>2859</v>
      </c>
      <c r="C1419" s="4" t="s">
        <v>2860</v>
      </c>
      <c r="D1419" s="4" t="s">
        <v>2608</v>
      </c>
      <c r="E1419" s="6">
        <v>1275190.0</v>
      </c>
      <c r="F1419" s="6">
        <v>1500000.0</v>
      </c>
      <c r="G1419" s="6">
        <v>0.0</v>
      </c>
      <c r="H1419" s="6">
        <v>3052709.0</v>
      </c>
    </row>
    <row r="1420" ht="15.75" customHeight="1">
      <c r="A1420" s="4">
        <v>1417.0</v>
      </c>
      <c r="B1420" s="4" t="s">
        <v>2861</v>
      </c>
      <c r="C1420" s="4" t="s">
        <v>2862</v>
      </c>
      <c r="D1420" s="4" t="s">
        <v>2608</v>
      </c>
      <c r="E1420" s="6">
        <v>510040.0</v>
      </c>
      <c r="F1420" s="6">
        <v>4500000.0</v>
      </c>
      <c r="G1420" s="6">
        <v>0.0</v>
      </c>
      <c r="H1420" s="6">
        <v>5511044.0</v>
      </c>
    </row>
    <row r="1421" ht="15.75" customHeight="1">
      <c r="A1421" s="4">
        <v>1418.0</v>
      </c>
      <c r="B1421" s="4" t="s">
        <v>2863</v>
      </c>
      <c r="C1421" s="4" t="s">
        <v>2864</v>
      </c>
      <c r="D1421" s="4" t="s">
        <v>2608</v>
      </c>
      <c r="E1421" s="6">
        <v>446285.0</v>
      </c>
      <c r="F1421" s="6">
        <v>4900000.0</v>
      </c>
      <c r="G1421" s="6">
        <v>0.0</v>
      </c>
      <c r="H1421" s="6">
        <v>5880913.0</v>
      </c>
    </row>
    <row r="1422" ht="15.75" customHeight="1">
      <c r="A1422" s="4">
        <v>1419.0</v>
      </c>
      <c r="B1422" s="4" t="s">
        <v>2865</v>
      </c>
      <c r="C1422" s="4" t="s">
        <v>2866</v>
      </c>
      <c r="D1422" s="4" t="s">
        <v>2608</v>
      </c>
      <c r="E1422" s="6">
        <v>411665.0</v>
      </c>
      <c r="F1422" s="6">
        <v>3500000.0</v>
      </c>
      <c r="G1422" s="6">
        <v>0.0</v>
      </c>
      <c r="H1422" s="6">
        <v>4302831.0</v>
      </c>
    </row>
    <row r="1423" ht="15.75" customHeight="1">
      <c r="A1423" s="4">
        <v>1420.0</v>
      </c>
      <c r="B1423" s="4" t="s">
        <v>2867</v>
      </c>
      <c r="C1423" s="4" t="s">
        <v>2868</v>
      </c>
      <c r="D1423" s="4" t="s">
        <v>2608</v>
      </c>
      <c r="E1423" s="6">
        <v>342525.0</v>
      </c>
      <c r="F1423" s="6">
        <v>3300000.0</v>
      </c>
      <c r="G1423" s="6">
        <v>0.0</v>
      </c>
      <c r="H1423" s="6">
        <v>4006777.0</v>
      </c>
    </row>
    <row r="1424" ht="15.75" customHeight="1">
      <c r="A1424" s="4">
        <v>1421.0</v>
      </c>
      <c r="B1424" s="4" t="s">
        <v>2869</v>
      </c>
      <c r="C1424" s="4" t="s">
        <v>2870</v>
      </c>
      <c r="D1424" s="4" t="s">
        <v>2608</v>
      </c>
      <c r="E1424" s="6">
        <v>239645.0</v>
      </c>
      <c r="F1424" s="6">
        <v>3200000.0</v>
      </c>
      <c r="G1424" s="6">
        <v>0.0</v>
      </c>
      <c r="H1424" s="6">
        <v>3783609.0</v>
      </c>
    </row>
    <row r="1425" ht="15.75" customHeight="1">
      <c r="A1425" s="4">
        <v>1422.0</v>
      </c>
      <c r="B1425" s="4" t="s">
        <v>2871</v>
      </c>
      <c r="C1425" s="4" t="s">
        <v>2872</v>
      </c>
      <c r="D1425" s="4" t="s">
        <v>2608</v>
      </c>
      <c r="E1425" s="6">
        <v>214860.0</v>
      </c>
      <c r="F1425" s="6">
        <v>3000000.0</v>
      </c>
      <c r="G1425" s="6">
        <v>0.0</v>
      </c>
      <c r="H1425" s="6">
        <v>3536346.0</v>
      </c>
    </row>
    <row r="1426" ht="15.75" customHeight="1">
      <c r="A1426" s="4">
        <v>1423.0</v>
      </c>
      <c r="B1426" s="4" t="s">
        <v>2873</v>
      </c>
      <c r="C1426" s="4" t="s">
        <v>2874</v>
      </c>
      <c r="D1426" s="4" t="s">
        <v>2608</v>
      </c>
      <c r="E1426" s="6">
        <v>411665.0</v>
      </c>
      <c r="F1426" s="6">
        <v>2500000.0</v>
      </c>
      <c r="G1426" s="6">
        <v>0.0</v>
      </c>
      <c r="H1426" s="6">
        <v>3202831.0</v>
      </c>
    </row>
    <row r="1427" ht="15.75" customHeight="1">
      <c r="A1427" s="4">
        <v>1424.0</v>
      </c>
      <c r="B1427" s="4" t="s">
        <v>2875</v>
      </c>
      <c r="C1427" s="4" t="s">
        <v>2876</v>
      </c>
      <c r="D1427" s="4" t="s">
        <v>2608</v>
      </c>
      <c r="E1427" s="6">
        <v>175890.0</v>
      </c>
      <c r="F1427" s="6">
        <v>3500000.0</v>
      </c>
      <c r="G1427" s="6">
        <v>0.0</v>
      </c>
      <c r="H1427" s="6">
        <v>4043479.0</v>
      </c>
    </row>
    <row r="1428" ht="15.75" customHeight="1">
      <c r="A1428" s="4">
        <v>1425.0</v>
      </c>
      <c r="B1428" s="4" t="s">
        <v>2877</v>
      </c>
      <c r="C1428" s="4" t="s">
        <v>2878</v>
      </c>
      <c r="D1428" s="4" t="s">
        <v>2608</v>
      </c>
      <c r="E1428" s="6">
        <v>214860.0</v>
      </c>
      <c r="F1428" s="6">
        <v>5500000.0</v>
      </c>
      <c r="G1428" s="6">
        <v>0.0</v>
      </c>
      <c r="H1428" s="6">
        <v>6286346.0</v>
      </c>
    </row>
    <row r="1429" ht="15.75" customHeight="1">
      <c r="A1429" s="4">
        <v>1426.0</v>
      </c>
      <c r="B1429" s="4" t="s">
        <v>2879</v>
      </c>
      <c r="C1429" s="4" t="s">
        <v>2880</v>
      </c>
      <c r="D1429" s="4" t="s">
        <v>2608</v>
      </c>
      <c r="E1429" s="6">
        <v>175890.0</v>
      </c>
      <c r="F1429" s="6">
        <v>5700000.0</v>
      </c>
      <c r="G1429" s="6">
        <v>0.0</v>
      </c>
      <c r="H1429" s="6">
        <v>6463479.0</v>
      </c>
    </row>
    <row r="1430" ht="15.75" customHeight="1">
      <c r="A1430" s="4">
        <v>1427.0</v>
      </c>
      <c r="B1430" s="4" t="s">
        <v>2881</v>
      </c>
      <c r="C1430" s="4" t="s">
        <v>2882</v>
      </c>
      <c r="D1430" s="4" t="s">
        <v>2608</v>
      </c>
      <c r="E1430" s="6">
        <v>239645.0</v>
      </c>
      <c r="F1430" s="6">
        <v>3500000.0</v>
      </c>
      <c r="G1430" s="6">
        <v>0.0</v>
      </c>
      <c r="H1430" s="6">
        <v>4113609.0</v>
      </c>
    </row>
    <row r="1431" ht="15.75" customHeight="1">
      <c r="A1431" s="4">
        <v>1428.0</v>
      </c>
      <c r="B1431" s="4" t="s">
        <v>2883</v>
      </c>
      <c r="C1431" s="4" t="s">
        <v>2884</v>
      </c>
      <c r="D1431" s="4" t="s">
        <v>2608</v>
      </c>
      <c r="E1431" s="6">
        <v>446285.0</v>
      </c>
      <c r="F1431" s="6">
        <v>4900000.0</v>
      </c>
      <c r="G1431" s="6">
        <v>0.0</v>
      </c>
      <c r="H1431" s="6">
        <v>5880913.0</v>
      </c>
    </row>
    <row r="1432" ht="15.75" customHeight="1">
      <c r="A1432" s="4">
        <v>1429.0</v>
      </c>
      <c r="B1432" s="4" t="s">
        <v>2885</v>
      </c>
      <c r="C1432" s="4" t="s">
        <v>2886</v>
      </c>
      <c r="D1432" s="4" t="s">
        <v>2608</v>
      </c>
      <c r="E1432" s="6">
        <v>342525.0</v>
      </c>
      <c r="F1432" s="6">
        <v>1700000.0</v>
      </c>
      <c r="G1432" s="6">
        <v>0.0</v>
      </c>
      <c r="H1432" s="6">
        <v>2246777.0</v>
      </c>
    </row>
    <row r="1433" ht="15.75" customHeight="1">
      <c r="A1433" s="4">
        <v>1430.0</v>
      </c>
      <c r="B1433" s="4" t="s">
        <v>2887</v>
      </c>
      <c r="C1433" s="4" t="s">
        <v>2888</v>
      </c>
      <c r="D1433" s="4" t="s">
        <v>2608</v>
      </c>
      <c r="E1433" s="6">
        <v>616615.0</v>
      </c>
      <c r="F1433" s="6">
        <v>2300000.0</v>
      </c>
      <c r="G1433" s="6">
        <v>0.0</v>
      </c>
      <c r="H1433" s="6">
        <v>3208276.0</v>
      </c>
    </row>
    <row r="1434" ht="15.75" customHeight="1">
      <c r="A1434" s="4">
        <v>1431.0</v>
      </c>
      <c r="B1434" s="4" t="s">
        <v>2889</v>
      </c>
      <c r="C1434" s="4" t="s">
        <v>2890</v>
      </c>
      <c r="D1434" s="4" t="s">
        <v>2608</v>
      </c>
      <c r="E1434" s="6">
        <v>376090.0</v>
      </c>
      <c r="F1434" s="6">
        <v>2500000.0</v>
      </c>
      <c r="G1434" s="6">
        <v>0.0</v>
      </c>
      <c r="H1434" s="6">
        <v>3163699.0</v>
      </c>
    </row>
    <row r="1435" ht="15.75" customHeight="1">
      <c r="A1435" s="4">
        <v>1432.0</v>
      </c>
      <c r="B1435" s="4" t="s">
        <v>2891</v>
      </c>
      <c r="C1435" s="4" t="s">
        <v>2892</v>
      </c>
      <c r="D1435" s="4" t="s">
        <v>2608</v>
      </c>
      <c r="E1435" s="6">
        <v>471070.0</v>
      </c>
      <c r="F1435" s="6">
        <v>1900000.0</v>
      </c>
      <c r="G1435" s="6">
        <v>0.0</v>
      </c>
      <c r="H1435" s="6">
        <v>2608177.0</v>
      </c>
    </row>
    <row r="1436" ht="15.75" customHeight="1">
      <c r="A1436" s="4">
        <v>1433.0</v>
      </c>
      <c r="B1436" s="4" t="s">
        <v>2893</v>
      </c>
      <c r="C1436" s="4" t="s">
        <v>2894</v>
      </c>
      <c r="D1436" s="4" t="s">
        <v>2608</v>
      </c>
      <c r="E1436" s="6">
        <v>301520.0</v>
      </c>
      <c r="F1436" s="6">
        <v>2100000.0</v>
      </c>
      <c r="G1436" s="6">
        <v>0.0</v>
      </c>
      <c r="H1436" s="6">
        <v>2641672.0</v>
      </c>
    </row>
    <row r="1437" ht="15.75" customHeight="1">
      <c r="A1437" s="4">
        <v>1434.0</v>
      </c>
      <c r="B1437" s="4" t="s">
        <v>2895</v>
      </c>
      <c r="C1437" s="4" t="s">
        <v>2896</v>
      </c>
      <c r="D1437" s="4" t="s">
        <v>2608</v>
      </c>
      <c r="E1437" s="6">
        <v>40050.0</v>
      </c>
      <c r="F1437" s="6">
        <v>463500.0</v>
      </c>
      <c r="G1437" s="6">
        <v>0.0</v>
      </c>
      <c r="H1437" s="6">
        <v>553905.0</v>
      </c>
    </row>
    <row r="1438" ht="15.75" customHeight="1">
      <c r="A1438" s="9">
        <v>1435.0</v>
      </c>
      <c r="B1438" s="9" t="s">
        <v>2897</v>
      </c>
      <c r="C1438" s="10" t="s">
        <v>2898</v>
      </c>
      <c r="D1438" s="9"/>
      <c r="E1438" s="11"/>
      <c r="F1438" s="11"/>
      <c r="G1438" s="11"/>
      <c r="H1438" s="11"/>
    </row>
    <row r="1439" ht="15.75" customHeight="1">
      <c r="A1439" s="4">
        <v>1436.0</v>
      </c>
      <c r="B1439" s="4" t="s">
        <v>2899</v>
      </c>
      <c r="C1439" s="4" t="s">
        <v>2900</v>
      </c>
      <c r="D1439" s="4" t="s">
        <v>2608</v>
      </c>
      <c r="E1439" s="6">
        <v>820975.0</v>
      </c>
      <c r="F1439" s="6">
        <v>7.725E7</v>
      </c>
      <c r="G1439" s="6">
        <v>216000.0</v>
      </c>
      <c r="H1439" s="6">
        <v>8.6115672E7</v>
      </c>
    </row>
    <row r="1440" ht="15.75" customHeight="1">
      <c r="A1440" s="4">
        <v>1437.0</v>
      </c>
      <c r="B1440" s="4" t="s">
        <v>2901</v>
      </c>
      <c r="C1440" s="4" t="s">
        <v>2902</v>
      </c>
      <c r="D1440" s="4" t="s">
        <v>2608</v>
      </c>
      <c r="E1440" s="6">
        <v>1083475.0</v>
      </c>
      <c r="F1440" s="6">
        <v>8.137E7</v>
      </c>
      <c r="G1440" s="6">
        <v>216000.0</v>
      </c>
      <c r="H1440" s="6">
        <v>9.0936422E7</v>
      </c>
    </row>
    <row r="1441" ht="15.75" customHeight="1">
      <c r="A1441" s="4">
        <v>1438.0</v>
      </c>
      <c r="B1441" s="4" t="s">
        <v>2903</v>
      </c>
      <c r="C1441" s="4" t="s">
        <v>2904</v>
      </c>
      <c r="D1441" s="4" t="s">
        <v>2608</v>
      </c>
      <c r="E1441" s="6">
        <v>1505625.0</v>
      </c>
      <c r="F1441" s="6">
        <v>8.84E7</v>
      </c>
      <c r="G1441" s="6">
        <v>2.75432E7</v>
      </c>
      <c r="H1441" s="6">
        <v>1.29193707E8</v>
      </c>
    </row>
    <row r="1442" ht="15.75" customHeight="1">
      <c r="A1442" s="4">
        <v>1439.0</v>
      </c>
      <c r="B1442" s="4" t="s">
        <v>2905</v>
      </c>
      <c r="C1442" s="4" t="s">
        <v>2906</v>
      </c>
      <c r="D1442" s="4" t="s">
        <v>2608</v>
      </c>
      <c r="E1442" s="6">
        <v>261525.0</v>
      </c>
      <c r="F1442" s="6">
        <v>1.854E7</v>
      </c>
      <c r="G1442" s="6">
        <v>0.0</v>
      </c>
      <c r="H1442" s="6">
        <v>2.0681677E7</v>
      </c>
    </row>
    <row r="1443" ht="15.75" customHeight="1">
      <c r="A1443" s="4">
        <v>1440.0</v>
      </c>
      <c r="B1443" s="4" t="s">
        <v>2907</v>
      </c>
      <c r="C1443" s="4" t="s">
        <v>2908</v>
      </c>
      <c r="D1443" s="4" t="s">
        <v>2608</v>
      </c>
      <c r="E1443" s="6">
        <v>461525.0</v>
      </c>
      <c r="F1443" s="6">
        <v>4400000.0</v>
      </c>
      <c r="G1443" s="6">
        <v>0.0</v>
      </c>
      <c r="H1443" s="6">
        <v>5347677.0</v>
      </c>
    </row>
    <row r="1444" ht="15.75" customHeight="1">
      <c r="A1444" s="9">
        <v>1441.0</v>
      </c>
      <c r="B1444" s="9" t="s">
        <v>2909</v>
      </c>
      <c r="C1444" s="10" t="s">
        <v>2910</v>
      </c>
      <c r="D1444" s="9"/>
      <c r="E1444" s="11"/>
      <c r="F1444" s="11"/>
      <c r="G1444" s="11"/>
      <c r="H1444" s="11"/>
    </row>
    <row r="1445" ht="15.75" customHeight="1">
      <c r="A1445" s="9">
        <v>1442.0</v>
      </c>
      <c r="B1445" s="9" t="s">
        <v>2911</v>
      </c>
      <c r="C1445" s="10" t="s">
        <v>2912</v>
      </c>
      <c r="D1445" s="9"/>
      <c r="E1445" s="11"/>
      <c r="F1445" s="11"/>
      <c r="G1445" s="11"/>
      <c r="H1445" s="11"/>
    </row>
    <row r="1446" ht="15.75" customHeight="1">
      <c r="A1446" s="4">
        <v>1443.0</v>
      </c>
      <c r="B1446" s="4" t="s">
        <v>2913</v>
      </c>
      <c r="C1446" s="4" t="s">
        <v>2914</v>
      </c>
      <c r="D1446" s="4" t="s">
        <v>2608</v>
      </c>
      <c r="E1446" s="6">
        <v>1001595.0</v>
      </c>
      <c r="F1446" s="6">
        <v>1.87E7</v>
      </c>
      <c r="G1446" s="6">
        <v>0.0</v>
      </c>
      <c r="H1446" s="6">
        <v>2.1671754E7</v>
      </c>
    </row>
    <row r="1447" ht="15.75" customHeight="1">
      <c r="A1447" s="9">
        <v>1444.0</v>
      </c>
      <c r="B1447" s="9" t="s">
        <v>2915</v>
      </c>
      <c r="C1447" s="10" t="s">
        <v>2916</v>
      </c>
      <c r="D1447" s="9"/>
      <c r="E1447" s="11"/>
      <c r="F1447" s="11"/>
      <c r="G1447" s="11"/>
      <c r="H1447" s="11"/>
    </row>
    <row r="1448" ht="15.75" customHeight="1">
      <c r="A1448" s="4">
        <v>1445.0</v>
      </c>
      <c r="B1448" s="4" t="s">
        <v>2917</v>
      </c>
      <c r="C1448" s="4" t="s">
        <v>2918</v>
      </c>
      <c r="D1448" s="4" t="s">
        <v>2608</v>
      </c>
      <c r="E1448" s="6">
        <v>11915.0</v>
      </c>
      <c r="F1448" s="6">
        <v>26400.0</v>
      </c>
      <c r="G1448" s="6">
        <v>0.0</v>
      </c>
      <c r="H1448" s="6">
        <v>42146.0</v>
      </c>
    </row>
    <row r="1449" ht="15.75" customHeight="1">
      <c r="A1449" s="4">
        <v>1446.0</v>
      </c>
      <c r="B1449" s="4" t="s">
        <v>2919</v>
      </c>
      <c r="C1449" s="4" t="s">
        <v>2920</v>
      </c>
      <c r="D1449" s="4" t="s">
        <v>2608</v>
      </c>
      <c r="E1449" s="6">
        <v>11915.0</v>
      </c>
      <c r="F1449" s="6">
        <v>36300.0</v>
      </c>
      <c r="G1449" s="6">
        <v>0.0</v>
      </c>
      <c r="H1449" s="6">
        <v>53036.0</v>
      </c>
    </row>
    <row r="1450" ht="15.75" customHeight="1">
      <c r="A1450" s="4">
        <v>1447.0</v>
      </c>
      <c r="B1450" s="4" t="s">
        <v>2921</v>
      </c>
      <c r="C1450" s="4" t="s">
        <v>2922</v>
      </c>
      <c r="D1450" s="4" t="s">
        <v>2608</v>
      </c>
      <c r="E1450" s="6">
        <v>11915.0</v>
      </c>
      <c r="F1450" s="6">
        <v>83600.0</v>
      </c>
      <c r="G1450" s="6">
        <v>0.0</v>
      </c>
      <c r="H1450" s="6">
        <v>105066.0</v>
      </c>
    </row>
    <row r="1451" ht="15.75" customHeight="1">
      <c r="A1451" s="4">
        <v>1448.0</v>
      </c>
      <c r="B1451" s="4" t="s">
        <v>2923</v>
      </c>
      <c r="C1451" s="4" t="s">
        <v>2924</v>
      </c>
      <c r="D1451" s="4" t="s">
        <v>2608</v>
      </c>
      <c r="E1451" s="6">
        <v>28135.0</v>
      </c>
      <c r="F1451" s="6">
        <v>118800.0</v>
      </c>
      <c r="G1451" s="6">
        <v>0.0</v>
      </c>
      <c r="H1451" s="6">
        <v>161628.0</v>
      </c>
    </row>
    <row r="1452" ht="15.75" customHeight="1">
      <c r="A1452" s="4">
        <v>1449.0</v>
      </c>
      <c r="B1452" s="4" t="s">
        <v>2925</v>
      </c>
      <c r="C1452" s="4" t="s">
        <v>2926</v>
      </c>
      <c r="D1452" s="4" t="s">
        <v>2608</v>
      </c>
      <c r="E1452" s="6">
        <v>55535.0</v>
      </c>
      <c r="F1452" s="6">
        <v>118800.0</v>
      </c>
      <c r="G1452" s="6">
        <v>0.0</v>
      </c>
      <c r="H1452" s="6">
        <v>191768.0</v>
      </c>
    </row>
    <row r="1453" ht="15.75" customHeight="1">
      <c r="A1453" s="4">
        <v>1450.0</v>
      </c>
      <c r="B1453" s="4" t="s">
        <v>2927</v>
      </c>
      <c r="C1453" s="4" t="s">
        <v>2928</v>
      </c>
      <c r="D1453" s="4" t="s">
        <v>2608</v>
      </c>
      <c r="E1453" s="6">
        <v>83845.0</v>
      </c>
      <c r="F1453" s="6">
        <v>118800.0</v>
      </c>
      <c r="G1453" s="6">
        <v>0.0</v>
      </c>
      <c r="H1453" s="6">
        <v>222909.0</v>
      </c>
    </row>
    <row r="1454" ht="15.75" customHeight="1">
      <c r="A1454" s="4">
        <v>1451.0</v>
      </c>
      <c r="B1454" s="4" t="s">
        <v>2929</v>
      </c>
      <c r="C1454" s="4" t="s">
        <v>2930</v>
      </c>
      <c r="D1454" s="4" t="s">
        <v>2608</v>
      </c>
      <c r="E1454" s="6">
        <v>55535.0</v>
      </c>
      <c r="F1454" s="6">
        <v>198000.0</v>
      </c>
      <c r="G1454" s="6">
        <v>0.0</v>
      </c>
      <c r="H1454" s="6">
        <v>278888.0</v>
      </c>
    </row>
    <row r="1455" ht="15.75" customHeight="1">
      <c r="A1455" s="4">
        <v>1452.0</v>
      </c>
      <c r="B1455" s="4" t="s">
        <v>2931</v>
      </c>
      <c r="C1455" s="4" t="s">
        <v>2932</v>
      </c>
      <c r="D1455" s="4" t="s">
        <v>2608</v>
      </c>
      <c r="E1455" s="6">
        <v>9880.0</v>
      </c>
      <c r="F1455" s="6">
        <v>77000.0</v>
      </c>
      <c r="G1455" s="6">
        <v>0.0</v>
      </c>
      <c r="H1455" s="6">
        <v>95568.0</v>
      </c>
    </row>
    <row r="1456" ht="15.75" customHeight="1">
      <c r="A1456" s="4">
        <v>1453.0</v>
      </c>
      <c r="B1456" s="4" t="s">
        <v>2933</v>
      </c>
      <c r="C1456" s="4" t="s">
        <v>2934</v>
      </c>
      <c r="D1456" s="4" t="s">
        <v>2608</v>
      </c>
      <c r="E1456" s="6">
        <v>14530.0</v>
      </c>
      <c r="F1456" s="6">
        <v>74690.0</v>
      </c>
      <c r="G1456" s="6">
        <v>0.0</v>
      </c>
      <c r="H1456" s="6">
        <v>98142.0</v>
      </c>
    </row>
    <row r="1457" ht="15.75" customHeight="1">
      <c r="A1457" s="4">
        <v>1454.0</v>
      </c>
      <c r="B1457" s="4" t="s">
        <v>2935</v>
      </c>
      <c r="C1457" s="4" t="s">
        <v>2936</v>
      </c>
      <c r="D1457" s="4" t="s">
        <v>2608</v>
      </c>
      <c r="E1457" s="6">
        <v>78240.0</v>
      </c>
      <c r="F1457" s="6">
        <v>378760.0</v>
      </c>
      <c r="G1457" s="6">
        <v>0.0</v>
      </c>
      <c r="H1457" s="6">
        <v>502700.0</v>
      </c>
    </row>
    <row r="1458" ht="15.75" customHeight="1">
      <c r="A1458" s="9">
        <v>1455.0</v>
      </c>
      <c r="B1458" s="9" t="s">
        <v>2937</v>
      </c>
      <c r="C1458" s="10" t="s">
        <v>2938</v>
      </c>
      <c r="D1458" s="9"/>
      <c r="E1458" s="11"/>
      <c r="F1458" s="11"/>
      <c r="G1458" s="11"/>
      <c r="H1458" s="11"/>
    </row>
    <row r="1459" ht="15.75" customHeight="1">
      <c r="A1459" s="9">
        <v>1456.0</v>
      </c>
      <c r="B1459" s="9" t="s">
        <v>2939</v>
      </c>
      <c r="C1459" s="10" t="s">
        <v>2940</v>
      </c>
      <c r="D1459" s="9"/>
      <c r="E1459" s="11"/>
      <c r="F1459" s="11"/>
      <c r="G1459" s="11"/>
      <c r="H1459" s="11"/>
    </row>
    <row r="1460" ht="15.75" customHeight="1">
      <c r="A1460" s="4">
        <v>1457.0</v>
      </c>
      <c r="B1460" s="4" t="s">
        <v>2941</v>
      </c>
      <c r="C1460" s="4" t="s">
        <v>2942</v>
      </c>
      <c r="D1460" s="4" t="s">
        <v>2608</v>
      </c>
      <c r="E1460" s="6">
        <v>82890.0</v>
      </c>
      <c r="F1460" s="6">
        <v>550020.0</v>
      </c>
      <c r="G1460" s="6">
        <v>0.0</v>
      </c>
      <c r="H1460" s="6">
        <v>696201.0</v>
      </c>
    </row>
    <row r="1461" ht="15.75" customHeight="1">
      <c r="A1461" s="4">
        <v>1458.0</v>
      </c>
      <c r="B1461" s="4" t="s">
        <v>2943</v>
      </c>
      <c r="C1461" s="4" t="s">
        <v>2944</v>
      </c>
      <c r="D1461" s="4" t="s">
        <v>2608</v>
      </c>
      <c r="E1461" s="6">
        <v>123895.0</v>
      </c>
      <c r="F1461" s="6">
        <v>3244500.0</v>
      </c>
      <c r="G1461" s="6">
        <v>0.0</v>
      </c>
      <c r="H1461" s="6">
        <v>3705234.0</v>
      </c>
    </row>
    <row r="1462" ht="15.75" customHeight="1">
      <c r="A1462" s="4">
        <v>1459.0</v>
      </c>
      <c r="B1462" s="4" t="s">
        <v>2945</v>
      </c>
      <c r="C1462" s="4" t="s">
        <v>2946</v>
      </c>
      <c r="D1462" s="4" t="s">
        <v>2608</v>
      </c>
      <c r="E1462" s="6">
        <v>243140.0</v>
      </c>
      <c r="F1462" s="6">
        <v>2100000.0</v>
      </c>
      <c r="G1462" s="6">
        <v>0.0</v>
      </c>
      <c r="H1462" s="6">
        <v>2577454.0</v>
      </c>
    </row>
    <row r="1463" ht="15.75" customHeight="1">
      <c r="A1463" s="4">
        <v>1460.0</v>
      </c>
      <c r="B1463" s="4" t="s">
        <v>2947</v>
      </c>
      <c r="C1463" s="4" t="s">
        <v>2948</v>
      </c>
      <c r="D1463" s="4" t="s">
        <v>2608</v>
      </c>
      <c r="E1463" s="6">
        <v>243140.0</v>
      </c>
      <c r="F1463" s="6">
        <v>3.5595E7</v>
      </c>
      <c r="G1463" s="6">
        <v>0.0</v>
      </c>
      <c r="H1463" s="6">
        <v>3.9421954E7</v>
      </c>
    </row>
    <row r="1464" ht="15.75" customHeight="1">
      <c r="A1464" s="9">
        <v>1461.0</v>
      </c>
      <c r="B1464" s="9" t="s">
        <v>2949</v>
      </c>
      <c r="C1464" s="10" t="s">
        <v>2950</v>
      </c>
      <c r="D1464" s="9"/>
      <c r="E1464" s="11"/>
      <c r="F1464" s="11"/>
      <c r="G1464" s="11"/>
      <c r="H1464" s="11"/>
    </row>
    <row r="1465" ht="15.75" customHeight="1">
      <c r="A1465" s="9">
        <v>1462.0</v>
      </c>
      <c r="B1465" s="9" t="s">
        <v>2951</v>
      </c>
      <c r="C1465" s="10" t="s">
        <v>2952</v>
      </c>
      <c r="D1465" s="9"/>
      <c r="E1465" s="11"/>
      <c r="F1465" s="11"/>
      <c r="G1465" s="11"/>
      <c r="H1465" s="11"/>
    </row>
    <row r="1466" ht="15.75" customHeight="1">
      <c r="A1466" s="4">
        <v>1463.0</v>
      </c>
      <c r="B1466" s="4" t="s">
        <v>2953</v>
      </c>
      <c r="C1466" s="4" t="s">
        <v>2954</v>
      </c>
      <c r="D1466" s="4" t="s">
        <v>2955</v>
      </c>
      <c r="E1466" s="6">
        <v>0.0</v>
      </c>
      <c r="F1466" s="6">
        <v>0.0</v>
      </c>
      <c r="G1466" s="6">
        <v>0.0</v>
      </c>
      <c r="H1466" s="6">
        <v>1.4885706E7</v>
      </c>
    </row>
    <row r="1467" ht="15.75" customHeight="1">
      <c r="A1467" s="4">
        <v>1464.0</v>
      </c>
      <c r="B1467" s="4" t="s">
        <v>2956</v>
      </c>
      <c r="C1467" s="4" t="s">
        <v>2957</v>
      </c>
      <c r="D1467" s="4" t="s">
        <v>2958</v>
      </c>
      <c r="E1467" s="6">
        <v>738400.0</v>
      </c>
      <c r="F1467" s="6">
        <v>1.598006E7</v>
      </c>
      <c r="G1467" s="6">
        <v>0.0</v>
      </c>
      <c r="H1467" s="6">
        <v>1.8390306E7</v>
      </c>
    </row>
    <row r="1468" ht="15.75" customHeight="1">
      <c r="A1468" s="9">
        <v>1465.0</v>
      </c>
      <c r="B1468" s="9" t="s">
        <v>2959</v>
      </c>
      <c r="C1468" s="10" t="s">
        <v>2960</v>
      </c>
      <c r="D1468" s="9"/>
      <c r="E1468" s="11"/>
      <c r="F1468" s="11"/>
      <c r="G1468" s="11"/>
      <c r="H1468" s="11"/>
    </row>
    <row r="1469" ht="15.75" customHeight="1">
      <c r="A1469" s="4">
        <v>1466.0</v>
      </c>
      <c r="B1469" s="4" t="s">
        <v>2961</v>
      </c>
      <c r="C1469" s="4" t="s">
        <v>2962</v>
      </c>
      <c r="D1469" s="4" t="s">
        <v>2608</v>
      </c>
      <c r="E1469" s="6">
        <v>0.0</v>
      </c>
      <c r="F1469" s="6">
        <v>0.0</v>
      </c>
      <c r="G1469" s="6">
        <v>0.0</v>
      </c>
      <c r="H1469" s="6">
        <v>2057341.0</v>
      </c>
    </row>
    <row r="1470" ht="15.75" customHeight="1">
      <c r="A1470" s="4">
        <v>1467.0</v>
      </c>
      <c r="B1470" s="4" t="s">
        <v>2963</v>
      </c>
      <c r="C1470" s="4" t="s">
        <v>2964</v>
      </c>
      <c r="D1470" s="4" t="s">
        <v>2608</v>
      </c>
      <c r="E1470" s="6">
        <v>0.0</v>
      </c>
      <c r="F1470" s="6">
        <v>0.0</v>
      </c>
      <c r="G1470" s="6">
        <v>0.0</v>
      </c>
      <c r="H1470" s="6">
        <v>791197.0</v>
      </c>
    </row>
    <row r="1471" ht="15.75" customHeight="1">
      <c r="A1471" s="4">
        <v>1468.0</v>
      </c>
      <c r="B1471" s="4" t="s">
        <v>2965</v>
      </c>
      <c r="C1471" s="4" t="s">
        <v>2966</v>
      </c>
      <c r="D1471" s="4" t="s">
        <v>2608</v>
      </c>
      <c r="E1471" s="6">
        <v>0.0</v>
      </c>
      <c r="F1471" s="6">
        <v>0.0</v>
      </c>
      <c r="G1471" s="6">
        <v>0.0</v>
      </c>
      <c r="H1471" s="6">
        <v>96536.0</v>
      </c>
    </row>
    <row r="1472" ht="15.75" customHeight="1">
      <c r="A1472" s="4">
        <v>1469.0</v>
      </c>
      <c r="B1472" s="4" t="s">
        <v>2967</v>
      </c>
      <c r="C1472" s="4" t="s">
        <v>2968</v>
      </c>
      <c r="D1472" s="4" t="s">
        <v>2608</v>
      </c>
      <c r="E1472" s="6">
        <v>0.0</v>
      </c>
      <c r="F1472" s="6">
        <v>0.0</v>
      </c>
      <c r="G1472" s="6">
        <v>0.0</v>
      </c>
      <c r="H1472" s="6">
        <v>114532.0</v>
      </c>
    </row>
    <row r="1473" ht="15.75" customHeight="1">
      <c r="A1473" s="4">
        <v>1470.0</v>
      </c>
      <c r="B1473" s="4" t="s">
        <v>2969</v>
      </c>
      <c r="C1473" s="4" t="s">
        <v>2970</v>
      </c>
      <c r="D1473" s="4" t="s">
        <v>2608</v>
      </c>
      <c r="E1473" s="6">
        <v>0.0</v>
      </c>
      <c r="F1473" s="6">
        <v>0.0</v>
      </c>
      <c r="G1473" s="6">
        <v>0.0</v>
      </c>
      <c r="H1473" s="6">
        <v>90332.0</v>
      </c>
    </row>
    <row r="1474" ht="15.75" customHeight="1">
      <c r="A1474" s="4">
        <v>1471.0</v>
      </c>
      <c r="B1474" s="4" t="s">
        <v>2971</v>
      </c>
      <c r="C1474" s="4" t="s">
        <v>2972</v>
      </c>
      <c r="D1474" s="4" t="s">
        <v>2608</v>
      </c>
      <c r="E1474" s="6">
        <v>0.0</v>
      </c>
      <c r="F1474" s="6">
        <v>0.0</v>
      </c>
      <c r="G1474" s="6">
        <v>0.0</v>
      </c>
      <c r="H1474" s="6">
        <v>675521.0</v>
      </c>
    </row>
    <row r="1475" ht="15.75" customHeight="1">
      <c r="A1475" s="4">
        <v>1472.0</v>
      </c>
      <c r="B1475" s="4" t="s">
        <v>2973</v>
      </c>
      <c r="C1475" s="4" t="s">
        <v>2974</v>
      </c>
      <c r="D1475" s="4" t="s">
        <v>2608</v>
      </c>
      <c r="E1475" s="6">
        <v>0.0</v>
      </c>
      <c r="F1475" s="6">
        <v>0.0</v>
      </c>
      <c r="G1475" s="6">
        <v>0.0</v>
      </c>
      <c r="H1475" s="6">
        <v>132176.0</v>
      </c>
    </row>
    <row r="1476" ht="15.75" customHeight="1">
      <c r="A1476" s="4">
        <v>1473.0</v>
      </c>
      <c r="B1476" s="4" t="s">
        <v>2975</v>
      </c>
      <c r="C1476" s="4" t="s">
        <v>2976</v>
      </c>
      <c r="D1476" s="4" t="s">
        <v>2608</v>
      </c>
      <c r="E1476" s="6">
        <v>0.0</v>
      </c>
      <c r="F1476" s="6">
        <v>0.0</v>
      </c>
      <c r="G1476" s="6">
        <v>0.0</v>
      </c>
      <c r="H1476" s="6">
        <v>120670.0</v>
      </c>
    </row>
    <row r="1477" ht="15.75" customHeight="1">
      <c r="A1477" s="4">
        <v>1474.0</v>
      </c>
      <c r="B1477" s="4" t="s">
        <v>2977</v>
      </c>
      <c r="C1477" s="4" t="s">
        <v>2978</v>
      </c>
      <c r="D1477" s="4" t="s">
        <v>2608</v>
      </c>
      <c r="E1477" s="6">
        <v>0.0</v>
      </c>
      <c r="F1477" s="6">
        <v>0.0</v>
      </c>
      <c r="G1477" s="6">
        <v>0.0</v>
      </c>
      <c r="H1477" s="6">
        <v>353991.0</v>
      </c>
    </row>
    <row r="1478" ht="15.75" customHeight="1">
      <c r="A1478" s="4">
        <v>1475.0</v>
      </c>
      <c r="B1478" s="4" t="s">
        <v>2979</v>
      </c>
      <c r="C1478" s="4" t="s">
        <v>2980</v>
      </c>
      <c r="D1478" s="4" t="s">
        <v>2608</v>
      </c>
      <c r="E1478" s="6">
        <v>0.0</v>
      </c>
      <c r="F1478" s="6">
        <v>0.0</v>
      </c>
      <c r="G1478" s="6">
        <v>0.0</v>
      </c>
      <c r="H1478" s="6">
        <v>721501.0</v>
      </c>
    </row>
    <row r="1479" ht="15.75" customHeight="1">
      <c r="A1479" s="4">
        <v>1476.0</v>
      </c>
      <c r="B1479" s="4" t="s">
        <v>2981</v>
      </c>
      <c r="C1479" s="4" t="s">
        <v>2982</v>
      </c>
      <c r="D1479" s="4" t="s">
        <v>2608</v>
      </c>
      <c r="E1479" s="6">
        <v>0.0</v>
      </c>
      <c r="F1479" s="6">
        <v>0.0</v>
      </c>
      <c r="G1479" s="6">
        <v>0.0</v>
      </c>
      <c r="H1479" s="6">
        <v>2707925.0</v>
      </c>
    </row>
    <row r="1480" ht="15.75" customHeight="1">
      <c r="A1480" s="4">
        <v>1477.0</v>
      </c>
      <c r="B1480" s="4" t="s">
        <v>2983</v>
      </c>
      <c r="C1480" s="4" t="s">
        <v>2984</v>
      </c>
      <c r="D1480" s="4" t="s">
        <v>2608</v>
      </c>
      <c r="E1480" s="6">
        <v>0.0</v>
      </c>
      <c r="F1480" s="6">
        <v>0.0</v>
      </c>
      <c r="G1480" s="6">
        <v>0.0</v>
      </c>
      <c r="H1480" s="6">
        <v>45980.0</v>
      </c>
    </row>
    <row r="1481" ht="15.75" customHeight="1">
      <c r="A1481" s="4">
        <v>1478.0</v>
      </c>
      <c r="B1481" s="4" t="s">
        <v>2985</v>
      </c>
      <c r="C1481" s="4" t="s">
        <v>2986</v>
      </c>
      <c r="D1481" s="4" t="s">
        <v>2608</v>
      </c>
      <c r="E1481" s="6">
        <v>0.0</v>
      </c>
      <c r="F1481" s="6">
        <v>0.0</v>
      </c>
      <c r="G1481" s="6">
        <v>0.0</v>
      </c>
      <c r="H1481" s="6">
        <v>7095.0</v>
      </c>
    </row>
    <row r="1482" ht="15.75" customHeight="1">
      <c r="A1482" s="4">
        <v>1479.0</v>
      </c>
      <c r="B1482" s="4" t="s">
        <v>2987</v>
      </c>
      <c r="C1482" s="4" t="s">
        <v>2988</v>
      </c>
      <c r="D1482" s="4" t="s">
        <v>2608</v>
      </c>
      <c r="E1482" s="6">
        <v>0.0</v>
      </c>
      <c r="F1482" s="6">
        <v>0.0</v>
      </c>
      <c r="G1482" s="6">
        <v>0.0</v>
      </c>
      <c r="H1482" s="6">
        <v>319869.0</v>
      </c>
    </row>
    <row r="1483" ht="15.75" customHeight="1">
      <c r="A1483" s="4">
        <v>1480.0</v>
      </c>
      <c r="B1483" s="4" t="s">
        <v>2989</v>
      </c>
      <c r="C1483" s="4" t="s">
        <v>2990</v>
      </c>
      <c r="D1483" s="4" t="s">
        <v>2608</v>
      </c>
      <c r="E1483" s="6">
        <v>0.0</v>
      </c>
      <c r="F1483" s="6">
        <v>0.0</v>
      </c>
      <c r="G1483" s="6">
        <v>0.0</v>
      </c>
      <c r="H1483" s="6">
        <v>273801.0</v>
      </c>
    </row>
    <row r="1484" ht="15.75" customHeight="1">
      <c r="A1484" s="4">
        <v>1481.0</v>
      </c>
      <c r="B1484" s="4" t="s">
        <v>2991</v>
      </c>
      <c r="C1484" s="4" t="s">
        <v>2992</v>
      </c>
      <c r="D1484" s="4" t="s">
        <v>2608</v>
      </c>
      <c r="E1484" s="6">
        <v>0.0</v>
      </c>
      <c r="F1484" s="6">
        <v>0.0</v>
      </c>
      <c r="G1484" s="6">
        <v>0.0</v>
      </c>
      <c r="H1484" s="6">
        <v>784421.0</v>
      </c>
    </row>
    <row r="1485" ht="15.75" customHeight="1">
      <c r="A1485" s="4">
        <v>1482.0</v>
      </c>
      <c r="B1485" s="4" t="s">
        <v>2993</v>
      </c>
      <c r="C1485" s="4" t="s">
        <v>2994</v>
      </c>
      <c r="D1485" s="4" t="s">
        <v>2608</v>
      </c>
      <c r="E1485" s="6">
        <v>0.0</v>
      </c>
      <c r="F1485" s="6">
        <v>0.0</v>
      </c>
      <c r="G1485" s="6">
        <v>0.0</v>
      </c>
      <c r="H1485" s="6">
        <v>151131.0</v>
      </c>
    </row>
    <row r="1486" ht="15.75" customHeight="1">
      <c r="A1486" s="4">
        <v>1483.0</v>
      </c>
      <c r="B1486" s="4" t="s">
        <v>2995</v>
      </c>
      <c r="C1486" s="4" t="s">
        <v>2996</v>
      </c>
      <c r="D1486" s="4" t="s">
        <v>43</v>
      </c>
      <c r="E1486" s="6">
        <v>0.0</v>
      </c>
      <c r="F1486" s="6">
        <v>0.0</v>
      </c>
      <c r="G1486" s="6">
        <v>0.0</v>
      </c>
      <c r="H1486" s="6">
        <v>680361.0</v>
      </c>
    </row>
    <row r="1487" ht="15.75" customHeight="1">
      <c r="A1487" s="4">
        <v>1484.0</v>
      </c>
      <c r="B1487" s="4" t="s">
        <v>2997</v>
      </c>
      <c r="C1487" s="4" t="s">
        <v>2998</v>
      </c>
      <c r="D1487" s="4" t="s">
        <v>43</v>
      </c>
      <c r="E1487" s="6">
        <v>0.0</v>
      </c>
      <c r="F1487" s="6">
        <v>0.0</v>
      </c>
      <c r="G1487" s="6">
        <v>0.0</v>
      </c>
      <c r="H1487" s="6">
        <v>304051.0</v>
      </c>
    </row>
    <row r="1488" ht="15.75" customHeight="1">
      <c r="A1488" s="4">
        <v>1485.0</v>
      </c>
      <c r="B1488" s="4" t="s">
        <v>2999</v>
      </c>
      <c r="C1488" s="4" t="s">
        <v>3000</v>
      </c>
      <c r="D1488" s="4" t="s">
        <v>43</v>
      </c>
      <c r="E1488" s="6">
        <v>0.0</v>
      </c>
      <c r="F1488" s="6">
        <v>0.0</v>
      </c>
      <c r="G1488" s="6">
        <v>0.0</v>
      </c>
      <c r="H1488" s="6">
        <v>244788.0</v>
      </c>
    </row>
    <row r="1489" ht="15.75" customHeight="1">
      <c r="A1489" s="4">
        <v>1486.0</v>
      </c>
      <c r="B1489" s="4" t="s">
        <v>3001</v>
      </c>
      <c r="C1489" s="4" t="s">
        <v>3002</v>
      </c>
      <c r="D1489" s="4" t="s">
        <v>43</v>
      </c>
      <c r="E1489" s="6">
        <v>0.0</v>
      </c>
      <c r="F1489" s="6">
        <v>0.0</v>
      </c>
      <c r="G1489" s="6">
        <v>0.0</v>
      </c>
      <c r="H1489" s="6">
        <v>409376.0</v>
      </c>
    </row>
    <row r="1490" ht="15.75" customHeight="1">
      <c r="A1490" s="4">
        <v>1487.0</v>
      </c>
      <c r="B1490" s="4" t="s">
        <v>3003</v>
      </c>
      <c r="C1490" s="4" t="s">
        <v>3004</v>
      </c>
      <c r="D1490" s="4" t="s">
        <v>43</v>
      </c>
      <c r="E1490" s="6">
        <v>0.0</v>
      </c>
      <c r="F1490" s="6">
        <v>0.0</v>
      </c>
      <c r="G1490" s="6">
        <v>0.0</v>
      </c>
      <c r="H1490" s="6">
        <v>230351.0</v>
      </c>
    </row>
    <row r="1491" ht="15.75" customHeight="1">
      <c r="A1491" s="4">
        <v>1488.0</v>
      </c>
      <c r="B1491" s="4" t="s">
        <v>3005</v>
      </c>
      <c r="C1491" s="4" t="s">
        <v>3006</v>
      </c>
      <c r="D1491" s="4" t="s">
        <v>43</v>
      </c>
      <c r="E1491" s="6">
        <v>0.0</v>
      </c>
      <c r="F1491" s="6">
        <v>0.0</v>
      </c>
      <c r="G1491" s="6">
        <v>0.0</v>
      </c>
      <c r="H1491" s="6">
        <v>279823.0</v>
      </c>
    </row>
    <row r="1492" ht="15.75" customHeight="1">
      <c r="A1492" s="4">
        <v>1489.0</v>
      </c>
      <c r="B1492" s="4" t="s">
        <v>3007</v>
      </c>
      <c r="C1492" s="4" t="s">
        <v>3008</v>
      </c>
      <c r="D1492" s="4" t="s">
        <v>2608</v>
      </c>
      <c r="E1492" s="6">
        <v>0.0</v>
      </c>
      <c r="F1492" s="6">
        <v>0.0</v>
      </c>
      <c r="G1492" s="6">
        <v>0.0</v>
      </c>
      <c r="H1492" s="6">
        <v>910954.0</v>
      </c>
    </row>
    <row r="1493" ht="15.75" customHeight="1">
      <c r="A1493" s="4">
        <v>1490.0</v>
      </c>
      <c r="B1493" s="4" t="s">
        <v>3009</v>
      </c>
      <c r="C1493" s="4" t="s">
        <v>3010</v>
      </c>
      <c r="D1493" s="4" t="s">
        <v>2608</v>
      </c>
      <c r="E1493" s="6">
        <v>0.0</v>
      </c>
      <c r="F1493" s="6">
        <v>0.0</v>
      </c>
      <c r="G1493" s="6">
        <v>0.0</v>
      </c>
      <c r="H1493" s="6">
        <v>1272073.0</v>
      </c>
    </row>
    <row r="1494" ht="15.75" customHeight="1">
      <c r="A1494" s="9">
        <v>1491.0</v>
      </c>
      <c r="B1494" s="9" t="s">
        <v>3011</v>
      </c>
      <c r="C1494" s="10" t="s">
        <v>3012</v>
      </c>
      <c r="D1494" s="9"/>
      <c r="E1494" s="11"/>
      <c r="F1494" s="11"/>
      <c r="G1494" s="11"/>
      <c r="H1494" s="11"/>
    </row>
    <row r="1495" ht="15.75" customHeight="1">
      <c r="A1495" s="9">
        <v>1492.0</v>
      </c>
      <c r="B1495" s="9" t="s">
        <v>3013</v>
      </c>
      <c r="C1495" s="10" t="s">
        <v>3014</v>
      </c>
      <c r="D1495" s="9"/>
      <c r="E1495" s="11"/>
      <c r="F1495" s="11"/>
      <c r="G1495" s="11"/>
      <c r="H1495" s="11"/>
    </row>
    <row r="1496" ht="15.75" customHeight="1">
      <c r="A1496" s="4">
        <v>1493.0</v>
      </c>
      <c r="B1496" s="4" t="s">
        <v>3015</v>
      </c>
      <c r="C1496" s="4" t="s">
        <v>3016</v>
      </c>
      <c r="D1496" s="4" t="s">
        <v>729</v>
      </c>
      <c r="E1496" s="6">
        <v>72910.0</v>
      </c>
      <c r="F1496" s="6">
        <v>249590.5</v>
      </c>
      <c r="G1496" s="6">
        <v>0.0</v>
      </c>
      <c r="H1496" s="6">
        <v>354750.0</v>
      </c>
    </row>
    <row r="1497" ht="15.75" customHeight="1">
      <c r="A1497" s="4">
        <v>1494.0</v>
      </c>
      <c r="B1497" s="4" t="s">
        <v>3017</v>
      </c>
      <c r="C1497" s="4" t="s">
        <v>3018</v>
      </c>
      <c r="D1497" s="4" t="s">
        <v>3019</v>
      </c>
      <c r="E1497" s="6">
        <v>72910.0</v>
      </c>
      <c r="F1497" s="6">
        <v>249590.5</v>
      </c>
      <c r="G1497" s="6">
        <v>0.0</v>
      </c>
      <c r="H1497" s="6">
        <v>354750.0</v>
      </c>
    </row>
    <row r="1498" ht="15.75" customHeight="1">
      <c r="A1498" s="4">
        <v>1495.0</v>
      </c>
      <c r="B1498" s="4" t="s">
        <v>3020</v>
      </c>
      <c r="C1498" s="4" t="s">
        <v>3021</v>
      </c>
      <c r="D1498" s="4" t="s">
        <v>2608</v>
      </c>
      <c r="E1498" s="6">
        <v>24640.0</v>
      </c>
      <c r="F1498" s="6">
        <v>90200.00000000001</v>
      </c>
      <c r="G1498" s="6">
        <v>0.0</v>
      </c>
      <c r="H1498" s="6">
        <v>126324.0</v>
      </c>
    </row>
    <row r="1499" ht="15.75" customHeight="1">
      <c r="A1499" s="4">
        <v>1496.0</v>
      </c>
      <c r="B1499" s="4" t="s">
        <v>3022</v>
      </c>
      <c r="C1499" s="4" t="s">
        <v>3023</v>
      </c>
      <c r="D1499" s="4" t="s">
        <v>2608</v>
      </c>
      <c r="E1499" s="6">
        <v>24640.0</v>
      </c>
      <c r="F1499" s="6">
        <v>29920.0</v>
      </c>
      <c r="G1499" s="6">
        <v>0.0</v>
      </c>
      <c r="H1499" s="6">
        <v>60016.0</v>
      </c>
    </row>
    <row r="1500" ht="15.75" customHeight="1">
      <c r="A1500" s="4">
        <v>1497.0</v>
      </c>
      <c r="B1500" s="4" t="s">
        <v>3024</v>
      </c>
      <c r="C1500" s="4" t="s">
        <v>3025</v>
      </c>
      <c r="D1500" s="4" t="s">
        <v>2608</v>
      </c>
      <c r="E1500" s="6">
        <v>24640.0</v>
      </c>
      <c r="F1500" s="6">
        <v>150920.0</v>
      </c>
      <c r="G1500" s="6">
        <v>0.0</v>
      </c>
      <c r="H1500" s="6">
        <v>193116.0</v>
      </c>
    </row>
    <row r="1501" ht="15.75" customHeight="1">
      <c r="A1501" s="4">
        <v>1498.0</v>
      </c>
      <c r="B1501" s="4" t="s">
        <v>3026</v>
      </c>
      <c r="C1501" s="4" t="s">
        <v>3027</v>
      </c>
      <c r="D1501" s="4" t="s">
        <v>2608</v>
      </c>
      <c r="E1501" s="6">
        <v>24640.0</v>
      </c>
      <c r="F1501" s="6">
        <v>83270.0</v>
      </c>
      <c r="G1501" s="6">
        <v>0.0</v>
      </c>
      <c r="H1501" s="6">
        <v>118701.0</v>
      </c>
    </row>
    <row r="1502" ht="15.75" customHeight="1">
      <c r="A1502" s="4">
        <v>1499.0</v>
      </c>
      <c r="B1502" s="4" t="s">
        <v>3028</v>
      </c>
      <c r="C1502" s="4" t="s">
        <v>3029</v>
      </c>
      <c r="D1502" s="4" t="s">
        <v>2608</v>
      </c>
      <c r="E1502" s="6">
        <v>24640.0</v>
      </c>
      <c r="F1502" s="6">
        <v>204270.0</v>
      </c>
      <c r="G1502" s="6">
        <v>0.0</v>
      </c>
      <c r="H1502" s="6">
        <v>251801.0</v>
      </c>
    </row>
    <row r="1503" ht="15.75" customHeight="1">
      <c r="A1503" s="4">
        <v>1500.0</v>
      </c>
      <c r="B1503" s="4" t="s">
        <v>3030</v>
      </c>
      <c r="C1503" s="4" t="s">
        <v>3031</v>
      </c>
      <c r="D1503" s="4" t="s">
        <v>2608</v>
      </c>
      <c r="E1503" s="6">
        <v>49150.0</v>
      </c>
      <c r="F1503" s="6">
        <v>291500.0</v>
      </c>
      <c r="G1503" s="6">
        <v>0.0</v>
      </c>
      <c r="H1503" s="6">
        <v>374715.0</v>
      </c>
    </row>
    <row r="1504" ht="15.75" customHeight="1">
      <c r="A1504" s="4">
        <v>1501.0</v>
      </c>
      <c r="B1504" s="4" t="s">
        <v>3032</v>
      </c>
      <c r="C1504" s="4" t="s">
        <v>3033</v>
      </c>
      <c r="D1504" s="4" t="s">
        <v>2608</v>
      </c>
      <c r="E1504" s="6">
        <v>49150.0</v>
      </c>
      <c r="F1504" s="6">
        <v>137500.0</v>
      </c>
      <c r="G1504" s="6">
        <v>0.0</v>
      </c>
      <c r="H1504" s="6">
        <v>205315.0</v>
      </c>
    </row>
    <row r="1505" ht="15.75" customHeight="1">
      <c r="A1505" s="4">
        <v>1502.0</v>
      </c>
      <c r="B1505" s="4" t="s">
        <v>3034</v>
      </c>
      <c r="C1505" s="4" t="s">
        <v>3035</v>
      </c>
      <c r="D1505" s="4" t="s">
        <v>2608</v>
      </c>
      <c r="E1505" s="6">
        <v>49150.0</v>
      </c>
      <c r="F1505" s="6">
        <v>57200.0</v>
      </c>
      <c r="G1505" s="6">
        <v>0.0</v>
      </c>
      <c r="H1505" s="6">
        <v>116985.0</v>
      </c>
    </row>
    <row r="1506" ht="15.75" customHeight="1">
      <c r="A1506" s="4">
        <v>1503.0</v>
      </c>
      <c r="B1506" s="4" t="s">
        <v>3036</v>
      </c>
      <c r="C1506" s="4" t="s">
        <v>3037</v>
      </c>
      <c r="D1506" s="4" t="s">
        <v>2608</v>
      </c>
      <c r="E1506" s="6">
        <v>97450.0</v>
      </c>
      <c r="F1506" s="6">
        <v>1944000.0</v>
      </c>
      <c r="G1506" s="6">
        <v>0.0</v>
      </c>
      <c r="H1506" s="6">
        <v>2245595.0</v>
      </c>
    </row>
    <row r="1507" ht="15.75" customHeight="1">
      <c r="A1507" s="4">
        <v>1504.0</v>
      </c>
      <c r="B1507" s="4" t="s">
        <v>3038</v>
      </c>
      <c r="C1507" s="4" t="s">
        <v>3039</v>
      </c>
      <c r="D1507" s="4" t="s">
        <v>2608</v>
      </c>
      <c r="E1507" s="6">
        <v>29090.0</v>
      </c>
      <c r="F1507" s="6">
        <v>162800.0</v>
      </c>
      <c r="G1507" s="6">
        <v>0.0</v>
      </c>
      <c r="H1507" s="6">
        <v>211079.0</v>
      </c>
    </row>
    <row r="1508" ht="15.75" customHeight="1">
      <c r="A1508" s="4">
        <v>1505.0</v>
      </c>
      <c r="B1508" s="4" t="s">
        <v>3040</v>
      </c>
      <c r="C1508" s="4" t="s">
        <v>3041</v>
      </c>
      <c r="D1508" s="4" t="s">
        <v>2608</v>
      </c>
      <c r="E1508" s="6">
        <v>43620.0</v>
      </c>
      <c r="F1508" s="6">
        <v>71500.0</v>
      </c>
      <c r="G1508" s="6">
        <v>0.0</v>
      </c>
      <c r="H1508" s="6">
        <v>126632.0</v>
      </c>
    </row>
    <row r="1509" ht="15.75" customHeight="1">
      <c r="A1509" s="4">
        <v>1506.0</v>
      </c>
      <c r="B1509" s="4" t="s">
        <v>3042</v>
      </c>
      <c r="C1509" s="4" t="s">
        <v>3043</v>
      </c>
      <c r="D1509" s="4" t="s">
        <v>2608</v>
      </c>
      <c r="E1509" s="6">
        <v>43620.0</v>
      </c>
      <c r="F1509" s="6">
        <v>79200.0</v>
      </c>
      <c r="G1509" s="6">
        <v>0.0</v>
      </c>
      <c r="H1509" s="6">
        <v>135102.0</v>
      </c>
    </row>
    <row r="1510" ht="15.75" customHeight="1">
      <c r="A1510" s="4">
        <v>1507.0</v>
      </c>
      <c r="B1510" s="4" t="s">
        <v>3044</v>
      </c>
      <c r="C1510" s="4" t="s">
        <v>3045</v>
      </c>
      <c r="D1510" s="4" t="s">
        <v>2608</v>
      </c>
      <c r="E1510" s="6">
        <v>43620.0</v>
      </c>
      <c r="F1510" s="6">
        <v>200200.0</v>
      </c>
      <c r="G1510" s="6">
        <v>0.0</v>
      </c>
      <c r="H1510" s="6">
        <v>268202.0</v>
      </c>
    </row>
    <row r="1511" ht="15.75" customHeight="1">
      <c r="A1511" s="4">
        <v>1508.0</v>
      </c>
      <c r="B1511" s="4" t="s">
        <v>3046</v>
      </c>
      <c r="C1511" s="4" t="s">
        <v>3047</v>
      </c>
      <c r="D1511" s="4" t="s">
        <v>2608</v>
      </c>
      <c r="E1511" s="6">
        <v>63710.0</v>
      </c>
      <c r="F1511" s="6">
        <v>158400.0</v>
      </c>
      <c r="G1511" s="6">
        <v>0.0</v>
      </c>
      <c r="H1511" s="6">
        <v>244321.0</v>
      </c>
    </row>
    <row r="1512" ht="15.75" customHeight="1">
      <c r="A1512" s="4">
        <v>1509.0</v>
      </c>
      <c r="B1512" s="4" t="s">
        <v>3048</v>
      </c>
      <c r="C1512" s="4" t="s">
        <v>3049</v>
      </c>
      <c r="D1512" s="4" t="s">
        <v>2608</v>
      </c>
      <c r="E1512" s="6">
        <v>63710.0</v>
      </c>
      <c r="F1512" s="6">
        <v>279400.0</v>
      </c>
      <c r="G1512" s="6">
        <v>0.0</v>
      </c>
      <c r="H1512" s="6">
        <v>377421.0</v>
      </c>
    </row>
    <row r="1513" ht="15.75" customHeight="1">
      <c r="A1513" s="4">
        <v>1510.0</v>
      </c>
      <c r="B1513" s="4" t="s">
        <v>3050</v>
      </c>
      <c r="C1513" s="4" t="s">
        <v>3051</v>
      </c>
      <c r="D1513" s="4" t="s">
        <v>2608</v>
      </c>
      <c r="E1513" s="6">
        <v>533725.0</v>
      </c>
      <c r="F1513" s="6">
        <v>2619750.0</v>
      </c>
      <c r="G1513" s="6">
        <v>0.0</v>
      </c>
      <c r="H1513" s="6">
        <v>3468822.0</v>
      </c>
    </row>
    <row r="1514" ht="15.75" customHeight="1">
      <c r="A1514" s="4">
        <v>1511.0</v>
      </c>
      <c r="B1514" s="4" t="s">
        <v>3052</v>
      </c>
      <c r="C1514" s="4" t="s">
        <v>3053</v>
      </c>
      <c r="D1514" s="4" t="s">
        <v>2608</v>
      </c>
      <c r="E1514" s="6">
        <v>776085.0</v>
      </c>
      <c r="F1514" s="6">
        <v>2835000.0</v>
      </c>
      <c r="G1514" s="6">
        <v>0.0</v>
      </c>
      <c r="H1514" s="6">
        <v>3972193.0</v>
      </c>
    </row>
    <row r="1515" ht="15.75" customHeight="1">
      <c r="A1515" s="4">
        <v>1512.0</v>
      </c>
      <c r="B1515" s="4" t="s">
        <v>3054</v>
      </c>
      <c r="C1515" s="4" t="s">
        <v>3055</v>
      </c>
      <c r="D1515" s="4" t="s">
        <v>2608</v>
      </c>
      <c r="E1515" s="6">
        <v>97450.0</v>
      </c>
      <c r="F1515" s="6">
        <v>170500.0</v>
      </c>
      <c r="G1515" s="6">
        <v>0.0</v>
      </c>
      <c r="H1515" s="6">
        <v>294745.0</v>
      </c>
    </row>
    <row r="1516" ht="15.75" customHeight="1">
      <c r="A1516" s="4">
        <v>1513.0</v>
      </c>
      <c r="B1516" s="4" t="s">
        <v>3056</v>
      </c>
      <c r="C1516" s="4" t="s">
        <v>3057</v>
      </c>
      <c r="D1516" s="4" t="s">
        <v>2608</v>
      </c>
      <c r="E1516" s="6">
        <v>24640.0</v>
      </c>
      <c r="F1516" s="6">
        <v>47300.0</v>
      </c>
      <c r="G1516" s="6">
        <v>0.0</v>
      </c>
      <c r="H1516" s="6">
        <v>79134.0</v>
      </c>
    </row>
    <row r="1517" ht="15.75" customHeight="1">
      <c r="A1517" s="4">
        <v>1514.0</v>
      </c>
      <c r="B1517" s="4" t="s">
        <v>3058</v>
      </c>
      <c r="C1517" s="4" t="s">
        <v>3059</v>
      </c>
      <c r="D1517" s="4" t="s">
        <v>2608</v>
      </c>
      <c r="E1517" s="6">
        <v>24640.0</v>
      </c>
      <c r="F1517" s="6">
        <v>168300.0</v>
      </c>
      <c r="G1517" s="6">
        <v>0.0</v>
      </c>
      <c r="H1517" s="6">
        <v>212234.0</v>
      </c>
    </row>
    <row r="1518" ht="15.75" customHeight="1">
      <c r="A1518" s="4">
        <v>1515.0</v>
      </c>
      <c r="B1518" s="4" t="s">
        <v>3060</v>
      </c>
      <c r="C1518" s="4" t="s">
        <v>3061</v>
      </c>
      <c r="D1518" s="4" t="s">
        <v>2608</v>
      </c>
      <c r="E1518" s="6">
        <v>24640.0</v>
      </c>
      <c r="F1518" s="6">
        <v>55000.0</v>
      </c>
      <c r="G1518" s="6">
        <v>0.0</v>
      </c>
      <c r="H1518" s="6">
        <v>87604.0</v>
      </c>
    </row>
    <row r="1519" ht="15.75" customHeight="1">
      <c r="A1519" s="4">
        <v>1516.0</v>
      </c>
      <c r="B1519" s="4" t="s">
        <v>3062</v>
      </c>
      <c r="C1519" s="4" t="s">
        <v>3063</v>
      </c>
      <c r="D1519" s="4" t="s">
        <v>2608</v>
      </c>
      <c r="E1519" s="6">
        <v>24640.0</v>
      </c>
      <c r="F1519" s="6">
        <v>176000.0</v>
      </c>
      <c r="G1519" s="6">
        <v>0.0</v>
      </c>
      <c r="H1519" s="6">
        <v>220704.0</v>
      </c>
    </row>
    <row r="1520" ht="15.75" customHeight="1">
      <c r="A1520" s="4">
        <v>1517.0</v>
      </c>
      <c r="B1520" s="4" t="s">
        <v>3064</v>
      </c>
      <c r="C1520" s="4" t="s">
        <v>3065</v>
      </c>
      <c r="D1520" s="4" t="s">
        <v>2608</v>
      </c>
      <c r="E1520" s="6">
        <v>24640.0</v>
      </c>
      <c r="F1520" s="6">
        <v>223300.0</v>
      </c>
      <c r="G1520" s="6">
        <v>0.0</v>
      </c>
      <c r="H1520" s="6">
        <v>272734.0</v>
      </c>
    </row>
    <row r="1521" ht="15.75" customHeight="1">
      <c r="A1521" s="4">
        <v>1518.0</v>
      </c>
      <c r="B1521" s="4" t="s">
        <v>3066</v>
      </c>
      <c r="C1521" s="4" t="s">
        <v>3067</v>
      </c>
      <c r="D1521" s="4" t="s">
        <v>2608</v>
      </c>
      <c r="E1521" s="6">
        <v>24640.0</v>
      </c>
      <c r="F1521" s="6">
        <v>245300.0</v>
      </c>
      <c r="G1521" s="6">
        <v>0.0</v>
      </c>
      <c r="H1521" s="6">
        <v>296934.0</v>
      </c>
    </row>
    <row r="1522" ht="15.75" customHeight="1">
      <c r="A1522" s="4">
        <v>1519.0</v>
      </c>
      <c r="B1522" s="4" t="s">
        <v>3068</v>
      </c>
      <c r="C1522" s="4" t="s">
        <v>3069</v>
      </c>
      <c r="D1522" s="4" t="s">
        <v>2608</v>
      </c>
      <c r="E1522" s="6">
        <v>24640.0</v>
      </c>
      <c r="F1522" s="6">
        <v>48400.0</v>
      </c>
      <c r="G1522" s="6">
        <v>0.0</v>
      </c>
      <c r="H1522" s="6">
        <v>80344.0</v>
      </c>
    </row>
    <row r="1523" ht="15.75" customHeight="1">
      <c r="A1523" s="4">
        <v>1520.0</v>
      </c>
      <c r="B1523" s="4" t="s">
        <v>3070</v>
      </c>
      <c r="C1523" s="4" t="s">
        <v>3071</v>
      </c>
      <c r="D1523" s="4" t="s">
        <v>2608</v>
      </c>
      <c r="E1523" s="6">
        <v>43620.0</v>
      </c>
      <c r="F1523" s="6">
        <v>22000.0</v>
      </c>
      <c r="G1523" s="6">
        <v>0.0</v>
      </c>
      <c r="H1523" s="6">
        <v>72182.0</v>
      </c>
    </row>
    <row r="1524" ht="15.75" customHeight="1">
      <c r="A1524" s="4">
        <v>1521.0</v>
      </c>
      <c r="B1524" s="4" t="s">
        <v>3072</v>
      </c>
      <c r="C1524" s="4" t="s">
        <v>3073</v>
      </c>
      <c r="D1524" s="4" t="s">
        <v>2608</v>
      </c>
      <c r="E1524" s="6">
        <v>43620.0</v>
      </c>
      <c r="F1524" s="6">
        <v>33000.0</v>
      </c>
      <c r="G1524" s="6">
        <v>0.0</v>
      </c>
      <c r="H1524" s="6">
        <v>84282.0</v>
      </c>
    </row>
    <row r="1525" ht="15.75" customHeight="1">
      <c r="A1525" s="4">
        <v>1522.0</v>
      </c>
      <c r="B1525" s="4" t="s">
        <v>3074</v>
      </c>
      <c r="C1525" s="4" t="s">
        <v>3075</v>
      </c>
      <c r="D1525" s="4" t="s">
        <v>2608</v>
      </c>
      <c r="E1525" s="6">
        <v>0.0</v>
      </c>
      <c r="F1525" s="6">
        <v>0.0</v>
      </c>
      <c r="G1525" s="6">
        <v>0.0</v>
      </c>
      <c r="H1525" s="6">
        <v>78232.0</v>
      </c>
    </row>
    <row r="1526" ht="15.75" customHeight="1">
      <c r="A1526" s="4">
        <v>1523.0</v>
      </c>
      <c r="B1526" s="4" t="s">
        <v>3076</v>
      </c>
      <c r="C1526" s="4" t="s">
        <v>3077</v>
      </c>
      <c r="D1526" s="4" t="s">
        <v>2608</v>
      </c>
      <c r="E1526" s="6">
        <v>0.0</v>
      </c>
      <c r="F1526" s="6">
        <v>0.0</v>
      </c>
      <c r="G1526" s="6">
        <v>0.0</v>
      </c>
      <c r="H1526" s="6">
        <v>138732.0</v>
      </c>
    </row>
    <row r="1527" ht="15.75" customHeight="1">
      <c r="A1527" s="4">
        <v>1524.0</v>
      </c>
      <c r="B1527" s="4" t="s">
        <v>3078</v>
      </c>
      <c r="C1527" s="4" t="s">
        <v>3079</v>
      </c>
      <c r="D1527" s="4" t="s">
        <v>729</v>
      </c>
      <c r="E1527" s="6">
        <v>0.0</v>
      </c>
      <c r="F1527" s="6">
        <v>0.0</v>
      </c>
      <c r="G1527" s="6">
        <v>0.0</v>
      </c>
      <c r="H1527" s="6">
        <v>683878.0</v>
      </c>
    </row>
    <row r="1528" ht="15.75" customHeight="1">
      <c r="A1528" s="4">
        <v>1525.0</v>
      </c>
      <c r="B1528" s="4" t="s">
        <v>3080</v>
      </c>
      <c r="C1528" s="4" t="s">
        <v>3081</v>
      </c>
      <c r="D1528" s="4" t="s">
        <v>3019</v>
      </c>
      <c r="E1528" s="6">
        <v>0.0</v>
      </c>
      <c r="F1528" s="6">
        <v>0.0</v>
      </c>
      <c r="G1528" s="6">
        <v>0.0</v>
      </c>
      <c r="H1528" s="6">
        <v>3340048.0</v>
      </c>
    </row>
    <row r="1529" ht="15.75" customHeight="1">
      <c r="A1529" s="4">
        <v>1526.0</v>
      </c>
      <c r="B1529" s="4" t="s">
        <v>3082</v>
      </c>
      <c r="C1529" s="4" t="s">
        <v>3083</v>
      </c>
      <c r="D1529" s="4" t="s">
        <v>729</v>
      </c>
      <c r="E1529" s="6">
        <v>0.0</v>
      </c>
      <c r="F1529" s="6">
        <v>0.0</v>
      </c>
      <c r="G1529" s="6">
        <v>0.0</v>
      </c>
      <c r="H1529" s="6">
        <v>159662.0</v>
      </c>
    </row>
    <row r="1530" ht="15.75" customHeight="1">
      <c r="A1530" s="4">
        <v>1527.0</v>
      </c>
      <c r="B1530" s="4" t="s">
        <v>3084</v>
      </c>
      <c r="C1530" s="4" t="s">
        <v>3085</v>
      </c>
      <c r="D1530" s="4" t="s">
        <v>3019</v>
      </c>
      <c r="E1530" s="6">
        <v>0.0</v>
      </c>
      <c r="F1530" s="6">
        <v>0.0</v>
      </c>
      <c r="G1530" s="6">
        <v>0.0</v>
      </c>
      <c r="H1530" s="6">
        <v>1281013.0</v>
      </c>
    </row>
    <row r="1531" ht="15.75" customHeight="1">
      <c r="A1531" s="4">
        <v>1528.0</v>
      </c>
      <c r="B1531" s="4" t="s">
        <v>3086</v>
      </c>
      <c r="C1531" s="4" t="s">
        <v>3087</v>
      </c>
      <c r="D1531" s="4" t="s">
        <v>729</v>
      </c>
      <c r="E1531" s="6">
        <v>0.0</v>
      </c>
      <c r="F1531" s="6">
        <v>0.0</v>
      </c>
      <c r="G1531" s="6">
        <v>0.0</v>
      </c>
      <c r="H1531" s="6">
        <v>1018663.0</v>
      </c>
    </row>
    <row r="1532" ht="15.75" customHeight="1">
      <c r="A1532" s="4">
        <v>1529.0</v>
      </c>
      <c r="B1532" s="4" t="s">
        <v>3088</v>
      </c>
      <c r="C1532" s="4" t="s">
        <v>3089</v>
      </c>
      <c r="D1532" s="4" t="s">
        <v>3019</v>
      </c>
      <c r="E1532" s="6">
        <v>0.0</v>
      </c>
      <c r="F1532" s="6">
        <v>0.0</v>
      </c>
      <c r="G1532" s="6">
        <v>0.0</v>
      </c>
      <c r="H1532" s="6">
        <v>288527.0</v>
      </c>
    </row>
    <row r="1533" ht="15.75" customHeight="1">
      <c r="A1533" s="4">
        <v>1530.0</v>
      </c>
      <c r="B1533" s="4" t="s">
        <v>3090</v>
      </c>
      <c r="C1533" s="4" t="s">
        <v>3091</v>
      </c>
      <c r="D1533" s="4" t="s">
        <v>729</v>
      </c>
      <c r="E1533" s="6">
        <v>0.0</v>
      </c>
      <c r="F1533" s="6">
        <v>0.0</v>
      </c>
      <c r="G1533" s="6">
        <v>0.0</v>
      </c>
      <c r="H1533" s="6">
        <v>340073.0</v>
      </c>
    </row>
    <row r="1534" ht="15.75" customHeight="1">
      <c r="A1534" s="4">
        <v>1531.0</v>
      </c>
      <c r="B1534" s="4" t="s">
        <v>3092</v>
      </c>
      <c r="C1534" s="4" t="s">
        <v>3093</v>
      </c>
      <c r="D1534" s="4" t="s">
        <v>2608</v>
      </c>
      <c r="E1534" s="6">
        <v>0.0</v>
      </c>
      <c r="F1534" s="6">
        <v>0.0</v>
      </c>
      <c r="G1534" s="6">
        <v>0.0</v>
      </c>
      <c r="H1534" s="6">
        <v>1756909.0</v>
      </c>
    </row>
    <row r="1535" ht="15.75" customHeight="1">
      <c r="A1535" s="4">
        <v>1532.0</v>
      </c>
      <c r="B1535" s="4" t="s">
        <v>3094</v>
      </c>
      <c r="C1535" s="4" t="s">
        <v>3095</v>
      </c>
      <c r="D1535" s="4" t="s">
        <v>43</v>
      </c>
      <c r="E1535" s="6">
        <v>0.0</v>
      </c>
      <c r="F1535" s="6">
        <v>0.0</v>
      </c>
      <c r="G1535" s="6">
        <v>0.0</v>
      </c>
      <c r="H1535" s="6">
        <v>207883.0</v>
      </c>
    </row>
    <row r="1536" ht="15.75" customHeight="1">
      <c r="A1536" s="4">
        <v>1533.0</v>
      </c>
      <c r="B1536" s="4" t="s">
        <v>3096</v>
      </c>
      <c r="C1536" s="4" t="s">
        <v>3097</v>
      </c>
      <c r="D1536" s="4" t="s">
        <v>729</v>
      </c>
      <c r="E1536" s="6">
        <v>0.0</v>
      </c>
      <c r="F1536" s="6">
        <v>0.0</v>
      </c>
      <c r="G1536" s="6">
        <v>0.0</v>
      </c>
      <c r="H1536" s="6">
        <v>139777.0</v>
      </c>
    </row>
    <row r="1537" ht="15.75" customHeight="1">
      <c r="A1537" s="4">
        <v>1534.0</v>
      </c>
      <c r="B1537" s="4" t="s">
        <v>3098</v>
      </c>
      <c r="C1537" s="4" t="s">
        <v>3099</v>
      </c>
      <c r="D1537" s="4" t="s">
        <v>27</v>
      </c>
      <c r="E1537" s="6">
        <v>0.0</v>
      </c>
      <c r="F1537" s="6">
        <v>0.0</v>
      </c>
      <c r="G1537" s="6">
        <v>0.0</v>
      </c>
      <c r="H1537" s="6">
        <v>28281.0</v>
      </c>
    </row>
    <row r="1538" ht="15.75" customHeight="1">
      <c r="A1538" s="4">
        <v>1535.0</v>
      </c>
      <c r="B1538" s="4" t="s">
        <v>3100</v>
      </c>
      <c r="C1538" s="4" t="s">
        <v>3101</v>
      </c>
      <c r="D1538" s="4" t="s">
        <v>43</v>
      </c>
      <c r="E1538" s="6">
        <v>0.0</v>
      </c>
      <c r="F1538" s="6">
        <v>0.0</v>
      </c>
      <c r="G1538" s="6">
        <v>0.0</v>
      </c>
      <c r="H1538" s="6">
        <v>1980566.0</v>
      </c>
    </row>
    <row r="1539" ht="15.75" customHeight="1">
      <c r="A1539" s="9">
        <v>1536.0</v>
      </c>
      <c r="B1539" s="9" t="s">
        <v>3102</v>
      </c>
      <c r="C1539" s="10" t="s">
        <v>3103</v>
      </c>
      <c r="D1539" s="9"/>
      <c r="E1539" s="11"/>
      <c r="F1539" s="11"/>
      <c r="G1539" s="11"/>
      <c r="H1539" s="11"/>
    </row>
    <row r="1540" ht="15.75" customHeight="1">
      <c r="A1540" s="4">
        <v>1537.0</v>
      </c>
      <c r="B1540" s="4" t="s">
        <v>3104</v>
      </c>
      <c r="C1540" s="4" t="s">
        <v>3105</v>
      </c>
      <c r="D1540" s="4" t="s">
        <v>2608</v>
      </c>
      <c r="E1540" s="6">
        <v>24640.0</v>
      </c>
      <c r="F1540" s="6">
        <v>63800.00000000001</v>
      </c>
      <c r="G1540" s="6">
        <v>0.0</v>
      </c>
      <c r="H1540" s="6">
        <v>97284.0</v>
      </c>
    </row>
    <row r="1541" ht="15.75" customHeight="1">
      <c r="A1541" s="4">
        <v>1538.0</v>
      </c>
      <c r="B1541" s="4" t="s">
        <v>3106</v>
      </c>
      <c r="C1541" s="4" t="s">
        <v>3107</v>
      </c>
      <c r="D1541" s="4" t="s">
        <v>2608</v>
      </c>
      <c r="E1541" s="6">
        <v>24640.0</v>
      </c>
      <c r="F1541" s="6">
        <v>72490.0</v>
      </c>
      <c r="G1541" s="6">
        <v>0.0</v>
      </c>
      <c r="H1541" s="6">
        <v>106843.0</v>
      </c>
    </row>
    <row r="1542" ht="15.75" customHeight="1">
      <c r="A1542" s="9">
        <v>1539.0</v>
      </c>
      <c r="B1542" s="9" t="s">
        <v>3108</v>
      </c>
      <c r="C1542" s="10" t="s">
        <v>3109</v>
      </c>
      <c r="D1542" s="9"/>
      <c r="E1542" s="11"/>
      <c r="F1542" s="11"/>
      <c r="G1542" s="11"/>
      <c r="H1542" s="11"/>
    </row>
    <row r="1543" ht="15.75" customHeight="1">
      <c r="A1543" s="9">
        <v>1540.0</v>
      </c>
      <c r="B1543" s="9" t="s">
        <v>3110</v>
      </c>
      <c r="C1543" s="10" t="s">
        <v>3111</v>
      </c>
      <c r="D1543" s="9"/>
      <c r="E1543" s="11"/>
      <c r="F1543" s="11"/>
      <c r="G1543" s="11"/>
      <c r="H1543" s="11"/>
    </row>
    <row r="1544" ht="15.75" customHeight="1">
      <c r="A1544" s="4">
        <v>1541.0</v>
      </c>
      <c r="B1544" s="4" t="s">
        <v>3112</v>
      </c>
      <c r="C1544" s="4" t="s">
        <v>3113</v>
      </c>
      <c r="D1544" s="4" t="s">
        <v>2608</v>
      </c>
      <c r="E1544" s="6">
        <v>2422715.0</v>
      </c>
      <c r="F1544" s="6">
        <v>2.8875E7</v>
      </c>
      <c r="G1544" s="6">
        <v>0.0</v>
      </c>
      <c r="H1544" s="6">
        <v>3.4427486E7</v>
      </c>
    </row>
    <row r="1545" ht="15.75" customHeight="1">
      <c r="A1545" s="4">
        <v>1542.0</v>
      </c>
      <c r="B1545" s="4" t="s">
        <v>3114</v>
      </c>
      <c r="C1545" s="4" t="s">
        <v>3115</v>
      </c>
      <c r="D1545" s="4" t="s">
        <v>2608</v>
      </c>
      <c r="E1545" s="6">
        <v>159470.0</v>
      </c>
      <c r="F1545" s="6">
        <v>3675000.0</v>
      </c>
      <c r="G1545" s="6">
        <v>0.0</v>
      </c>
      <c r="H1545" s="6">
        <v>4217917.0</v>
      </c>
    </row>
    <row r="1546" ht="15.75" customHeight="1">
      <c r="A1546" s="4">
        <v>1543.0</v>
      </c>
      <c r="B1546" s="4" t="s">
        <v>3116</v>
      </c>
      <c r="C1546" s="4" t="s">
        <v>3117</v>
      </c>
      <c r="D1546" s="4" t="s">
        <v>2608</v>
      </c>
      <c r="E1546" s="6">
        <v>115575.0</v>
      </c>
      <c r="F1546" s="6">
        <v>2625000.0</v>
      </c>
      <c r="G1546" s="6">
        <v>0.0</v>
      </c>
      <c r="H1546" s="6">
        <v>3014632.0</v>
      </c>
    </row>
    <row r="1547" ht="15.75" customHeight="1">
      <c r="A1547" s="4">
        <v>1544.0</v>
      </c>
      <c r="B1547" s="4" t="s">
        <v>3118</v>
      </c>
      <c r="C1547" s="4" t="s">
        <v>3119</v>
      </c>
      <c r="D1547" s="4" t="s">
        <v>2608</v>
      </c>
      <c r="E1547" s="6">
        <v>115575.0</v>
      </c>
      <c r="F1547" s="6">
        <v>1995000.0</v>
      </c>
      <c r="G1547" s="6">
        <v>0.0</v>
      </c>
      <c r="H1547" s="6">
        <v>2321632.0</v>
      </c>
    </row>
    <row r="1548" ht="15.75" customHeight="1">
      <c r="A1548" s="4">
        <v>1545.0</v>
      </c>
      <c r="B1548" s="4" t="s">
        <v>3120</v>
      </c>
      <c r="C1548" s="4" t="s">
        <v>3121</v>
      </c>
      <c r="D1548" s="4" t="s">
        <v>2608</v>
      </c>
      <c r="E1548" s="6">
        <v>382575.0</v>
      </c>
      <c r="F1548" s="6">
        <v>2310000.0</v>
      </c>
      <c r="G1548" s="6">
        <v>0.0</v>
      </c>
      <c r="H1548" s="6">
        <v>2961832.0</v>
      </c>
    </row>
    <row r="1549" ht="15.75" customHeight="1">
      <c r="A1549" s="4">
        <v>1546.0</v>
      </c>
      <c r="B1549" s="4" t="s">
        <v>3122</v>
      </c>
      <c r="C1549" s="4" t="s">
        <v>3123</v>
      </c>
      <c r="D1549" s="4" t="s">
        <v>2608</v>
      </c>
      <c r="E1549" s="6">
        <v>382575.0</v>
      </c>
      <c r="F1549" s="6">
        <v>291500.0</v>
      </c>
      <c r="G1549" s="6">
        <v>0.0</v>
      </c>
      <c r="H1549" s="6">
        <v>741482.0</v>
      </c>
    </row>
    <row r="1550" ht="15.75" customHeight="1">
      <c r="A1550" s="4">
        <v>1547.0</v>
      </c>
      <c r="B1550" s="4" t="s">
        <v>3124</v>
      </c>
      <c r="C1550" s="4" t="s">
        <v>3125</v>
      </c>
      <c r="D1550" s="4" t="s">
        <v>2608</v>
      </c>
      <c r="E1550" s="6">
        <v>36355.0</v>
      </c>
      <c r="F1550" s="6">
        <v>819000.0</v>
      </c>
      <c r="G1550" s="6">
        <v>0.0</v>
      </c>
      <c r="H1550" s="6">
        <v>940890.0</v>
      </c>
    </row>
    <row r="1551" ht="15.75" customHeight="1">
      <c r="A1551" s="4">
        <v>1548.0</v>
      </c>
      <c r="B1551" s="4" t="s">
        <v>3126</v>
      </c>
      <c r="C1551" s="4" t="s">
        <v>3127</v>
      </c>
      <c r="D1551" s="4" t="s">
        <v>2608</v>
      </c>
      <c r="E1551" s="6">
        <v>36355.0</v>
      </c>
      <c r="F1551" s="6">
        <v>360150.0</v>
      </c>
      <c r="G1551" s="6">
        <v>0.0</v>
      </c>
      <c r="H1551" s="6">
        <v>436155.0</v>
      </c>
    </row>
    <row r="1552" ht="15.75" customHeight="1">
      <c r="A1552" s="4">
        <v>1549.0</v>
      </c>
      <c r="B1552" s="4" t="s">
        <v>3128</v>
      </c>
      <c r="C1552" s="4" t="s">
        <v>3129</v>
      </c>
      <c r="D1552" s="4" t="s">
        <v>2608</v>
      </c>
      <c r="E1552" s="6">
        <v>36355.0</v>
      </c>
      <c r="F1552" s="6">
        <v>333900.0</v>
      </c>
      <c r="G1552" s="6">
        <v>0.0</v>
      </c>
      <c r="H1552" s="6">
        <v>407280.0</v>
      </c>
    </row>
    <row r="1553" ht="15.75" customHeight="1">
      <c r="A1553" s="4">
        <v>1550.0</v>
      </c>
      <c r="B1553" s="4" t="s">
        <v>3130</v>
      </c>
      <c r="C1553" s="4" t="s">
        <v>3131</v>
      </c>
      <c r="D1553" s="4" t="s">
        <v>2608</v>
      </c>
      <c r="E1553" s="6">
        <v>36355.0</v>
      </c>
      <c r="F1553" s="6">
        <v>257250.0</v>
      </c>
      <c r="G1553" s="6">
        <v>0.0</v>
      </c>
      <c r="H1553" s="6">
        <v>322965.0</v>
      </c>
    </row>
    <row r="1554" ht="15.75" customHeight="1">
      <c r="A1554" s="4">
        <v>1551.0</v>
      </c>
      <c r="B1554" s="4" t="s">
        <v>3132</v>
      </c>
      <c r="C1554" s="4" t="s">
        <v>3133</v>
      </c>
      <c r="D1554" s="4" t="s">
        <v>2608</v>
      </c>
      <c r="E1554" s="6">
        <v>36355.0</v>
      </c>
      <c r="F1554" s="6">
        <v>252000.0</v>
      </c>
      <c r="G1554" s="6">
        <v>0.0</v>
      </c>
      <c r="H1554" s="6">
        <v>317190.0</v>
      </c>
    </row>
    <row r="1555" ht="15.75" customHeight="1">
      <c r="A1555" s="4">
        <v>1552.0</v>
      </c>
      <c r="B1555" s="4" t="s">
        <v>3134</v>
      </c>
      <c r="C1555" s="4" t="s">
        <v>3135</v>
      </c>
      <c r="D1555" s="4" t="s">
        <v>2608</v>
      </c>
      <c r="E1555" s="6">
        <v>36355.0</v>
      </c>
      <c r="F1555" s="6">
        <v>304500.0</v>
      </c>
      <c r="G1555" s="6">
        <v>0.0</v>
      </c>
      <c r="H1555" s="6">
        <v>374940.0</v>
      </c>
    </row>
    <row r="1556" ht="15.75" customHeight="1">
      <c r="A1556" s="4">
        <v>1553.0</v>
      </c>
      <c r="B1556" s="4" t="s">
        <v>3136</v>
      </c>
      <c r="C1556" s="4" t="s">
        <v>3137</v>
      </c>
      <c r="D1556" s="4" t="s">
        <v>2608</v>
      </c>
      <c r="E1556" s="6">
        <v>24640.0</v>
      </c>
      <c r="F1556" s="6">
        <v>59850.0</v>
      </c>
      <c r="G1556" s="6">
        <v>0.0</v>
      </c>
      <c r="H1556" s="6">
        <v>92939.0</v>
      </c>
    </row>
    <row r="1557" ht="15.75" customHeight="1">
      <c r="A1557" s="4">
        <v>1554.0</v>
      </c>
      <c r="B1557" s="4" t="s">
        <v>3138</v>
      </c>
      <c r="C1557" s="4" t="s">
        <v>3139</v>
      </c>
      <c r="D1557" s="4" t="s">
        <v>2608</v>
      </c>
      <c r="E1557" s="6">
        <v>24640.0</v>
      </c>
      <c r="F1557" s="6">
        <v>63000.0</v>
      </c>
      <c r="G1557" s="6">
        <v>0.0</v>
      </c>
      <c r="H1557" s="6">
        <v>96404.0</v>
      </c>
    </row>
    <row r="1558" ht="15.75" customHeight="1">
      <c r="A1558" s="4">
        <v>1555.0</v>
      </c>
      <c r="B1558" s="4" t="s">
        <v>3140</v>
      </c>
      <c r="C1558" s="4" t="s">
        <v>3141</v>
      </c>
      <c r="D1558" s="4" t="s">
        <v>2608</v>
      </c>
      <c r="E1558" s="6">
        <v>24640.0</v>
      </c>
      <c r="F1558" s="6">
        <v>183750.0</v>
      </c>
      <c r="G1558" s="6">
        <v>0.0</v>
      </c>
      <c r="H1558" s="6">
        <v>229229.0</v>
      </c>
    </row>
    <row r="1559" ht="15.75" customHeight="1">
      <c r="A1559" s="4">
        <v>1556.0</v>
      </c>
      <c r="B1559" s="4" t="s">
        <v>3142</v>
      </c>
      <c r="C1559" s="4" t="s">
        <v>3143</v>
      </c>
      <c r="D1559" s="4" t="s">
        <v>2608</v>
      </c>
      <c r="E1559" s="6">
        <v>24640.0</v>
      </c>
      <c r="F1559" s="6">
        <v>141750.0</v>
      </c>
      <c r="G1559" s="6">
        <v>0.0</v>
      </c>
      <c r="H1559" s="6">
        <v>183029.0</v>
      </c>
    </row>
    <row r="1560" ht="15.75" customHeight="1">
      <c r="A1560" s="4">
        <v>1557.0</v>
      </c>
      <c r="B1560" s="4" t="s">
        <v>3144</v>
      </c>
      <c r="C1560" s="4" t="s">
        <v>3145</v>
      </c>
      <c r="D1560" s="4" t="s">
        <v>2608</v>
      </c>
      <c r="E1560" s="6">
        <v>24640.0</v>
      </c>
      <c r="F1560" s="6">
        <v>89250.0</v>
      </c>
      <c r="G1560" s="6">
        <v>0.0</v>
      </c>
      <c r="H1560" s="6">
        <v>125279.0</v>
      </c>
    </row>
    <row r="1561" ht="15.75" customHeight="1">
      <c r="A1561" s="4">
        <v>1558.0</v>
      </c>
      <c r="B1561" s="4" t="s">
        <v>3146</v>
      </c>
      <c r="C1561" s="4" t="s">
        <v>3147</v>
      </c>
      <c r="D1561" s="4" t="s">
        <v>729</v>
      </c>
      <c r="E1561" s="6">
        <v>72910.0</v>
      </c>
      <c r="F1561" s="6">
        <v>97022.5</v>
      </c>
      <c r="G1561" s="6">
        <v>0.0</v>
      </c>
      <c r="H1561" s="6">
        <v>186925.0</v>
      </c>
    </row>
    <row r="1562" ht="15.75" customHeight="1">
      <c r="A1562" s="4">
        <v>1559.0</v>
      </c>
      <c r="B1562" s="4" t="s">
        <v>3148</v>
      </c>
      <c r="C1562" s="4" t="s">
        <v>3149</v>
      </c>
      <c r="D1562" s="4" t="s">
        <v>729</v>
      </c>
      <c r="E1562" s="6">
        <v>72910.0</v>
      </c>
      <c r="F1562" s="6">
        <v>138382.5</v>
      </c>
      <c r="G1562" s="6">
        <v>0.0</v>
      </c>
      <c r="H1562" s="6">
        <v>232421.0</v>
      </c>
    </row>
    <row r="1563" ht="15.75" customHeight="1">
      <c r="A1563" s="4">
        <v>1560.0</v>
      </c>
      <c r="B1563" s="4" t="s">
        <v>3150</v>
      </c>
      <c r="C1563" s="4" t="s">
        <v>3151</v>
      </c>
      <c r="D1563" s="4" t="s">
        <v>729</v>
      </c>
      <c r="E1563" s="6">
        <v>72910.0</v>
      </c>
      <c r="F1563" s="6">
        <v>250280.5</v>
      </c>
      <c r="G1563" s="6">
        <v>0.0</v>
      </c>
      <c r="H1563" s="6">
        <v>355509.0</v>
      </c>
    </row>
    <row r="1564" ht="15.75" customHeight="1">
      <c r="A1564" s="4">
        <v>1561.0</v>
      </c>
      <c r="B1564" s="4" t="s">
        <v>3152</v>
      </c>
      <c r="C1564" s="4" t="s">
        <v>3153</v>
      </c>
      <c r="D1564" s="4" t="s">
        <v>729</v>
      </c>
      <c r="E1564" s="6">
        <v>72910.0</v>
      </c>
      <c r="F1564" s="6">
        <v>477980.5</v>
      </c>
      <c r="G1564" s="6">
        <v>0.0</v>
      </c>
      <c r="H1564" s="6">
        <v>605979.0</v>
      </c>
    </row>
    <row r="1565" ht="15.75" customHeight="1">
      <c r="A1565" s="4">
        <v>1562.0</v>
      </c>
      <c r="B1565" s="4" t="s">
        <v>3154</v>
      </c>
      <c r="C1565" s="4" t="s">
        <v>3155</v>
      </c>
      <c r="D1565" s="4" t="s">
        <v>729</v>
      </c>
      <c r="E1565" s="6">
        <v>72910.0</v>
      </c>
      <c r="F1565" s="6">
        <v>250280.5</v>
      </c>
      <c r="G1565" s="6">
        <v>0.0</v>
      </c>
      <c r="H1565" s="6">
        <v>355509.0</v>
      </c>
    </row>
    <row r="1566" ht="15.75" customHeight="1">
      <c r="A1566" s="4">
        <v>1563.0</v>
      </c>
      <c r="B1566" s="4" t="s">
        <v>3156</v>
      </c>
      <c r="C1566" s="4" t="s">
        <v>3157</v>
      </c>
      <c r="D1566" s="4" t="s">
        <v>729</v>
      </c>
      <c r="E1566" s="6">
        <v>72910.0</v>
      </c>
      <c r="F1566" s="6">
        <v>477980.5</v>
      </c>
      <c r="G1566" s="6">
        <v>0.0</v>
      </c>
      <c r="H1566" s="6">
        <v>605979.0</v>
      </c>
    </row>
    <row r="1567" ht="15.75" customHeight="1">
      <c r="A1567" s="4">
        <v>1564.0</v>
      </c>
      <c r="B1567" s="4" t="s">
        <v>3158</v>
      </c>
      <c r="C1567" s="4" t="s">
        <v>3159</v>
      </c>
      <c r="D1567" s="4" t="s">
        <v>729</v>
      </c>
      <c r="E1567" s="6">
        <v>72910.0</v>
      </c>
      <c r="F1567" s="6">
        <v>163226.5</v>
      </c>
      <c r="G1567" s="6">
        <v>0.0</v>
      </c>
      <c r="H1567" s="6">
        <v>259750.0</v>
      </c>
    </row>
    <row r="1568" ht="15.75" customHeight="1">
      <c r="A1568" s="4">
        <v>1565.0</v>
      </c>
      <c r="B1568" s="4" t="s">
        <v>3160</v>
      </c>
      <c r="C1568" s="4" t="s">
        <v>3161</v>
      </c>
      <c r="D1568" s="4" t="s">
        <v>729</v>
      </c>
      <c r="E1568" s="6">
        <v>72910.0</v>
      </c>
      <c r="F1568" s="6">
        <v>488596.5</v>
      </c>
      <c r="G1568" s="6">
        <v>0.0</v>
      </c>
      <c r="H1568" s="6">
        <v>617657.0</v>
      </c>
    </row>
    <row r="1569" ht="15.75" customHeight="1">
      <c r="A1569" s="4">
        <v>1566.0</v>
      </c>
      <c r="B1569" s="4" t="s">
        <v>3162</v>
      </c>
      <c r="C1569" s="4" t="s">
        <v>3163</v>
      </c>
      <c r="D1569" s="4" t="s">
        <v>43</v>
      </c>
      <c r="E1569" s="6">
        <v>26475.0</v>
      </c>
      <c r="F1569" s="6">
        <v>715000.0</v>
      </c>
      <c r="G1569" s="6">
        <v>0.0</v>
      </c>
      <c r="H1569" s="6">
        <v>815622.0</v>
      </c>
    </row>
    <row r="1570" ht="15.75" customHeight="1">
      <c r="A1570" s="4">
        <v>1567.0</v>
      </c>
      <c r="B1570" s="4" t="s">
        <v>3164</v>
      </c>
      <c r="C1570" s="4" t="s">
        <v>3165</v>
      </c>
      <c r="D1570" s="4" t="s">
        <v>43</v>
      </c>
      <c r="E1570" s="6">
        <v>26475.0</v>
      </c>
      <c r="F1570" s="6">
        <v>385000.0000000001</v>
      </c>
      <c r="G1570" s="6">
        <v>0.0</v>
      </c>
      <c r="H1570" s="6">
        <v>452622.0</v>
      </c>
    </row>
    <row r="1571" ht="15.75" customHeight="1">
      <c r="A1571" s="4">
        <v>1568.0</v>
      </c>
      <c r="B1571" s="4" t="s">
        <v>3166</v>
      </c>
      <c r="C1571" s="4" t="s">
        <v>3167</v>
      </c>
      <c r="D1571" s="4" t="s">
        <v>43</v>
      </c>
      <c r="E1571" s="6">
        <v>26475.0</v>
      </c>
      <c r="F1571" s="6">
        <v>113850.0</v>
      </c>
      <c r="G1571" s="6">
        <v>0.0</v>
      </c>
      <c r="H1571" s="6">
        <v>154357.0</v>
      </c>
    </row>
    <row r="1572" ht="15.75" customHeight="1">
      <c r="A1572" s="4">
        <v>1569.0</v>
      </c>
      <c r="B1572" s="4" t="s">
        <v>3168</v>
      </c>
      <c r="C1572" s="4" t="s">
        <v>3169</v>
      </c>
      <c r="D1572" s="4" t="s">
        <v>43</v>
      </c>
      <c r="E1572" s="6">
        <v>26475.0</v>
      </c>
      <c r="F1572" s="6">
        <v>242000.0</v>
      </c>
      <c r="G1572" s="6">
        <v>0.0</v>
      </c>
      <c r="H1572" s="6">
        <v>295322.0</v>
      </c>
    </row>
    <row r="1573" ht="15.75" customHeight="1">
      <c r="A1573" s="4">
        <v>1570.0</v>
      </c>
      <c r="B1573" s="4" t="s">
        <v>3170</v>
      </c>
      <c r="C1573" s="4" t="s">
        <v>3171</v>
      </c>
      <c r="D1573" s="4" t="s">
        <v>43</v>
      </c>
      <c r="E1573" s="6">
        <v>26475.0</v>
      </c>
      <c r="F1573" s="6">
        <v>220000.0</v>
      </c>
      <c r="G1573" s="6">
        <v>0.0</v>
      </c>
      <c r="H1573" s="6">
        <v>271122.0</v>
      </c>
    </row>
    <row r="1574" ht="15.75" customHeight="1">
      <c r="A1574" s="4">
        <v>1571.0</v>
      </c>
      <c r="B1574" s="4" t="s">
        <v>3172</v>
      </c>
      <c r="C1574" s="4" t="s">
        <v>3173</v>
      </c>
      <c r="D1574" s="4" t="s">
        <v>43</v>
      </c>
      <c r="E1574" s="6">
        <v>61750.0</v>
      </c>
      <c r="F1574" s="6">
        <v>278250.0</v>
      </c>
      <c r="G1574" s="6">
        <v>0.0</v>
      </c>
      <c r="H1574" s="6">
        <v>374000.0</v>
      </c>
    </row>
    <row r="1575" ht="15.75" customHeight="1">
      <c r="A1575" s="4">
        <v>1572.0</v>
      </c>
      <c r="B1575" s="4" t="s">
        <v>3174</v>
      </c>
      <c r="C1575" s="4" t="s">
        <v>3175</v>
      </c>
      <c r="D1575" s="4" t="s">
        <v>43</v>
      </c>
      <c r="E1575" s="6">
        <v>13750.0</v>
      </c>
      <c r="F1575" s="6">
        <v>10580.0</v>
      </c>
      <c r="G1575" s="6">
        <v>0.0</v>
      </c>
      <c r="H1575" s="6">
        <v>26763.0</v>
      </c>
    </row>
    <row r="1576" ht="15.75" customHeight="1">
      <c r="A1576" s="4">
        <v>1573.0</v>
      </c>
      <c r="B1576" s="4" t="s">
        <v>3176</v>
      </c>
      <c r="C1576" s="4" t="s">
        <v>3177</v>
      </c>
      <c r="D1576" s="4" t="s">
        <v>43</v>
      </c>
      <c r="E1576" s="6">
        <v>9100.0</v>
      </c>
      <c r="F1576" s="6">
        <v>22365.2</v>
      </c>
      <c r="G1576" s="6">
        <v>0.0</v>
      </c>
      <c r="H1576" s="6">
        <v>34611.0</v>
      </c>
    </row>
    <row r="1577" ht="15.75" customHeight="1">
      <c r="A1577" s="4">
        <v>1574.0</v>
      </c>
      <c r="B1577" s="4" t="s">
        <v>3178</v>
      </c>
      <c r="C1577" s="4" t="s">
        <v>3179</v>
      </c>
      <c r="D1577" s="4" t="s">
        <v>43</v>
      </c>
      <c r="E1577" s="6">
        <v>13750.0</v>
      </c>
      <c r="F1577" s="6">
        <v>59224.99999999999</v>
      </c>
      <c r="G1577" s="6">
        <v>0.0</v>
      </c>
      <c r="H1577" s="6">
        <v>80272.0</v>
      </c>
    </row>
    <row r="1578" ht="15.75" customHeight="1">
      <c r="A1578" s="4">
        <v>1575.0</v>
      </c>
      <c r="B1578" s="4" t="s">
        <v>3180</v>
      </c>
      <c r="C1578" s="4" t="s">
        <v>3181</v>
      </c>
      <c r="D1578" s="4" t="s">
        <v>2608</v>
      </c>
      <c r="E1578" s="6">
        <v>32785.0</v>
      </c>
      <c r="F1578" s="6">
        <v>3850000.0</v>
      </c>
      <c r="G1578" s="6">
        <v>0.0</v>
      </c>
      <c r="H1578" s="6">
        <v>4271063.0</v>
      </c>
    </row>
    <row r="1579" ht="15.75" customHeight="1">
      <c r="A1579" s="4">
        <v>1576.0</v>
      </c>
      <c r="B1579" s="4" t="s">
        <v>3182</v>
      </c>
      <c r="C1579" s="4" t="s">
        <v>3183</v>
      </c>
      <c r="D1579" s="4" t="s">
        <v>2608</v>
      </c>
      <c r="E1579" s="6">
        <v>69140.0</v>
      </c>
      <c r="F1579" s="6">
        <v>1406900.0</v>
      </c>
      <c r="G1579" s="6">
        <v>0.0</v>
      </c>
      <c r="H1579" s="6">
        <v>1623644.0</v>
      </c>
    </row>
    <row r="1580" ht="15.75" customHeight="1">
      <c r="A1580" s="4">
        <v>1577.0</v>
      </c>
      <c r="B1580" s="4" t="s">
        <v>3184</v>
      </c>
      <c r="C1580" s="4" t="s">
        <v>3185</v>
      </c>
      <c r="D1580" s="4" t="s">
        <v>2608</v>
      </c>
      <c r="E1580" s="6">
        <v>95760.0</v>
      </c>
      <c r="F1580" s="6">
        <v>3990000.0</v>
      </c>
      <c r="G1580" s="6">
        <v>0.0</v>
      </c>
      <c r="H1580" s="6">
        <v>4494336.0</v>
      </c>
    </row>
    <row r="1581" ht="15.75" customHeight="1">
      <c r="A1581" s="4">
        <v>1578.0</v>
      </c>
      <c r="B1581" s="4" t="s">
        <v>3186</v>
      </c>
      <c r="C1581" s="4" t="s">
        <v>3187</v>
      </c>
      <c r="D1581" s="4" t="s">
        <v>2608</v>
      </c>
      <c r="E1581" s="6">
        <v>95760.0</v>
      </c>
      <c r="F1581" s="6">
        <v>4305000.0</v>
      </c>
      <c r="G1581" s="6">
        <v>0.0</v>
      </c>
      <c r="H1581" s="6">
        <v>4840836.0</v>
      </c>
    </row>
    <row r="1582" ht="15.75" customHeight="1">
      <c r="A1582" s="4">
        <v>1579.0</v>
      </c>
      <c r="B1582" s="4" t="s">
        <v>3188</v>
      </c>
      <c r="C1582" s="4" t="s">
        <v>3189</v>
      </c>
      <c r="D1582" s="4" t="s">
        <v>2608</v>
      </c>
      <c r="E1582" s="6">
        <v>95760.0</v>
      </c>
      <c r="F1582" s="6">
        <v>5145000.0</v>
      </c>
      <c r="G1582" s="6">
        <v>0.0</v>
      </c>
      <c r="H1582" s="6">
        <v>5764836.0</v>
      </c>
    </row>
    <row r="1583" ht="15.75" customHeight="1">
      <c r="A1583" s="4">
        <v>1580.0</v>
      </c>
      <c r="B1583" s="4" t="s">
        <v>3190</v>
      </c>
      <c r="C1583" s="4" t="s">
        <v>3191</v>
      </c>
      <c r="D1583" s="4" t="s">
        <v>2608</v>
      </c>
      <c r="E1583" s="6">
        <v>95760.0</v>
      </c>
      <c r="F1583" s="6">
        <v>5460000.0</v>
      </c>
      <c r="G1583" s="6">
        <v>0.0</v>
      </c>
      <c r="H1583" s="6">
        <v>6111336.0</v>
      </c>
    </row>
    <row r="1584" ht="15.75" customHeight="1">
      <c r="A1584" s="4">
        <v>1581.0</v>
      </c>
      <c r="B1584" s="4" t="s">
        <v>3192</v>
      </c>
      <c r="C1584" s="4" t="s">
        <v>3193</v>
      </c>
      <c r="D1584" s="4" t="s">
        <v>2608</v>
      </c>
      <c r="E1584" s="6">
        <v>95760.0</v>
      </c>
      <c r="F1584" s="6">
        <v>5985000.0</v>
      </c>
      <c r="G1584" s="6">
        <v>0.0</v>
      </c>
      <c r="H1584" s="6">
        <v>6688836.0</v>
      </c>
    </row>
    <row r="1585" ht="15.75" customHeight="1">
      <c r="A1585" s="4">
        <v>1582.0</v>
      </c>
      <c r="B1585" s="4" t="s">
        <v>3194</v>
      </c>
      <c r="C1585" s="4" t="s">
        <v>3195</v>
      </c>
      <c r="D1585" s="4" t="s">
        <v>43</v>
      </c>
      <c r="E1585" s="6">
        <v>6485.0</v>
      </c>
      <c r="F1585" s="6">
        <v>21000.0</v>
      </c>
      <c r="G1585" s="6">
        <v>0.0</v>
      </c>
      <c r="H1585" s="6">
        <v>30233.0</v>
      </c>
    </row>
    <row r="1586" ht="15.75" customHeight="1">
      <c r="A1586" s="9">
        <v>1583.0</v>
      </c>
      <c r="B1586" s="9" t="s">
        <v>3196</v>
      </c>
      <c r="C1586" s="10" t="s">
        <v>3197</v>
      </c>
      <c r="D1586" s="9"/>
      <c r="E1586" s="11"/>
      <c r="F1586" s="11"/>
      <c r="G1586" s="11"/>
      <c r="H1586" s="11"/>
    </row>
    <row r="1587" ht="15.75" customHeight="1">
      <c r="A1587" s="4">
        <v>1584.0</v>
      </c>
      <c r="B1587" s="4" t="s">
        <v>3198</v>
      </c>
      <c r="C1587" s="4" t="s">
        <v>3199</v>
      </c>
      <c r="D1587" s="4" t="s">
        <v>2608</v>
      </c>
      <c r="E1587" s="6">
        <v>95760.0</v>
      </c>
      <c r="F1587" s="6">
        <v>1617000.0</v>
      </c>
      <c r="G1587" s="6">
        <v>0.0</v>
      </c>
      <c r="H1587" s="6">
        <v>1884036.0</v>
      </c>
    </row>
    <row r="1588" ht="15.75" customHeight="1">
      <c r="A1588" s="4">
        <v>1585.0</v>
      </c>
      <c r="B1588" s="4" t="s">
        <v>3200</v>
      </c>
      <c r="C1588" s="4" t="s">
        <v>3201</v>
      </c>
      <c r="D1588" s="4" t="s">
        <v>2608</v>
      </c>
      <c r="E1588" s="6">
        <v>48270.0</v>
      </c>
      <c r="F1588" s="6">
        <v>115500.0</v>
      </c>
      <c r="G1588" s="6">
        <v>0.0</v>
      </c>
      <c r="H1588" s="6">
        <v>180147.0</v>
      </c>
    </row>
    <row r="1589" ht="15.75" customHeight="1">
      <c r="A1589" s="4">
        <v>1586.0</v>
      </c>
      <c r="B1589" s="4" t="s">
        <v>3202</v>
      </c>
      <c r="C1589" s="4" t="s">
        <v>3203</v>
      </c>
      <c r="D1589" s="4" t="s">
        <v>2608</v>
      </c>
      <c r="E1589" s="6">
        <v>299140.0</v>
      </c>
      <c r="F1589" s="6">
        <v>286650.0</v>
      </c>
      <c r="G1589" s="6">
        <v>0.0</v>
      </c>
      <c r="H1589" s="6">
        <v>644369.0</v>
      </c>
    </row>
    <row r="1590" ht="15.75" customHeight="1">
      <c r="A1590" s="4">
        <v>1587.0</v>
      </c>
      <c r="B1590" s="4" t="s">
        <v>3204</v>
      </c>
      <c r="C1590" s="4" t="s">
        <v>3205</v>
      </c>
      <c r="D1590" s="4" t="s">
        <v>2608</v>
      </c>
      <c r="E1590" s="6">
        <v>299140.0</v>
      </c>
      <c r="F1590" s="6">
        <v>7735000.0</v>
      </c>
      <c r="G1590" s="6">
        <v>0.0</v>
      </c>
      <c r="H1590" s="6">
        <v>8837554.0</v>
      </c>
    </row>
    <row r="1591" ht="15.75" customHeight="1">
      <c r="A1591" s="4">
        <v>1588.0</v>
      </c>
      <c r="B1591" s="4" t="s">
        <v>3206</v>
      </c>
      <c r="C1591" s="4" t="s">
        <v>3207</v>
      </c>
      <c r="D1591" s="4" t="s">
        <v>2608</v>
      </c>
      <c r="E1591" s="6">
        <v>145720.0</v>
      </c>
      <c r="F1591" s="6">
        <v>808500.0</v>
      </c>
      <c r="G1591" s="6">
        <v>0.0</v>
      </c>
      <c r="H1591" s="6">
        <v>1049642.0</v>
      </c>
    </row>
    <row r="1592" ht="15.75" customHeight="1">
      <c r="A1592" s="4">
        <v>1589.0</v>
      </c>
      <c r="B1592" s="4" t="s">
        <v>3208</v>
      </c>
      <c r="C1592" s="4" t="s">
        <v>3209</v>
      </c>
      <c r="D1592" s="4" t="s">
        <v>2608</v>
      </c>
      <c r="E1592" s="6">
        <v>95760.0</v>
      </c>
      <c r="F1592" s="6">
        <v>2539900.0</v>
      </c>
      <c r="G1592" s="6">
        <v>0.0</v>
      </c>
      <c r="H1592" s="6">
        <v>2899226.0</v>
      </c>
    </row>
    <row r="1593" ht="15.75" customHeight="1">
      <c r="A1593" s="4">
        <v>1590.0</v>
      </c>
      <c r="B1593" s="4" t="s">
        <v>3210</v>
      </c>
      <c r="C1593" s="4" t="s">
        <v>3211</v>
      </c>
      <c r="D1593" s="4" t="s">
        <v>2608</v>
      </c>
      <c r="E1593" s="6">
        <v>191375.0</v>
      </c>
      <c r="F1593" s="6">
        <v>3755000.0</v>
      </c>
      <c r="G1593" s="6">
        <v>0.0</v>
      </c>
      <c r="H1593" s="6">
        <v>4341012.0</v>
      </c>
    </row>
    <row r="1594" ht="15.75" customHeight="1">
      <c r="A1594" s="4">
        <v>1591.0</v>
      </c>
      <c r="B1594" s="4" t="s">
        <v>3212</v>
      </c>
      <c r="C1594" s="4" t="s">
        <v>3213</v>
      </c>
      <c r="D1594" s="4" t="s">
        <v>2608</v>
      </c>
      <c r="E1594" s="6">
        <v>18400.0</v>
      </c>
      <c r="F1594" s="6">
        <v>360500.0</v>
      </c>
      <c r="G1594" s="6">
        <v>0.0</v>
      </c>
      <c r="H1594" s="6">
        <v>416790.0</v>
      </c>
    </row>
    <row r="1595" ht="15.75" customHeight="1">
      <c r="A1595" s="4">
        <v>1592.0</v>
      </c>
      <c r="B1595" s="4" t="s">
        <v>3214</v>
      </c>
      <c r="C1595" s="4" t="s">
        <v>3215</v>
      </c>
      <c r="D1595" s="4" t="s">
        <v>2608</v>
      </c>
      <c r="E1595" s="6">
        <v>72910.0</v>
      </c>
      <c r="F1595" s="6">
        <v>488250.0</v>
      </c>
      <c r="G1595" s="6">
        <v>0.0</v>
      </c>
      <c r="H1595" s="6">
        <v>617276.0</v>
      </c>
    </row>
    <row r="1596" ht="15.75" customHeight="1">
      <c r="A1596" s="4">
        <v>1593.0</v>
      </c>
      <c r="B1596" s="4" t="s">
        <v>3216</v>
      </c>
      <c r="C1596" s="4" t="s">
        <v>3217</v>
      </c>
      <c r="D1596" s="4" t="s">
        <v>2608</v>
      </c>
      <c r="E1596" s="6">
        <v>72910.0</v>
      </c>
      <c r="F1596" s="6">
        <v>529200.0</v>
      </c>
      <c r="G1596" s="6">
        <v>0.0</v>
      </c>
      <c r="H1596" s="6">
        <v>662321.0</v>
      </c>
    </row>
    <row r="1597" ht="15.75" customHeight="1">
      <c r="A1597" s="4">
        <v>1594.0</v>
      </c>
      <c r="B1597" s="4" t="s">
        <v>3218</v>
      </c>
      <c r="C1597" s="4" t="s">
        <v>3219</v>
      </c>
      <c r="D1597" s="4" t="s">
        <v>729</v>
      </c>
      <c r="E1597" s="6">
        <v>95760.0</v>
      </c>
      <c r="F1597" s="6">
        <v>345762.5</v>
      </c>
      <c r="G1597" s="6">
        <v>0.0</v>
      </c>
      <c r="H1597" s="6">
        <v>485674.0</v>
      </c>
    </row>
    <row r="1598" ht="15.75" customHeight="1">
      <c r="A1598" s="9">
        <v>1595.0</v>
      </c>
      <c r="B1598" s="9" t="s">
        <v>3220</v>
      </c>
      <c r="C1598" s="10" t="s">
        <v>3221</v>
      </c>
      <c r="D1598" s="9"/>
      <c r="E1598" s="11"/>
      <c r="F1598" s="11"/>
      <c r="G1598" s="11"/>
      <c r="H1598" s="11"/>
    </row>
    <row r="1599" ht="15.75" customHeight="1">
      <c r="A1599" s="4">
        <v>1596.0</v>
      </c>
      <c r="B1599" s="4" t="s">
        <v>3222</v>
      </c>
      <c r="C1599" s="4" t="s">
        <v>3223</v>
      </c>
      <c r="D1599" s="4" t="s">
        <v>2608</v>
      </c>
      <c r="E1599" s="6">
        <v>49150.0</v>
      </c>
      <c r="F1599" s="6">
        <v>1522500.0</v>
      </c>
      <c r="G1599" s="6">
        <v>0.0</v>
      </c>
      <c r="H1599" s="6">
        <v>1728815.0</v>
      </c>
    </row>
    <row r="1600" ht="15.75" customHeight="1">
      <c r="A1600" s="4">
        <v>1597.0</v>
      </c>
      <c r="B1600" s="4" t="s">
        <v>3224</v>
      </c>
      <c r="C1600" s="4" t="s">
        <v>3225</v>
      </c>
      <c r="D1600" s="4" t="s">
        <v>2608</v>
      </c>
      <c r="E1600" s="6">
        <v>145720.0</v>
      </c>
      <c r="F1600" s="6">
        <v>892500.0</v>
      </c>
      <c r="G1600" s="6">
        <v>0.0</v>
      </c>
      <c r="H1600" s="6">
        <v>1142042.0</v>
      </c>
    </row>
    <row r="1601" ht="15.75" customHeight="1">
      <c r="A1601" s="4">
        <v>1598.0</v>
      </c>
      <c r="B1601" s="4" t="s">
        <v>3226</v>
      </c>
      <c r="C1601" s="4" t="s">
        <v>3227</v>
      </c>
      <c r="D1601" s="4" t="s">
        <v>2608</v>
      </c>
      <c r="E1601" s="6">
        <v>72910.0</v>
      </c>
      <c r="F1601" s="6">
        <v>1575000.0</v>
      </c>
      <c r="G1601" s="6">
        <v>0.0</v>
      </c>
      <c r="H1601" s="6">
        <v>1812701.0</v>
      </c>
    </row>
    <row r="1602" ht="15.75" customHeight="1">
      <c r="A1602" s="4">
        <v>1599.0</v>
      </c>
      <c r="B1602" s="4" t="s">
        <v>3228</v>
      </c>
      <c r="C1602" s="4" t="s">
        <v>3229</v>
      </c>
      <c r="D1602" s="4" t="s">
        <v>2608</v>
      </c>
      <c r="E1602" s="6">
        <v>72910.0</v>
      </c>
      <c r="F1602" s="6">
        <v>1260000.0</v>
      </c>
      <c r="G1602" s="6">
        <v>0.0</v>
      </c>
      <c r="H1602" s="6">
        <v>1466201.0</v>
      </c>
    </row>
    <row r="1603" ht="15.75" customHeight="1">
      <c r="A1603" s="4">
        <v>1600.0</v>
      </c>
      <c r="B1603" s="4" t="s">
        <v>3230</v>
      </c>
      <c r="C1603" s="4" t="s">
        <v>3231</v>
      </c>
      <c r="D1603" s="4" t="s">
        <v>2608</v>
      </c>
      <c r="E1603" s="6">
        <v>72910.0</v>
      </c>
      <c r="F1603" s="6">
        <v>1050000.0</v>
      </c>
      <c r="G1603" s="6">
        <v>0.0</v>
      </c>
      <c r="H1603" s="6">
        <v>1235201.0</v>
      </c>
    </row>
    <row r="1604" ht="15.75" customHeight="1">
      <c r="A1604" s="4">
        <v>1601.0</v>
      </c>
      <c r="B1604" s="4" t="s">
        <v>3232</v>
      </c>
      <c r="C1604" s="4" t="s">
        <v>3233</v>
      </c>
      <c r="D1604" s="4" t="s">
        <v>2608</v>
      </c>
      <c r="E1604" s="6">
        <v>135720.0</v>
      </c>
      <c r="F1604" s="6">
        <v>262500.0</v>
      </c>
      <c r="G1604" s="6">
        <v>0.0</v>
      </c>
      <c r="H1604" s="6">
        <v>438042.0</v>
      </c>
    </row>
    <row r="1605" ht="15.75" customHeight="1">
      <c r="A1605" s="4">
        <v>1602.0</v>
      </c>
      <c r="B1605" s="4" t="s">
        <v>3234</v>
      </c>
      <c r="C1605" s="4" t="s">
        <v>3235</v>
      </c>
      <c r="D1605" s="4" t="s">
        <v>2608</v>
      </c>
      <c r="E1605" s="6">
        <v>24640.0</v>
      </c>
      <c r="F1605" s="6">
        <v>257500.0</v>
      </c>
      <c r="G1605" s="6">
        <v>0.0</v>
      </c>
      <c r="H1605" s="6">
        <v>310354.0</v>
      </c>
    </row>
    <row r="1606" ht="15.75" customHeight="1">
      <c r="A1606" s="4">
        <v>1603.0</v>
      </c>
      <c r="B1606" s="4" t="s">
        <v>3236</v>
      </c>
      <c r="C1606" s="4" t="s">
        <v>3237</v>
      </c>
      <c r="D1606" s="4" t="s">
        <v>2608</v>
      </c>
      <c r="E1606" s="6">
        <v>24640.0</v>
      </c>
      <c r="F1606" s="6">
        <v>257500.0</v>
      </c>
      <c r="G1606" s="6">
        <v>0.0</v>
      </c>
      <c r="H1606" s="6">
        <v>310354.0</v>
      </c>
    </row>
    <row r="1607" ht="15.75" customHeight="1">
      <c r="A1607" s="4">
        <v>1604.0</v>
      </c>
      <c r="B1607" s="4" t="s">
        <v>3238</v>
      </c>
      <c r="C1607" s="4" t="s">
        <v>3239</v>
      </c>
      <c r="D1607" s="4" t="s">
        <v>2608</v>
      </c>
      <c r="E1607" s="6">
        <v>43620.0</v>
      </c>
      <c r="F1607" s="6">
        <v>1050000.0</v>
      </c>
      <c r="G1607" s="6">
        <v>0.0</v>
      </c>
      <c r="H1607" s="6">
        <v>1202982.0</v>
      </c>
    </row>
    <row r="1608" ht="15.75" customHeight="1">
      <c r="A1608" s="4">
        <v>1605.0</v>
      </c>
      <c r="B1608" s="4" t="s">
        <v>3240</v>
      </c>
      <c r="C1608" s="4" t="s">
        <v>3241</v>
      </c>
      <c r="D1608" s="4" t="s">
        <v>2608</v>
      </c>
      <c r="E1608" s="6">
        <v>29090.0</v>
      </c>
      <c r="F1608" s="6">
        <v>672000.0</v>
      </c>
      <c r="G1608" s="6">
        <v>0.0</v>
      </c>
      <c r="H1608" s="6">
        <v>771199.0</v>
      </c>
    </row>
    <row r="1609" ht="15.75" customHeight="1">
      <c r="A1609" s="4">
        <v>1606.0</v>
      </c>
      <c r="B1609" s="4" t="s">
        <v>3242</v>
      </c>
      <c r="C1609" s="4" t="s">
        <v>3243</v>
      </c>
      <c r="D1609" s="4" t="s">
        <v>2608</v>
      </c>
      <c r="E1609" s="6">
        <v>95760.0</v>
      </c>
      <c r="F1609" s="6">
        <v>2598750.0</v>
      </c>
      <c r="G1609" s="6">
        <v>0.0</v>
      </c>
      <c r="H1609" s="6">
        <v>2963961.0</v>
      </c>
    </row>
    <row r="1610" ht="15.75" customHeight="1">
      <c r="A1610" s="4">
        <v>1607.0</v>
      </c>
      <c r="B1610" s="4" t="s">
        <v>3244</v>
      </c>
      <c r="C1610" s="4" t="s">
        <v>3245</v>
      </c>
      <c r="D1610" s="4" t="s">
        <v>2608</v>
      </c>
      <c r="E1610" s="6">
        <v>193990.0</v>
      </c>
      <c r="F1610" s="6">
        <v>703500.0</v>
      </c>
      <c r="G1610" s="6">
        <v>0.0</v>
      </c>
      <c r="H1610" s="6">
        <v>987239.0</v>
      </c>
    </row>
    <row r="1611" ht="15.75" customHeight="1">
      <c r="A1611" s="4">
        <v>1608.0</v>
      </c>
      <c r="B1611" s="4" t="s">
        <v>3246</v>
      </c>
      <c r="C1611" s="4" t="s">
        <v>3247</v>
      </c>
      <c r="D1611" s="4" t="s">
        <v>2608</v>
      </c>
      <c r="E1611" s="6">
        <v>61750.0</v>
      </c>
      <c r="F1611" s="6">
        <v>78750.0</v>
      </c>
      <c r="G1611" s="6">
        <v>0.0</v>
      </c>
      <c r="H1611" s="6">
        <v>154550.0</v>
      </c>
    </row>
    <row r="1612" ht="15.75" customHeight="1">
      <c r="A1612" s="4">
        <v>1609.0</v>
      </c>
      <c r="B1612" s="4" t="s">
        <v>3248</v>
      </c>
      <c r="C1612" s="4" t="s">
        <v>3249</v>
      </c>
      <c r="D1612" s="4" t="s">
        <v>2608</v>
      </c>
      <c r="E1612" s="6">
        <v>36355.0</v>
      </c>
      <c r="F1612" s="6">
        <v>714000.0</v>
      </c>
      <c r="G1612" s="6">
        <v>0.0</v>
      </c>
      <c r="H1612" s="6">
        <v>825390.0</v>
      </c>
    </row>
    <row r="1613" ht="15.75" customHeight="1">
      <c r="A1613" s="4">
        <v>1610.0</v>
      </c>
      <c r="B1613" s="4" t="s">
        <v>3250</v>
      </c>
      <c r="C1613" s="4" t="s">
        <v>3251</v>
      </c>
      <c r="D1613" s="4" t="s">
        <v>2608</v>
      </c>
      <c r="E1613" s="6">
        <v>82225.0</v>
      </c>
      <c r="F1613" s="6">
        <v>715000.0</v>
      </c>
      <c r="G1613" s="6">
        <v>0.0</v>
      </c>
      <c r="H1613" s="6">
        <v>876947.0</v>
      </c>
    </row>
    <row r="1614" ht="15.75" customHeight="1">
      <c r="A1614" s="4">
        <v>1611.0</v>
      </c>
      <c r="B1614" s="4" t="s">
        <v>3252</v>
      </c>
      <c r="C1614" s="4" t="s">
        <v>3253</v>
      </c>
      <c r="D1614" s="4" t="s">
        <v>2608</v>
      </c>
      <c r="E1614" s="6">
        <v>36355.0</v>
      </c>
      <c r="F1614" s="6">
        <v>262500.0</v>
      </c>
      <c r="G1614" s="6">
        <v>0.0</v>
      </c>
      <c r="H1614" s="6">
        <v>328740.0</v>
      </c>
    </row>
    <row r="1615" ht="15.75" customHeight="1">
      <c r="A1615" s="4">
        <v>1612.0</v>
      </c>
      <c r="B1615" s="4" t="s">
        <v>3254</v>
      </c>
      <c r="C1615" s="4" t="s">
        <v>3255</v>
      </c>
      <c r="D1615" s="4" t="s">
        <v>2608</v>
      </c>
      <c r="E1615" s="6">
        <v>145720.0</v>
      </c>
      <c r="F1615" s="6">
        <v>401250.0</v>
      </c>
      <c r="G1615" s="6">
        <v>0.0</v>
      </c>
      <c r="H1615" s="6">
        <v>601667.0</v>
      </c>
    </row>
    <row r="1616" ht="15.75" customHeight="1">
      <c r="A1616" s="4">
        <v>1613.0</v>
      </c>
      <c r="B1616" s="4" t="s">
        <v>3256</v>
      </c>
      <c r="C1616" s="4" t="s">
        <v>3257</v>
      </c>
      <c r="D1616" s="4" t="s">
        <v>729</v>
      </c>
      <c r="E1616" s="6">
        <v>72910.0</v>
      </c>
      <c r="F1616" s="6">
        <v>462728.0</v>
      </c>
      <c r="G1616" s="6">
        <v>0.0</v>
      </c>
      <c r="H1616" s="6">
        <v>589201.0</v>
      </c>
    </row>
    <row r="1617" ht="15.75" customHeight="1">
      <c r="A1617" s="4">
        <v>1614.0</v>
      </c>
      <c r="B1617" s="4" t="s">
        <v>3258</v>
      </c>
      <c r="C1617" s="4" t="s">
        <v>3259</v>
      </c>
      <c r="D1617" s="4" t="s">
        <v>729</v>
      </c>
      <c r="E1617" s="6">
        <v>72910.0</v>
      </c>
      <c r="F1617" s="6">
        <v>156399.0</v>
      </c>
      <c r="G1617" s="6">
        <v>0.0</v>
      </c>
      <c r="H1617" s="6">
        <v>252239.0</v>
      </c>
    </row>
    <row r="1618" ht="15.75" customHeight="1">
      <c r="A1618" s="9">
        <v>1615.0</v>
      </c>
      <c r="B1618" s="9" t="s">
        <v>3260</v>
      </c>
      <c r="C1618" s="10" t="s">
        <v>3261</v>
      </c>
      <c r="D1618" s="9"/>
      <c r="E1618" s="11"/>
      <c r="F1618" s="11"/>
      <c r="G1618" s="11"/>
      <c r="H1618" s="11"/>
    </row>
    <row r="1619" ht="15.75" customHeight="1">
      <c r="A1619" s="4">
        <v>1616.0</v>
      </c>
      <c r="B1619" s="4" t="s">
        <v>3262</v>
      </c>
      <c r="C1619" s="4" t="s">
        <v>3263</v>
      </c>
      <c r="D1619" s="4" t="s">
        <v>2608</v>
      </c>
      <c r="E1619" s="6">
        <v>49150.0</v>
      </c>
      <c r="F1619" s="6">
        <v>137500.0</v>
      </c>
      <c r="G1619" s="6">
        <v>0.0</v>
      </c>
      <c r="H1619" s="6">
        <v>205315.0</v>
      </c>
    </row>
    <row r="1620" ht="15.75" customHeight="1">
      <c r="A1620" s="4">
        <v>1617.0</v>
      </c>
      <c r="B1620" s="4" t="s">
        <v>3264</v>
      </c>
      <c r="C1620" s="4" t="s">
        <v>3265</v>
      </c>
      <c r="D1620" s="4" t="s">
        <v>2608</v>
      </c>
      <c r="E1620" s="6">
        <v>49150.0</v>
      </c>
      <c r="F1620" s="6">
        <v>165000.0</v>
      </c>
      <c r="G1620" s="6">
        <v>0.0</v>
      </c>
      <c r="H1620" s="6">
        <v>235565.0</v>
      </c>
    </row>
    <row r="1621" ht="15.75" customHeight="1">
      <c r="A1621" s="4">
        <v>1618.0</v>
      </c>
      <c r="B1621" s="4" t="s">
        <v>3266</v>
      </c>
      <c r="C1621" s="4" t="s">
        <v>3267</v>
      </c>
      <c r="D1621" s="4" t="s">
        <v>2608</v>
      </c>
      <c r="E1621" s="6">
        <v>291265.0</v>
      </c>
      <c r="F1621" s="6">
        <v>1050000.0</v>
      </c>
      <c r="G1621" s="6">
        <v>0.0</v>
      </c>
      <c r="H1621" s="6">
        <v>1475391.0</v>
      </c>
    </row>
    <row r="1622" ht="15.75" customHeight="1">
      <c r="A1622" s="4">
        <v>1619.0</v>
      </c>
      <c r="B1622" s="4" t="s">
        <v>3268</v>
      </c>
      <c r="C1622" s="4" t="s">
        <v>3269</v>
      </c>
      <c r="D1622" s="4" t="s">
        <v>2608</v>
      </c>
      <c r="E1622" s="6">
        <v>193990.0</v>
      </c>
      <c r="F1622" s="6">
        <v>913500.0</v>
      </c>
      <c r="G1622" s="6">
        <v>0.0</v>
      </c>
      <c r="H1622" s="6">
        <v>1218239.0</v>
      </c>
    </row>
    <row r="1623" ht="15.75" customHeight="1">
      <c r="A1623" s="4">
        <v>1620.0</v>
      </c>
      <c r="B1623" s="4" t="s">
        <v>3270</v>
      </c>
      <c r="C1623" s="4" t="s">
        <v>3271</v>
      </c>
      <c r="D1623" s="4" t="s">
        <v>2608</v>
      </c>
      <c r="E1623" s="6">
        <v>49150.0</v>
      </c>
      <c r="F1623" s="6">
        <v>262500.0</v>
      </c>
      <c r="G1623" s="6">
        <v>0.0</v>
      </c>
      <c r="H1623" s="6">
        <v>342815.0</v>
      </c>
    </row>
    <row r="1624" ht="15.75" customHeight="1">
      <c r="A1624" s="4">
        <v>1621.0</v>
      </c>
      <c r="B1624" s="4" t="s">
        <v>3272</v>
      </c>
      <c r="C1624" s="4" t="s">
        <v>3273</v>
      </c>
      <c r="D1624" s="4" t="s">
        <v>2608</v>
      </c>
      <c r="E1624" s="6">
        <v>24640.0</v>
      </c>
      <c r="F1624" s="6">
        <v>122400.0</v>
      </c>
      <c r="G1624" s="6">
        <v>0.0</v>
      </c>
      <c r="H1624" s="6">
        <v>161744.0</v>
      </c>
    </row>
    <row r="1625" ht="15.75" customHeight="1">
      <c r="A1625" s="4">
        <v>1622.0</v>
      </c>
      <c r="B1625" s="4" t="s">
        <v>3274</v>
      </c>
      <c r="C1625" s="4" t="s">
        <v>3275</v>
      </c>
      <c r="D1625" s="4" t="s">
        <v>2608</v>
      </c>
      <c r="E1625" s="6">
        <v>24640.0</v>
      </c>
      <c r="F1625" s="6">
        <v>365764.0</v>
      </c>
      <c r="G1625" s="6">
        <v>0.0</v>
      </c>
      <c r="H1625" s="6">
        <v>429444.0</v>
      </c>
    </row>
    <row r="1626" ht="15.75" customHeight="1">
      <c r="A1626" s="9">
        <v>1623.0</v>
      </c>
      <c r="B1626" s="9" t="s">
        <v>3276</v>
      </c>
      <c r="C1626" s="10" t="s">
        <v>3277</v>
      </c>
      <c r="D1626" s="9"/>
      <c r="E1626" s="11"/>
      <c r="F1626" s="11"/>
      <c r="G1626" s="11"/>
      <c r="H1626" s="11"/>
    </row>
    <row r="1627" ht="15.75" customHeight="1">
      <c r="A1627" s="4">
        <v>1624.0</v>
      </c>
      <c r="B1627" s="4" t="s">
        <v>3278</v>
      </c>
      <c r="C1627" s="4" t="s">
        <v>3279</v>
      </c>
      <c r="D1627" s="4" t="s">
        <v>2608</v>
      </c>
      <c r="E1627" s="6">
        <v>335085.0</v>
      </c>
      <c r="F1627" s="6">
        <v>6825000.0</v>
      </c>
      <c r="G1627" s="6">
        <v>0.0</v>
      </c>
      <c r="H1627" s="6">
        <v>7876093.0</v>
      </c>
    </row>
    <row r="1628" ht="15.75" customHeight="1">
      <c r="A1628" s="4">
        <v>1625.0</v>
      </c>
      <c r="B1628" s="4" t="s">
        <v>3280</v>
      </c>
      <c r="C1628" s="4" t="s">
        <v>3281</v>
      </c>
      <c r="D1628" s="4" t="s">
        <v>2608</v>
      </c>
      <c r="E1628" s="6">
        <v>290485.0</v>
      </c>
      <c r="F1628" s="6">
        <v>997500.0</v>
      </c>
      <c r="G1628" s="6">
        <v>0.0</v>
      </c>
      <c r="H1628" s="6">
        <v>1416783.0</v>
      </c>
    </row>
    <row r="1629" ht="15.75" customHeight="1">
      <c r="A1629" s="4">
        <v>1626.0</v>
      </c>
      <c r="B1629" s="4" t="s">
        <v>3282</v>
      </c>
      <c r="C1629" s="4" t="s">
        <v>3283</v>
      </c>
      <c r="D1629" s="4" t="s">
        <v>2608</v>
      </c>
      <c r="E1629" s="6">
        <v>290485.0</v>
      </c>
      <c r="F1629" s="6">
        <v>682500.0</v>
      </c>
      <c r="G1629" s="6">
        <v>0.0</v>
      </c>
      <c r="H1629" s="6">
        <v>1070283.0</v>
      </c>
    </row>
    <row r="1630" ht="15.75" customHeight="1">
      <c r="A1630" s="4">
        <v>1627.0</v>
      </c>
      <c r="B1630" s="4" t="s">
        <v>3284</v>
      </c>
      <c r="C1630" s="4" t="s">
        <v>3285</v>
      </c>
      <c r="D1630" s="4" t="s">
        <v>2608</v>
      </c>
      <c r="E1630" s="6">
        <v>72910.0</v>
      </c>
      <c r="F1630" s="6">
        <v>577500.0</v>
      </c>
      <c r="G1630" s="6">
        <v>0.0</v>
      </c>
      <c r="H1630" s="6">
        <v>715451.0</v>
      </c>
    </row>
    <row r="1631" ht="15.75" customHeight="1">
      <c r="A1631" s="4">
        <v>1628.0</v>
      </c>
      <c r="B1631" s="4" t="s">
        <v>3286</v>
      </c>
      <c r="C1631" s="4" t="s">
        <v>3287</v>
      </c>
      <c r="D1631" s="4" t="s">
        <v>2608</v>
      </c>
      <c r="E1631" s="6">
        <v>119245.0</v>
      </c>
      <c r="F1631" s="6">
        <v>262500.0</v>
      </c>
      <c r="G1631" s="6">
        <v>0.0</v>
      </c>
      <c r="H1631" s="6">
        <v>419919.0</v>
      </c>
    </row>
    <row r="1632" ht="15.75" customHeight="1">
      <c r="A1632" s="4">
        <v>1629.0</v>
      </c>
      <c r="B1632" s="4" t="s">
        <v>3288</v>
      </c>
      <c r="C1632" s="4" t="s">
        <v>3289</v>
      </c>
      <c r="D1632" s="4" t="s">
        <v>2608</v>
      </c>
      <c r="E1632" s="6">
        <v>19990.0</v>
      </c>
      <c r="F1632" s="6">
        <v>157500.0</v>
      </c>
      <c r="G1632" s="6">
        <v>0.0</v>
      </c>
      <c r="H1632" s="6">
        <v>195239.0</v>
      </c>
    </row>
    <row r="1633" ht="15.75" customHeight="1">
      <c r="A1633" s="4">
        <v>1630.0</v>
      </c>
      <c r="B1633" s="4" t="s">
        <v>3290</v>
      </c>
      <c r="C1633" s="4" t="s">
        <v>3291</v>
      </c>
      <c r="D1633" s="4" t="s">
        <v>2608</v>
      </c>
      <c r="E1633" s="6">
        <v>19990.0</v>
      </c>
      <c r="F1633" s="6">
        <v>369041.5</v>
      </c>
      <c r="G1633" s="6">
        <v>0.0</v>
      </c>
      <c r="H1633" s="6">
        <v>427934.0</v>
      </c>
    </row>
    <row r="1634" ht="15.75" customHeight="1">
      <c r="A1634" s="4">
        <v>1631.0</v>
      </c>
      <c r="B1634" s="4" t="s">
        <v>3292</v>
      </c>
      <c r="C1634" s="4" t="s">
        <v>3293</v>
      </c>
      <c r="D1634" s="4" t="s">
        <v>2608</v>
      </c>
      <c r="E1634" s="6">
        <v>18400.0</v>
      </c>
      <c r="F1634" s="6">
        <v>31500.0</v>
      </c>
      <c r="G1634" s="6">
        <v>0.0</v>
      </c>
      <c r="H1634" s="6">
        <v>54890.0</v>
      </c>
    </row>
    <row r="1635" ht="15.75" customHeight="1">
      <c r="A1635" s="4">
        <v>1632.0</v>
      </c>
      <c r="B1635" s="4" t="s">
        <v>3294</v>
      </c>
      <c r="C1635" s="4" t="s">
        <v>3295</v>
      </c>
      <c r="D1635" s="4" t="s">
        <v>2608</v>
      </c>
      <c r="E1635" s="6">
        <v>121280.0</v>
      </c>
      <c r="F1635" s="6">
        <v>525000.0</v>
      </c>
      <c r="G1635" s="6">
        <v>0.0</v>
      </c>
      <c r="H1635" s="6">
        <v>710908.0</v>
      </c>
    </row>
    <row r="1636" ht="15.75" customHeight="1">
      <c r="A1636" s="4">
        <v>1633.0</v>
      </c>
      <c r="B1636" s="4" t="s">
        <v>3296</v>
      </c>
      <c r="C1636" s="4" t="s">
        <v>3297</v>
      </c>
      <c r="D1636" s="4" t="s">
        <v>2608</v>
      </c>
      <c r="E1636" s="6">
        <v>14530.0</v>
      </c>
      <c r="F1636" s="6">
        <v>1575000.0</v>
      </c>
      <c r="G1636" s="6">
        <v>0.0</v>
      </c>
      <c r="H1636" s="6">
        <v>1748483.0</v>
      </c>
    </row>
    <row r="1637" ht="15.75" customHeight="1">
      <c r="A1637" s="4">
        <v>1634.0</v>
      </c>
      <c r="B1637" s="4" t="s">
        <v>3298</v>
      </c>
      <c r="C1637" s="4" t="s">
        <v>3299</v>
      </c>
      <c r="D1637" s="4" t="s">
        <v>2608</v>
      </c>
      <c r="E1637" s="6">
        <v>293095.0</v>
      </c>
      <c r="F1637" s="6">
        <v>842500.0</v>
      </c>
      <c r="G1637" s="6">
        <v>0.0</v>
      </c>
      <c r="H1637" s="6">
        <v>1249154.0</v>
      </c>
    </row>
    <row r="1638" ht="15.75" customHeight="1">
      <c r="A1638" s="4">
        <v>1635.0</v>
      </c>
      <c r="B1638" s="4" t="s">
        <v>3300</v>
      </c>
      <c r="C1638" s="4" t="s">
        <v>3301</v>
      </c>
      <c r="D1638" s="4" t="s">
        <v>2608</v>
      </c>
      <c r="E1638" s="6">
        <v>164120.0</v>
      </c>
      <c r="F1638" s="6">
        <v>2530000.0</v>
      </c>
      <c r="G1638" s="6">
        <v>0.0</v>
      </c>
      <c r="H1638" s="6">
        <v>2963532.0</v>
      </c>
    </row>
    <row r="1639" ht="15.75" customHeight="1">
      <c r="A1639" s="4">
        <v>1636.0</v>
      </c>
      <c r="B1639" s="4" t="s">
        <v>3302</v>
      </c>
      <c r="C1639" s="4" t="s">
        <v>3303</v>
      </c>
      <c r="D1639" s="4" t="s">
        <v>2608</v>
      </c>
      <c r="E1639" s="6">
        <v>164120.0</v>
      </c>
      <c r="F1639" s="6">
        <v>2750000.0</v>
      </c>
      <c r="G1639" s="6">
        <v>0.0</v>
      </c>
      <c r="H1639" s="6">
        <v>3205532.0</v>
      </c>
    </row>
    <row r="1640" ht="15.75" customHeight="1">
      <c r="A1640" s="4">
        <v>1637.0</v>
      </c>
      <c r="B1640" s="4" t="s">
        <v>3304</v>
      </c>
      <c r="C1640" s="4" t="s">
        <v>3305</v>
      </c>
      <c r="D1640" s="4" t="s">
        <v>2608</v>
      </c>
      <c r="E1640" s="6">
        <v>259560.0</v>
      </c>
      <c r="F1640" s="6">
        <v>3190000.0</v>
      </c>
      <c r="G1640" s="6">
        <v>0.0</v>
      </c>
      <c r="H1640" s="6">
        <v>3794516.0</v>
      </c>
    </row>
    <row r="1641" ht="15.75" customHeight="1">
      <c r="A1641" s="4">
        <v>1638.0</v>
      </c>
      <c r="B1641" s="4" t="s">
        <v>3306</v>
      </c>
      <c r="C1641" s="4" t="s">
        <v>3307</v>
      </c>
      <c r="D1641" s="4" t="s">
        <v>2608</v>
      </c>
      <c r="E1641" s="6">
        <v>259560.0</v>
      </c>
      <c r="F1641" s="6">
        <v>3520000.0</v>
      </c>
      <c r="G1641" s="6">
        <v>0.0</v>
      </c>
      <c r="H1641" s="6">
        <v>4157516.0</v>
      </c>
    </row>
    <row r="1642" ht="15.75" customHeight="1">
      <c r="A1642" s="4">
        <v>1639.0</v>
      </c>
      <c r="B1642" s="4" t="s">
        <v>3308</v>
      </c>
      <c r="C1642" s="4" t="s">
        <v>3309</v>
      </c>
      <c r="D1642" s="4" t="s">
        <v>2608</v>
      </c>
      <c r="E1642" s="6">
        <v>259560.0</v>
      </c>
      <c r="F1642" s="6">
        <v>157500.0</v>
      </c>
      <c r="G1642" s="6">
        <v>0.0</v>
      </c>
      <c r="H1642" s="6">
        <v>458766.0</v>
      </c>
    </row>
    <row r="1643" ht="15.75" customHeight="1">
      <c r="A1643" s="4">
        <v>1640.0</v>
      </c>
      <c r="B1643" s="4" t="s">
        <v>3310</v>
      </c>
      <c r="C1643" s="4" t="s">
        <v>3311</v>
      </c>
      <c r="D1643" s="4" t="s">
        <v>2608</v>
      </c>
      <c r="E1643" s="6">
        <v>159470.0</v>
      </c>
      <c r="F1643" s="6">
        <v>2677500.0</v>
      </c>
      <c r="G1643" s="6">
        <v>0.0</v>
      </c>
      <c r="H1643" s="6">
        <v>3120667.0</v>
      </c>
    </row>
    <row r="1644" ht="15.75" customHeight="1">
      <c r="A1644" s="9">
        <v>1641.0</v>
      </c>
      <c r="B1644" s="9" t="s">
        <v>3312</v>
      </c>
      <c r="C1644" s="10" t="s">
        <v>3313</v>
      </c>
      <c r="D1644" s="9"/>
      <c r="E1644" s="11"/>
      <c r="F1644" s="11"/>
      <c r="G1644" s="11"/>
      <c r="H1644" s="11"/>
    </row>
    <row r="1645" ht="15.75" customHeight="1">
      <c r="A1645" s="4">
        <v>1642.0</v>
      </c>
      <c r="B1645" s="4" t="s">
        <v>3314</v>
      </c>
      <c r="C1645" s="4" t="s">
        <v>3315</v>
      </c>
      <c r="D1645" s="4" t="s">
        <v>729</v>
      </c>
      <c r="E1645" s="6">
        <v>78240.0</v>
      </c>
      <c r="F1645" s="6">
        <v>979453.0</v>
      </c>
      <c r="G1645" s="6">
        <v>0.0</v>
      </c>
      <c r="H1645" s="6">
        <v>1163462.0</v>
      </c>
    </row>
    <row r="1646" ht="15.75" customHeight="1">
      <c r="A1646" s="4">
        <v>1643.0</v>
      </c>
      <c r="B1646" s="4" t="s">
        <v>3316</v>
      </c>
      <c r="C1646" s="4" t="s">
        <v>3317</v>
      </c>
      <c r="D1646" s="4" t="s">
        <v>2608</v>
      </c>
      <c r="E1646" s="6">
        <v>24640.0</v>
      </c>
      <c r="F1646" s="6">
        <v>105000.0</v>
      </c>
      <c r="G1646" s="6">
        <v>0.0</v>
      </c>
      <c r="H1646" s="6">
        <v>142604.0</v>
      </c>
    </row>
    <row r="1647" ht="15.75" customHeight="1">
      <c r="A1647" s="4">
        <v>1644.0</v>
      </c>
      <c r="B1647" s="4" t="s">
        <v>3318</v>
      </c>
      <c r="C1647" s="4" t="s">
        <v>3319</v>
      </c>
      <c r="D1647" s="4" t="s">
        <v>2608</v>
      </c>
      <c r="E1647" s="6">
        <v>24640.0</v>
      </c>
      <c r="F1647" s="6">
        <v>131250.0</v>
      </c>
      <c r="G1647" s="6">
        <v>0.0</v>
      </c>
      <c r="H1647" s="6">
        <v>171479.0</v>
      </c>
    </row>
    <row r="1648" ht="15.75" customHeight="1">
      <c r="A1648" s="4">
        <v>1645.0</v>
      </c>
      <c r="B1648" s="4" t="s">
        <v>3320</v>
      </c>
      <c r="C1648" s="4" t="s">
        <v>3321</v>
      </c>
      <c r="D1648" s="4" t="s">
        <v>2608</v>
      </c>
      <c r="E1648" s="6">
        <v>19990.0</v>
      </c>
      <c r="F1648" s="6">
        <v>262500.0</v>
      </c>
      <c r="G1648" s="6">
        <v>0.0</v>
      </c>
      <c r="H1648" s="6">
        <v>310739.0</v>
      </c>
    </row>
    <row r="1649" ht="15.75" customHeight="1">
      <c r="A1649" s="4">
        <v>1646.0</v>
      </c>
      <c r="B1649" s="4" t="s">
        <v>3322</v>
      </c>
      <c r="C1649" s="4" t="s">
        <v>3323</v>
      </c>
      <c r="D1649" s="4" t="s">
        <v>2608</v>
      </c>
      <c r="E1649" s="6">
        <v>48270.0</v>
      </c>
      <c r="F1649" s="6">
        <v>192000.0</v>
      </c>
      <c r="G1649" s="6">
        <v>0.0</v>
      </c>
      <c r="H1649" s="6">
        <v>264297.0</v>
      </c>
    </row>
    <row r="1650" ht="15.75" customHeight="1">
      <c r="A1650" s="4">
        <v>1647.0</v>
      </c>
      <c r="B1650" s="4" t="s">
        <v>3324</v>
      </c>
      <c r="C1650" s="4" t="s">
        <v>3325</v>
      </c>
      <c r="D1650" s="4" t="s">
        <v>2608</v>
      </c>
      <c r="E1650" s="6">
        <v>48270.0</v>
      </c>
      <c r="F1650" s="6">
        <v>213000.0</v>
      </c>
      <c r="G1650" s="6">
        <v>0.0</v>
      </c>
      <c r="H1650" s="6">
        <v>287397.0</v>
      </c>
    </row>
    <row r="1651" ht="15.75" customHeight="1">
      <c r="A1651" s="9">
        <v>1648.0</v>
      </c>
      <c r="B1651" s="9" t="s">
        <v>3326</v>
      </c>
      <c r="C1651" s="10" t="s">
        <v>3327</v>
      </c>
      <c r="D1651" s="9"/>
      <c r="E1651" s="11"/>
      <c r="F1651" s="11"/>
      <c r="G1651" s="11"/>
      <c r="H1651" s="11"/>
    </row>
    <row r="1652" ht="15.75" customHeight="1">
      <c r="A1652" s="9">
        <v>1649.0</v>
      </c>
      <c r="B1652" s="9" t="s">
        <v>3328</v>
      </c>
      <c r="C1652" s="10" t="s">
        <v>3329</v>
      </c>
      <c r="D1652" s="9"/>
      <c r="E1652" s="11"/>
      <c r="F1652" s="11"/>
      <c r="G1652" s="11"/>
      <c r="H1652" s="11"/>
    </row>
    <row r="1653" ht="15.75" customHeight="1">
      <c r="A1653" s="4">
        <v>1650.0</v>
      </c>
      <c r="B1653" s="4" t="s">
        <v>3330</v>
      </c>
      <c r="C1653" s="4" t="s">
        <v>3331</v>
      </c>
      <c r="D1653" s="4" t="s">
        <v>2608</v>
      </c>
      <c r="E1653" s="6">
        <v>291265.0</v>
      </c>
      <c r="F1653" s="6">
        <v>3520000.0</v>
      </c>
      <c r="G1653" s="6">
        <v>0.0</v>
      </c>
      <c r="H1653" s="6">
        <v>4192391.0</v>
      </c>
    </row>
    <row r="1654" ht="15.75" customHeight="1">
      <c r="A1654" s="4">
        <v>1651.0</v>
      </c>
      <c r="B1654" s="4" t="s">
        <v>3332</v>
      </c>
      <c r="C1654" s="4" t="s">
        <v>3333</v>
      </c>
      <c r="D1654" s="4" t="s">
        <v>2608</v>
      </c>
      <c r="E1654" s="6">
        <v>341570.0</v>
      </c>
      <c r="F1654" s="6">
        <v>4180000.0</v>
      </c>
      <c r="G1654" s="6">
        <v>0.0</v>
      </c>
      <c r="H1654" s="6">
        <v>4973727.0</v>
      </c>
    </row>
    <row r="1655" ht="15.75" customHeight="1">
      <c r="A1655" s="4">
        <v>1652.0</v>
      </c>
      <c r="B1655" s="4" t="s">
        <v>3334</v>
      </c>
      <c r="C1655" s="4" t="s">
        <v>3335</v>
      </c>
      <c r="D1655" s="4" t="s">
        <v>2608</v>
      </c>
      <c r="E1655" s="6">
        <v>341570.0</v>
      </c>
      <c r="F1655" s="6">
        <v>4620000.0</v>
      </c>
      <c r="G1655" s="6">
        <v>0.0</v>
      </c>
      <c r="H1655" s="6">
        <v>5457727.0</v>
      </c>
    </row>
    <row r="1656" ht="15.75" customHeight="1">
      <c r="A1656" s="4">
        <v>1653.0</v>
      </c>
      <c r="B1656" s="4" t="s">
        <v>3336</v>
      </c>
      <c r="C1656" s="4" t="s">
        <v>3337</v>
      </c>
      <c r="D1656" s="4" t="s">
        <v>2608</v>
      </c>
      <c r="E1656" s="6">
        <v>341570.0</v>
      </c>
      <c r="F1656" s="6">
        <v>4950000.0</v>
      </c>
      <c r="G1656" s="6">
        <v>0.0</v>
      </c>
      <c r="H1656" s="6">
        <v>5820727.0</v>
      </c>
    </row>
    <row r="1657" ht="15.75" customHeight="1">
      <c r="A1657" s="4">
        <v>1654.0</v>
      </c>
      <c r="B1657" s="4" t="s">
        <v>3338</v>
      </c>
      <c r="C1657" s="4" t="s">
        <v>3339</v>
      </c>
      <c r="D1657" s="4" t="s">
        <v>2608</v>
      </c>
      <c r="E1657" s="6">
        <v>341570.0</v>
      </c>
      <c r="F1657" s="6">
        <v>5830000.000000001</v>
      </c>
      <c r="G1657" s="6">
        <v>0.0</v>
      </c>
      <c r="H1657" s="6">
        <v>6788727.0</v>
      </c>
    </row>
    <row r="1658" ht="15.75" customHeight="1">
      <c r="A1658" s="4">
        <v>1655.0</v>
      </c>
      <c r="B1658" s="4" t="s">
        <v>3340</v>
      </c>
      <c r="C1658" s="4" t="s">
        <v>3341</v>
      </c>
      <c r="D1658" s="4" t="s">
        <v>2608</v>
      </c>
      <c r="E1658" s="6">
        <v>483420.0000000001</v>
      </c>
      <c r="F1658" s="6">
        <v>8360000.000000001</v>
      </c>
      <c r="G1658" s="6">
        <v>0.0</v>
      </c>
      <c r="H1658" s="6">
        <v>9727762.0</v>
      </c>
    </row>
    <row r="1659" ht="15.75" customHeight="1">
      <c r="A1659" s="4">
        <v>1656.0</v>
      </c>
      <c r="B1659" s="4" t="s">
        <v>3342</v>
      </c>
      <c r="C1659" s="4" t="s">
        <v>3343</v>
      </c>
      <c r="D1659" s="4" t="s">
        <v>2608</v>
      </c>
      <c r="E1659" s="6">
        <v>774250.0</v>
      </c>
      <c r="F1659" s="6">
        <v>1.1E7</v>
      </c>
      <c r="G1659" s="6">
        <v>0.0</v>
      </c>
      <c r="H1659" s="6">
        <v>1.2951675E7</v>
      </c>
    </row>
    <row r="1660" ht="15.75" customHeight="1">
      <c r="A1660" s="4">
        <v>1657.0</v>
      </c>
      <c r="B1660" s="4" t="s">
        <v>3344</v>
      </c>
      <c r="C1660" s="4" t="s">
        <v>3345</v>
      </c>
      <c r="D1660" s="4" t="s">
        <v>729</v>
      </c>
      <c r="E1660" s="6">
        <v>9100.0</v>
      </c>
      <c r="F1660" s="6">
        <v>27940.0</v>
      </c>
      <c r="G1660" s="6">
        <v>0.0</v>
      </c>
      <c r="H1660" s="6">
        <v>40744.0</v>
      </c>
    </row>
    <row r="1661" ht="15.75" customHeight="1">
      <c r="A1661" s="4">
        <v>1658.0</v>
      </c>
      <c r="B1661" s="4" t="s">
        <v>3346</v>
      </c>
      <c r="C1661" s="4" t="s">
        <v>3347</v>
      </c>
      <c r="D1661" s="4" t="s">
        <v>729</v>
      </c>
      <c r="E1661" s="6">
        <v>9100.0</v>
      </c>
      <c r="F1661" s="6">
        <v>240690.0</v>
      </c>
      <c r="G1661" s="6">
        <v>0.0</v>
      </c>
      <c r="H1661" s="6">
        <v>274769.0</v>
      </c>
    </row>
    <row r="1662" ht="15.75" customHeight="1">
      <c r="A1662" s="9">
        <v>1659.0</v>
      </c>
      <c r="B1662" s="9" t="s">
        <v>3348</v>
      </c>
      <c r="C1662" s="10" t="s">
        <v>3349</v>
      </c>
      <c r="D1662" s="9"/>
      <c r="E1662" s="11"/>
      <c r="F1662" s="11"/>
      <c r="G1662" s="11"/>
      <c r="H1662" s="11"/>
    </row>
    <row r="1663" ht="15.75" customHeight="1">
      <c r="A1663" s="4">
        <v>1660.0</v>
      </c>
      <c r="B1663" s="4" t="s">
        <v>3350</v>
      </c>
      <c r="C1663" s="4" t="s">
        <v>3351</v>
      </c>
      <c r="D1663" s="4" t="s">
        <v>2608</v>
      </c>
      <c r="E1663" s="6">
        <v>97450.0</v>
      </c>
      <c r="F1663" s="6">
        <v>990000.0000000001</v>
      </c>
      <c r="G1663" s="6">
        <v>0.0</v>
      </c>
      <c r="H1663" s="6">
        <v>1196195.0</v>
      </c>
    </row>
    <row r="1664" ht="15.75" customHeight="1">
      <c r="A1664" s="4">
        <v>1661.0</v>
      </c>
      <c r="B1664" s="4" t="s">
        <v>3352</v>
      </c>
      <c r="C1664" s="4" t="s">
        <v>3353</v>
      </c>
      <c r="D1664" s="4" t="s">
        <v>2608</v>
      </c>
      <c r="E1664" s="6">
        <v>97450.0</v>
      </c>
      <c r="F1664" s="6">
        <v>1320000.0</v>
      </c>
      <c r="G1664" s="6">
        <v>0.0</v>
      </c>
      <c r="H1664" s="6">
        <v>1559195.0</v>
      </c>
    </row>
    <row r="1665" ht="15.75" customHeight="1">
      <c r="A1665" s="4">
        <v>1662.0</v>
      </c>
      <c r="B1665" s="4" t="s">
        <v>3354</v>
      </c>
      <c r="C1665" s="4" t="s">
        <v>3355</v>
      </c>
      <c r="D1665" s="4" t="s">
        <v>2608</v>
      </c>
      <c r="E1665" s="6">
        <v>97450.0</v>
      </c>
      <c r="F1665" s="6">
        <v>1485000.0</v>
      </c>
      <c r="G1665" s="6">
        <v>0.0</v>
      </c>
      <c r="H1665" s="6">
        <v>1740695.0</v>
      </c>
    </row>
    <row r="1666" ht="15.75" customHeight="1">
      <c r="A1666" s="4">
        <v>1663.0</v>
      </c>
      <c r="B1666" s="4" t="s">
        <v>3356</v>
      </c>
      <c r="C1666" s="4" t="s">
        <v>3357</v>
      </c>
      <c r="D1666" s="4" t="s">
        <v>2608</v>
      </c>
      <c r="E1666" s="6">
        <v>97450.0</v>
      </c>
      <c r="F1666" s="6">
        <v>1650000.0</v>
      </c>
      <c r="G1666" s="6">
        <v>0.0</v>
      </c>
      <c r="H1666" s="6">
        <v>1922195.0</v>
      </c>
    </row>
    <row r="1667" ht="15.75" customHeight="1">
      <c r="A1667" s="4">
        <v>1664.0</v>
      </c>
      <c r="B1667" s="4" t="s">
        <v>3358</v>
      </c>
      <c r="C1667" s="4" t="s">
        <v>3359</v>
      </c>
      <c r="D1667" s="4" t="s">
        <v>2608</v>
      </c>
      <c r="E1667" s="6">
        <v>290485.0</v>
      </c>
      <c r="F1667" s="6">
        <v>1560000.0</v>
      </c>
      <c r="G1667" s="6">
        <v>0.0</v>
      </c>
      <c r="H1667" s="6">
        <v>2035533.0</v>
      </c>
    </row>
    <row r="1668" ht="15.75" customHeight="1">
      <c r="A1668" s="4">
        <v>1665.0</v>
      </c>
      <c r="B1668" s="4" t="s">
        <v>3360</v>
      </c>
      <c r="C1668" s="4" t="s">
        <v>3361</v>
      </c>
      <c r="D1668" s="4" t="s">
        <v>2608</v>
      </c>
      <c r="E1668" s="6">
        <v>290485.0</v>
      </c>
      <c r="F1668" s="6">
        <v>2040000.0</v>
      </c>
      <c r="G1668" s="6">
        <v>0.0</v>
      </c>
      <c r="H1668" s="6">
        <v>2563533.0</v>
      </c>
    </row>
    <row r="1669" ht="15.75" customHeight="1">
      <c r="A1669" s="4">
        <v>1666.0</v>
      </c>
      <c r="B1669" s="4" t="s">
        <v>3362</v>
      </c>
      <c r="C1669" s="4" t="s">
        <v>3363</v>
      </c>
      <c r="D1669" s="4" t="s">
        <v>2608</v>
      </c>
      <c r="E1669" s="6">
        <v>870645.0</v>
      </c>
      <c r="F1669" s="6">
        <v>936000.0</v>
      </c>
      <c r="G1669" s="6">
        <v>0.0</v>
      </c>
      <c r="H1669" s="6">
        <v>1987309.0</v>
      </c>
    </row>
    <row r="1670" ht="15.75" customHeight="1">
      <c r="A1670" s="4">
        <v>1667.0</v>
      </c>
      <c r="B1670" s="4" t="s">
        <v>3364</v>
      </c>
      <c r="C1670" s="4" t="s">
        <v>3365</v>
      </c>
      <c r="D1670" s="4" t="s">
        <v>2608</v>
      </c>
      <c r="E1670" s="6">
        <v>870645.0</v>
      </c>
      <c r="F1670" s="6">
        <v>1032000.0</v>
      </c>
      <c r="G1670" s="6">
        <v>0.0</v>
      </c>
      <c r="H1670" s="6">
        <v>2092909.0</v>
      </c>
    </row>
    <row r="1671" ht="15.75" customHeight="1">
      <c r="A1671" s="4">
        <v>1668.0</v>
      </c>
      <c r="B1671" s="4" t="s">
        <v>3366</v>
      </c>
      <c r="C1671" s="4" t="s">
        <v>3367</v>
      </c>
      <c r="D1671" s="4" t="s">
        <v>2608</v>
      </c>
      <c r="E1671" s="6">
        <v>870645.0</v>
      </c>
      <c r="F1671" s="6">
        <v>1194000.0</v>
      </c>
      <c r="G1671" s="6">
        <v>0.0</v>
      </c>
      <c r="H1671" s="6">
        <v>2271109.0</v>
      </c>
    </row>
    <row r="1672" ht="15.75" customHeight="1">
      <c r="A1672" s="4">
        <v>1669.0</v>
      </c>
      <c r="B1672" s="4" t="s">
        <v>3368</v>
      </c>
      <c r="C1672" s="4" t="s">
        <v>3369</v>
      </c>
      <c r="D1672" s="4" t="s">
        <v>2608</v>
      </c>
      <c r="E1672" s="6">
        <v>1256890.0</v>
      </c>
      <c r="F1672" s="6">
        <v>1224000.0</v>
      </c>
      <c r="G1672" s="6">
        <v>0.0</v>
      </c>
      <c r="H1672" s="6">
        <v>2728979.0</v>
      </c>
    </row>
    <row r="1673" ht="15.75" customHeight="1">
      <c r="A1673" s="4">
        <v>1670.0</v>
      </c>
      <c r="B1673" s="4" t="s">
        <v>3370</v>
      </c>
      <c r="C1673" s="4" t="s">
        <v>3371</v>
      </c>
      <c r="D1673" s="4" t="s">
        <v>2608</v>
      </c>
      <c r="E1673" s="6">
        <v>1932845.0</v>
      </c>
      <c r="F1673" s="6">
        <v>1620000.0</v>
      </c>
      <c r="G1673" s="6">
        <v>0.0</v>
      </c>
      <c r="H1673" s="6">
        <v>3908129.0</v>
      </c>
    </row>
    <row r="1674" ht="15.75" customHeight="1">
      <c r="A1674" s="4">
        <v>1671.0</v>
      </c>
      <c r="B1674" s="4" t="s">
        <v>3372</v>
      </c>
      <c r="C1674" s="4" t="s">
        <v>3373</v>
      </c>
      <c r="D1674" s="4" t="s">
        <v>2608</v>
      </c>
      <c r="E1674" s="6">
        <v>1932845.0</v>
      </c>
      <c r="F1674" s="6">
        <v>2040000.0</v>
      </c>
      <c r="G1674" s="6">
        <v>0.0</v>
      </c>
      <c r="H1674" s="6">
        <v>4370129.0</v>
      </c>
    </row>
    <row r="1675" ht="15.75" customHeight="1">
      <c r="A1675" s="4">
        <v>1672.0</v>
      </c>
      <c r="B1675" s="4" t="s">
        <v>3374</v>
      </c>
      <c r="C1675" s="4" t="s">
        <v>3375</v>
      </c>
      <c r="D1675" s="4" t="s">
        <v>2608</v>
      </c>
      <c r="E1675" s="6">
        <v>97450.0</v>
      </c>
      <c r="F1675" s="6">
        <v>825000.0000000001</v>
      </c>
      <c r="G1675" s="6">
        <v>0.0</v>
      </c>
      <c r="H1675" s="6">
        <v>1014695.0</v>
      </c>
    </row>
    <row r="1676" ht="15.75" customHeight="1">
      <c r="A1676" s="4">
        <v>1673.0</v>
      </c>
      <c r="B1676" s="4" t="s">
        <v>3376</v>
      </c>
      <c r="C1676" s="4" t="s">
        <v>3377</v>
      </c>
      <c r="D1676" s="4" t="s">
        <v>2608</v>
      </c>
      <c r="E1676" s="6">
        <v>97450.0</v>
      </c>
      <c r="F1676" s="6">
        <v>1650000.0</v>
      </c>
      <c r="G1676" s="6">
        <v>0.0</v>
      </c>
      <c r="H1676" s="6">
        <v>1922195.0</v>
      </c>
    </row>
    <row r="1677" ht="15.75" customHeight="1">
      <c r="A1677" s="4">
        <v>1674.0</v>
      </c>
      <c r="B1677" s="4" t="s">
        <v>3378</v>
      </c>
      <c r="C1677" s="4" t="s">
        <v>3379</v>
      </c>
      <c r="D1677" s="4" t="s">
        <v>2608</v>
      </c>
      <c r="E1677" s="6">
        <v>483437.5000000001</v>
      </c>
      <c r="F1677" s="6">
        <v>9960000.0</v>
      </c>
      <c r="G1677" s="6">
        <v>0.0</v>
      </c>
      <c r="H1677" s="6">
        <v>1.1487781E7</v>
      </c>
    </row>
    <row r="1678" ht="15.75" customHeight="1">
      <c r="A1678" s="4">
        <v>1675.0</v>
      </c>
      <c r="B1678" s="4" t="s">
        <v>3380</v>
      </c>
      <c r="C1678" s="4" t="s">
        <v>3381</v>
      </c>
      <c r="D1678" s="4" t="s">
        <v>2608</v>
      </c>
      <c r="E1678" s="6">
        <v>145720.0</v>
      </c>
      <c r="F1678" s="6">
        <v>2160000.0</v>
      </c>
      <c r="G1678" s="6">
        <v>0.0</v>
      </c>
      <c r="H1678" s="6">
        <v>2536292.0</v>
      </c>
    </row>
    <row r="1679" ht="15.75" customHeight="1">
      <c r="A1679" s="4">
        <v>1676.0</v>
      </c>
      <c r="B1679" s="4" t="s">
        <v>3382</v>
      </c>
      <c r="C1679" s="4" t="s">
        <v>3383</v>
      </c>
      <c r="D1679" s="4" t="s">
        <v>2608</v>
      </c>
      <c r="E1679" s="6">
        <v>145720.0</v>
      </c>
      <c r="F1679" s="6">
        <v>2520000.0</v>
      </c>
      <c r="G1679" s="6">
        <v>0.0</v>
      </c>
      <c r="H1679" s="6">
        <v>2932292.0</v>
      </c>
    </row>
    <row r="1680" ht="15.75" customHeight="1">
      <c r="A1680" s="4">
        <v>1677.0</v>
      </c>
      <c r="B1680" s="4" t="s">
        <v>3384</v>
      </c>
      <c r="C1680" s="4" t="s">
        <v>3385</v>
      </c>
      <c r="D1680" s="4" t="s">
        <v>2608</v>
      </c>
      <c r="E1680" s="6">
        <v>145720.0</v>
      </c>
      <c r="F1680" s="6">
        <v>2760000.0</v>
      </c>
      <c r="G1680" s="6">
        <v>0.0</v>
      </c>
      <c r="H1680" s="6">
        <v>3196292.0</v>
      </c>
    </row>
    <row r="1681" ht="15.75" customHeight="1">
      <c r="A1681" s="4">
        <v>1678.0</v>
      </c>
      <c r="B1681" s="4" t="s">
        <v>3386</v>
      </c>
      <c r="C1681" s="4" t="s">
        <v>3387</v>
      </c>
      <c r="D1681" s="4" t="s">
        <v>2608</v>
      </c>
      <c r="E1681" s="6">
        <v>193990.0</v>
      </c>
      <c r="F1681" s="6">
        <v>3190000.0</v>
      </c>
      <c r="G1681" s="6">
        <v>0.0</v>
      </c>
      <c r="H1681" s="6">
        <v>3722389.0</v>
      </c>
    </row>
    <row r="1682" ht="15.75" customHeight="1">
      <c r="A1682" s="4">
        <v>1679.0</v>
      </c>
      <c r="B1682" s="4" t="s">
        <v>3388</v>
      </c>
      <c r="C1682" s="4" t="s">
        <v>3389</v>
      </c>
      <c r="D1682" s="4" t="s">
        <v>2608</v>
      </c>
      <c r="E1682" s="6">
        <v>338755.0</v>
      </c>
      <c r="F1682" s="6">
        <v>3850000.0</v>
      </c>
      <c r="G1682" s="6">
        <v>0.0</v>
      </c>
      <c r="H1682" s="6">
        <v>4607630.0</v>
      </c>
    </row>
    <row r="1683" ht="15.75" customHeight="1">
      <c r="A1683" s="4">
        <v>1680.0</v>
      </c>
      <c r="B1683" s="4" t="s">
        <v>3390</v>
      </c>
      <c r="C1683" s="4" t="s">
        <v>3391</v>
      </c>
      <c r="D1683" s="4" t="s">
        <v>2608</v>
      </c>
      <c r="E1683" s="6">
        <v>338755.0</v>
      </c>
      <c r="F1683" s="6">
        <v>4290000.0</v>
      </c>
      <c r="G1683" s="6">
        <v>0.0</v>
      </c>
      <c r="H1683" s="6">
        <v>5091630.0</v>
      </c>
    </row>
    <row r="1684" ht="15.75" customHeight="1">
      <c r="A1684" s="4">
        <v>1681.0</v>
      </c>
      <c r="B1684" s="4" t="s">
        <v>3392</v>
      </c>
      <c r="C1684" s="4" t="s">
        <v>3393</v>
      </c>
      <c r="D1684" s="4" t="s">
        <v>2608</v>
      </c>
      <c r="E1684" s="6">
        <v>24640.0</v>
      </c>
      <c r="F1684" s="6">
        <v>104500.0</v>
      </c>
      <c r="G1684" s="6">
        <v>0.0</v>
      </c>
      <c r="H1684" s="6">
        <v>142054.0</v>
      </c>
    </row>
    <row r="1685" ht="15.75" customHeight="1">
      <c r="A1685" s="4">
        <v>1682.0</v>
      </c>
      <c r="B1685" s="4" t="s">
        <v>3394</v>
      </c>
      <c r="C1685" s="4" t="s">
        <v>3395</v>
      </c>
      <c r="D1685" s="4" t="s">
        <v>2608</v>
      </c>
      <c r="E1685" s="6">
        <v>24640.0</v>
      </c>
      <c r="F1685" s="6">
        <v>126500.0</v>
      </c>
      <c r="G1685" s="6">
        <v>0.0</v>
      </c>
      <c r="H1685" s="6">
        <v>166254.0</v>
      </c>
    </row>
    <row r="1686" ht="15.75" customHeight="1">
      <c r="A1686" s="4">
        <v>1683.0</v>
      </c>
      <c r="B1686" s="4" t="s">
        <v>3396</v>
      </c>
      <c r="C1686" s="4" t="s">
        <v>3397</v>
      </c>
      <c r="D1686" s="4" t="s">
        <v>2608</v>
      </c>
      <c r="E1686" s="6">
        <v>29090.0</v>
      </c>
      <c r="F1686" s="6">
        <v>143000.0</v>
      </c>
      <c r="G1686" s="6">
        <v>0.0</v>
      </c>
      <c r="H1686" s="6">
        <v>189299.0</v>
      </c>
    </row>
    <row r="1687" ht="15.75" customHeight="1">
      <c r="A1687" s="4">
        <v>1684.0</v>
      </c>
      <c r="B1687" s="4" t="s">
        <v>3398</v>
      </c>
      <c r="C1687" s="4" t="s">
        <v>3399</v>
      </c>
      <c r="D1687" s="4" t="s">
        <v>2608</v>
      </c>
      <c r="E1687" s="6">
        <v>29090.0</v>
      </c>
      <c r="F1687" s="6">
        <v>159500.0</v>
      </c>
      <c r="G1687" s="6">
        <v>0.0</v>
      </c>
      <c r="H1687" s="6">
        <v>207449.0</v>
      </c>
    </row>
    <row r="1688" ht="15.75" customHeight="1">
      <c r="A1688" s="4">
        <v>1685.0</v>
      </c>
      <c r="B1688" s="4" t="s">
        <v>3400</v>
      </c>
      <c r="C1688" s="4" t="s">
        <v>3401</v>
      </c>
      <c r="D1688" s="4" t="s">
        <v>2608</v>
      </c>
      <c r="E1688" s="6">
        <v>97450.0</v>
      </c>
      <c r="F1688" s="6">
        <v>148500.0</v>
      </c>
      <c r="G1688" s="6">
        <v>0.0</v>
      </c>
      <c r="H1688" s="6">
        <v>270545.0</v>
      </c>
    </row>
    <row r="1689" ht="15.75" customHeight="1">
      <c r="A1689" s="4">
        <v>1686.0</v>
      </c>
      <c r="B1689" s="4" t="s">
        <v>3402</v>
      </c>
      <c r="C1689" s="4" t="s">
        <v>3403</v>
      </c>
      <c r="D1689" s="4" t="s">
        <v>2608</v>
      </c>
      <c r="E1689" s="6">
        <v>97450.0</v>
      </c>
      <c r="F1689" s="6">
        <v>165000.0</v>
      </c>
      <c r="G1689" s="6">
        <v>0.0</v>
      </c>
      <c r="H1689" s="6">
        <v>288695.0</v>
      </c>
    </row>
    <row r="1690" ht="15.75" customHeight="1">
      <c r="A1690" s="4">
        <v>1687.0</v>
      </c>
      <c r="B1690" s="4" t="s">
        <v>3404</v>
      </c>
      <c r="C1690" s="4" t="s">
        <v>3405</v>
      </c>
      <c r="D1690" s="4" t="s">
        <v>2608</v>
      </c>
      <c r="E1690" s="6">
        <v>145720.0</v>
      </c>
      <c r="F1690" s="6">
        <v>242000.0</v>
      </c>
      <c r="G1690" s="6">
        <v>0.0</v>
      </c>
      <c r="H1690" s="6">
        <v>426492.0</v>
      </c>
    </row>
    <row r="1691" ht="15.75" customHeight="1">
      <c r="A1691" s="4">
        <v>1688.0</v>
      </c>
      <c r="B1691" s="4" t="s">
        <v>3406</v>
      </c>
      <c r="C1691" s="4" t="s">
        <v>3407</v>
      </c>
      <c r="D1691" s="4" t="s">
        <v>2608</v>
      </c>
      <c r="E1691" s="6">
        <v>193990.0</v>
      </c>
      <c r="F1691" s="6">
        <v>275000.0</v>
      </c>
      <c r="G1691" s="6">
        <v>0.0</v>
      </c>
      <c r="H1691" s="6">
        <v>515889.0</v>
      </c>
    </row>
    <row r="1692" ht="15.75" customHeight="1">
      <c r="A1692" s="4">
        <v>1689.0</v>
      </c>
      <c r="B1692" s="4" t="s">
        <v>3408</v>
      </c>
      <c r="C1692" s="4" t="s">
        <v>3409</v>
      </c>
      <c r="D1692" s="4" t="s">
        <v>2608</v>
      </c>
      <c r="E1692" s="6">
        <v>193990.0</v>
      </c>
      <c r="F1692" s="6">
        <v>297000.0</v>
      </c>
      <c r="G1692" s="6">
        <v>0.0</v>
      </c>
      <c r="H1692" s="6">
        <v>540089.0</v>
      </c>
    </row>
    <row r="1693" ht="15.75" customHeight="1">
      <c r="A1693" s="4">
        <v>1690.0</v>
      </c>
      <c r="B1693" s="4" t="s">
        <v>3410</v>
      </c>
      <c r="C1693" s="4" t="s">
        <v>3411</v>
      </c>
      <c r="D1693" s="4" t="s">
        <v>2608</v>
      </c>
      <c r="E1693" s="6">
        <v>24640.0</v>
      </c>
      <c r="F1693" s="6">
        <v>154000.0</v>
      </c>
      <c r="G1693" s="6">
        <v>0.0</v>
      </c>
      <c r="H1693" s="6">
        <v>196504.0</v>
      </c>
    </row>
    <row r="1694" ht="15.75" customHeight="1">
      <c r="A1694" s="4">
        <v>1691.0</v>
      </c>
      <c r="B1694" s="4" t="s">
        <v>3412</v>
      </c>
      <c r="C1694" s="4" t="s">
        <v>3413</v>
      </c>
      <c r="D1694" s="4" t="s">
        <v>2608</v>
      </c>
      <c r="E1694" s="6">
        <v>24640.0</v>
      </c>
      <c r="F1694" s="6">
        <v>176000.0</v>
      </c>
      <c r="G1694" s="6">
        <v>0.0</v>
      </c>
      <c r="H1694" s="6">
        <v>220704.0</v>
      </c>
    </row>
    <row r="1695" ht="15.75" customHeight="1">
      <c r="A1695" s="4">
        <v>1692.0</v>
      </c>
      <c r="B1695" s="4" t="s">
        <v>3414</v>
      </c>
      <c r="C1695" s="4" t="s">
        <v>3415</v>
      </c>
      <c r="D1695" s="4" t="s">
        <v>2608</v>
      </c>
      <c r="E1695" s="6">
        <v>24640.0</v>
      </c>
      <c r="F1695" s="6">
        <v>220000.0</v>
      </c>
      <c r="G1695" s="6">
        <v>0.0</v>
      </c>
      <c r="H1695" s="6">
        <v>269104.0</v>
      </c>
    </row>
    <row r="1696" ht="15.75" customHeight="1">
      <c r="A1696" s="4">
        <v>1693.0</v>
      </c>
      <c r="B1696" s="4" t="s">
        <v>3416</v>
      </c>
      <c r="C1696" s="4" t="s">
        <v>3417</v>
      </c>
      <c r="D1696" s="4" t="s">
        <v>2608</v>
      </c>
      <c r="E1696" s="6">
        <v>24640.0</v>
      </c>
      <c r="F1696" s="6">
        <v>253000.0</v>
      </c>
      <c r="G1696" s="6">
        <v>0.0</v>
      </c>
      <c r="H1696" s="6">
        <v>305404.0</v>
      </c>
    </row>
    <row r="1697" ht="15.75" customHeight="1">
      <c r="A1697" s="4">
        <v>1694.0</v>
      </c>
      <c r="B1697" s="4" t="s">
        <v>3418</v>
      </c>
      <c r="C1697" s="4" t="s">
        <v>3419</v>
      </c>
      <c r="D1697" s="4" t="s">
        <v>2608</v>
      </c>
      <c r="E1697" s="6">
        <v>29090.0</v>
      </c>
      <c r="F1697" s="6">
        <v>330000.0</v>
      </c>
      <c r="G1697" s="6">
        <v>0.0</v>
      </c>
      <c r="H1697" s="6">
        <v>394999.0</v>
      </c>
    </row>
    <row r="1698" ht="15.75" customHeight="1">
      <c r="A1698" s="4">
        <v>1695.0</v>
      </c>
      <c r="B1698" s="4" t="s">
        <v>3420</v>
      </c>
      <c r="C1698" s="4" t="s">
        <v>3421</v>
      </c>
      <c r="D1698" s="4" t="s">
        <v>2608</v>
      </c>
      <c r="E1698" s="6">
        <v>97450.0</v>
      </c>
      <c r="F1698" s="6">
        <v>495000.0000000001</v>
      </c>
      <c r="G1698" s="6">
        <v>0.0</v>
      </c>
      <c r="H1698" s="6">
        <v>651695.0</v>
      </c>
    </row>
    <row r="1699" ht="15.75" customHeight="1">
      <c r="A1699" s="4">
        <v>1696.0</v>
      </c>
      <c r="B1699" s="4" t="s">
        <v>3422</v>
      </c>
      <c r="C1699" s="4" t="s">
        <v>3423</v>
      </c>
      <c r="D1699" s="4" t="s">
        <v>2608</v>
      </c>
      <c r="E1699" s="6">
        <v>145720.0</v>
      </c>
      <c r="F1699" s="6">
        <v>495000.0000000001</v>
      </c>
      <c r="G1699" s="6">
        <v>0.0</v>
      </c>
      <c r="H1699" s="6">
        <v>704792.0</v>
      </c>
    </row>
    <row r="1700" ht="15.75" customHeight="1">
      <c r="A1700" s="4">
        <v>1697.0</v>
      </c>
      <c r="B1700" s="4" t="s">
        <v>3424</v>
      </c>
      <c r="C1700" s="4" t="s">
        <v>3425</v>
      </c>
      <c r="D1700" s="4" t="s">
        <v>2608</v>
      </c>
      <c r="E1700" s="6">
        <v>189090.0</v>
      </c>
      <c r="F1700" s="6">
        <v>495000.0000000001</v>
      </c>
      <c r="G1700" s="6">
        <v>0.0</v>
      </c>
      <c r="H1700" s="6">
        <v>752499.0</v>
      </c>
    </row>
    <row r="1701" ht="15.75" customHeight="1">
      <c r="A1701" s="4">
        <v>1698.0</v>
      </c>
      <c r="B1701" s="4" t="s">
        <v>3426</v>
      </c>
      <c r="C1701" s="4" t="s">
        <v>3427</v>
      </c>
      <c r="D1701" s="4" t="s">
        <v>2608</v>
      </c>
      <c r="E1701" s="6">
        <v>242260.0</v>
      </c>
      <c r="F1701" s="6">
        <v>495000.0000000001</v>
      </c>
      <c r="G1701" s="6">
        <v>0.0</v>
      </c>
      <c r="H1701" s="6">
        <v>810986.0</v>
      </c>
    </row>
    <row r="1702" ht="15.75" customHeight="1">
      <c r="A1702" s="4">
        <v>1699.0</v>
      </c>
      <c r="B1702" s="4" t="s">
        <v>3428</v>
      </c>
      <c r="C1702" s="4" t="s">
        <v>3429</v>
      </c>
      <c r="D1702" s="4" t="s">
        <v>2608</v>
      </c>
      <c r="E1702" s="6">
        <v>242260.0</v>
      </c>
      <c r="F1702" s="6">
        <v>495000.0000000001</v>
      </c>
      <c r="G1702" s="6">
        <v>0.0</v>
      </c>
      <c r="H1702" s="6">
        <v>810986.0</v>
      </c>
    </row>
    <row r="1703" ht="15.75" customHeight="1">
      <c r="A1703" s="4">
        <v>1700.0</v>
      </c>
      <c r="B1703" s="4" t="s">
        <v>3430</v>
      </c>
      <c r="C1703" s="4" t="s">
        <v>3431</v>
      </c>
      <c r="D1703" s="4" t="s">
        <v>729</v>
      </c>
      <c r="E1703" s="6">
        <v>9100.0</v>
      </c>
      <c r="F1703" s="6">
        <v>481380.0000000001</v>
      </c>
      <c r="G1703" s="6">
        <v>0.0</v>
      </c>
      <c r="H1703" s="6">
        <v>539528.0</v>
      </c>
    </row>
    <row r="1704" ht="15.75" customHeight="1">
      <c r="A1704" s="4">
        <v>1701.0</v>
      </c>
      <c r="B1704" s="4" t="s">
        <v>3432</v>
      </c>
      <c r="C1704" s="4" t="s">
        <v>3433</v>
      </c>
      <c r="D1704" s="4" t="s">
        <v>729</v>
      </c>
      <c r="E1704" s="6">
        <v>9100.0</v>
      </c>
      <c r="F1704" s="6">
        <v>240690.0</v>
      </c>
      <c r="G1704" s="6">
        <v>0.0</v>
      </c>
      <c r="H1704" s="6">
        <v>274769.0</v>
      </c>
    </row>
    <row r="1705" ht="15.75" customHeight="1">
      <c r="A1705" s="4">
        <v>1702.0</v>
      </c>
      <c r="B1705" s="4" t="s">
        <v>3434</v>
      </c>
      <c r="C1705" s="4" t="s">
        <v>3435</v>
      </c>
      <c r="D1705" s="4" t="s">
        <v>2608</v>
      </c>
      <c r="E1705" s="6">
        <v>193990.0</v>
      </c>
      <c r="F1705" s="6">
        <v>275000.0</v>
      </c>
      <c r="G1705" s="6">
        <v>0.0</v>
      </c>
      <c r="H1705" s="6">
        <v>515889.0</v>
      </c>
    </row>
    <row r="1706" ht="15.75" customHeight="1">
      <c r="A1706" s="4">
        <v>1703.0</v>
      </c>
      <c r="B1706" s="4" t="s">
        <v>3436</v>
      </c>
      <c r="C1706" s="4" t="s">
        <v>3437</v>
      </c>
      <c r="D1706" s="4" t="s">
        <v>2608</v>
      </c>
      <c r="E1706" s="6">
        <v>510040.0</v>
      </c>
      <c r="F1706" s="6">
        <v>4950000.0</v>
      </c>
      <c r="G1706" s="6">
        <v>0.0</v>
      </c>
      <c r="H1706" s="6">
        <v>6006044.0</v>
      </c>
    </row>
    <row r="1707" ht="15.75" customHeight="1">
      <c r="A1707" s="9">
        <v>1704.0</v>
      </c>
      <c r="B1707" s="9" t="s">
        <v>3438</v>
      </c>
      <c r="C1707" s="10" t="s">
        <v>3439</v>
      </c>
      <c r="D1707" s="9"/>
      <c r="E1707" s="11"/>
      <c r="F1707" s="11"/>
      <c r="G1707" s="11"/>
      <c r="H1707" s="11"/>
    </row>
    <row r="1708" ht="15.75" customHeight="1">
      <c r="A1708" s="4">
        <v>1705.0</v>
      </c>
      <c r="B1708" s="4" t="s">
        <v>3440</v>
      </c>
      <c r="C1708" s="4" t="s">
        <v>3441</v>
      </c>
      <c r="D1708" s="4" t="s">
        <v>36</v>
      </c>
      <c r="E1708" s="6">
        <v>54755.0</v>
      </c>
      <c r="F1708" s="6">
        <v>469900.0</v>
      </c>
      <c r="G1708" s="6">
        <v>0.0</v>
      </c>
      <c r="H1708" s="6">
        <v>577120.0</v>
      </c>
    </row>
    <row r="1709" ht="15.75" customHeight="1">
      <c r="A1709" s="4">
        <v>1706.0</v>
      </c>
      <c r="B1709" s="4" t="s">
        <v>3442</v>
      </c>
      <c r="C1709" s="4" t="s">
        <v>3443</v>
      </c>
      <c r="D1709" s="4" t="s">
        <v>36</v>
      </c>
      <c r="E1709" s="6">
        <v>72910.0</v>
      </c>
      <c r="F1709" s="6">
        <v>469900.0</v>
      </c>
      <c r="G1709" s="6">
        <v>0.0</v>
      </c>
      <c r="H1709" s="6">
        <v>597091.0</v>
      </c>
    </row>
    <row r="1710" ht="15.75" customHeight="1">
      <c r="A1710" s="4">
        <v>1707.0</v>
      </c>
      <c r="B1710" s="4" t="s">
        <v>3444</v>
      </c>
      <c r="C1710" s="4" t="s">
        <v>3445</v>
      </c>
      <c r="D1710" s="4" t="s">
        <v>36</v>
      </c>
      <c r="E1710" s="6">
        <v>82890.0</v>
      </c>
      <c r="F1710" s="6">
        <v>469900.0</v>
      </c>
      <c r="G1710" s="6">
        <v>0.0</v>
      </c>
      <c r="H1710" s="6">
        <v>608069.0</v>
      </c>
    </row>
    <row r="1711" ht="15.75" customHeight="1">
      <c r="A1711" s="9">
        <v>1708.0</v>
      </c>
      <c r="B1711" s="9" t="s">
        <v>3446</v>
      </c>
      <c r="C1711" s="10" t="s">
        <v>3447</v>
      </c>
      <c r="D1711" s="9"/>
      <c r="E1711" s="11"/>
      <c r="F1711" s="11"/>
      <c r="G1711" s="11"/>
      <c r="H1711" s="11"/>
    </row>
    <row r="1712" ht="15.75" customHeight="1">
      <c r="A1712" s="4">
        <v>1709.0</v>
      </c>
      <c r="B1712" s="4" t="s">
        <v>3448</v>
      </c>
      <c r="C1712" s="4" t="s">
        <v>3449</v>
      </c>
      <c r="D1712" s="4" t="s">
        <v>27</v>
      </c>
      <c r="E1712" s="6">
        <v>12870.0</v>
      </c>
      <c r="F1712" s="6">
        <v>77674.2</v>
      </c>
      <c r="G1712" s="6">
        <v>0.0</v>
      </c>
      <c r="H1712" s="6">
        <v>99598.0</v>
      </c>
    </row>
    <row r="1713" ht="15.75" customHeight="1">
      <c r="A1713" s="4">
        <v>1710.0</v>
      </c>
      <c r="B1713" s="4" t="s">
        <v>3450</v>
      </c>
      <c r="C1713" s="4" t="s">
        <v>3451</v>
      </c>
      <c r="D1713" s="4" t="s">
        <v>27</v>
      </c>
      <c r="E1713" s="6">
        <v>122800.0</v>
      </c>
      <c r="F1713" s="6">
        <v>102424.2</v>
      </c>
      <c r="G1713" s="6">
        <v>0.0</v>
      </c>
      <c r="H1713" s="6">
        <v>247746.0</v>
      </c>
    </row>
    <row r="1714" ht="15.75" customHeight="1">
      <c r="A1714" s="4">
        <v>1711.0</v>
      </c>
      <c r="B1714" s="4" t="s">
        <v>3452</v>
      </c>
      <c r="C1714" s="4" t="s">
        <v>3453</v>
      </c>
      <c r="D1714" s="4" t="s">
        <v>27</v>
      </c>
      <c r="E1714" s="6">
        <v>24640.0</v>
      </c>
      <c r="F1714" s="6">
        <v>104899.2</v>
      </c>
      <c r="G1714" s="6">
        <v>0.0</v>
      </c>
      <c r="H1714" s="6">
        <v>142493.0</v>
      </c>
    </row>
    <row r="1715" ht="15.75" customHeight="1">
      <c r="A1715" s="4">
        <v>1712.0</v>
      </c>
      <c r="B1715" s="4" t="s">
        <v>3454</v>
      </c>
      <c r="C1715" s="4" t="s">
        <v>3455</v>
      </c>
      <c r="D1715" s="4" t="s">
        <v>27</v>
      </c>
      <c r="E1715" s="6">
        <v>24640.0</v>
      </c>
      <c r="F1715" s="6">
        <v>229099.2</v>
      </c>
      <c r="G1715" s="6">
        <v>0.0</v>
      </c>
      <c r="H1715" s="6">
        <v>279113.0</v>
      </c>
    </row>
    <row r="1716" ht="15.75" customHeight="1">
      <c r="A1716" s="4">
        <v>1713.0</v>
      </c>
      <c r="B1716" s="4" t="s">
        <v>3456</v>
      </c>
      <c r="C1716" s="4" t="s">
        <v>3457</v>
      </c>
      <c r="D1716" s="4" t="s">
        <v>27</v>
      </c>
      <c r="E1716" s="6">
        <v>36355.0</v>
      </c>
      <c r="F1716" s="6">
        <v>276574.2</v>
      </c>
      <c r="G1716" s="6">
        <v>0.0</v>
      </c>
      <c r="H1716" s="6">
        <v>344222.0</v>
      </c>
    </row>
    <row r="1717" ht="15.75" customHeight="1">
      <c r="A1717" s="4">
        <v>1714.0</v>
      </c>
      <c r="B1717" s="4" t="s">
        <v>3458</v>
      </c>
      <c r="C1717" s="4" t="s">
        <v>3459</v>
      </c>
      <c r="D1717" s="4" t="s">
        <v>27</v>
      </c>
      <c r="E1717" s="6">
        <v>42840.0</v>
      </c>
      <c r="F1717" s="6">
        <v>791599.2</v>
      </c>
      <c r="G1717" s="6">
        <v>0.0</v>
      </c>
      <c r="H1717" s="6">
        <v>917883.0</v>
      </c>
    </row>
    <row r="1718" ht="15.75" customHeight="1">
      <c r="A1718" s="4">
        <v>1715.0</v>
      </c>
      <c r="B1718" s="4" t="s">
        <v>3460</v>
      </c>
      <c r="C1718" s="4" t="s">
        <v>3461</v>
      </c>
      <c r="D1718" s="4" t="s">
        <v>27</v>
      </c>
      <c r="E1718" s="6">
        <v>49150.0</v>
      </c>
      <c r="F1718" s="6">
        <v>832999.2</v>
      </c>
      <c r="G1718" s="6">
        <v>0.0</v>
      </c>
      <c r="H1718" s="6">
        <v>970364.0</v>
      </c>
    </row>
    <row r="1719" ht="15.75" customHeight="1">
      <c r="A1719" s="4">
        <v>1716.0</v>
      </c>
      <c r="B1719" s="4" t="s">
        <v>3462</v>
      </c>
      <c r="C1719" s="4" t="s">
        <v>3463</v>
      </c>
      <c r="D1719" s="4" t="s">
        <v>27</v>
      </c>
      <c r="E1719" s="6">
        <v>54755.0</v>
      </c>
      <c r="F1719" s="6">
        <v>844249.2</v>
      </c>
      <c r="G1719" s="6">
        <v>0.0</v>
      </c>
      <c r="H1719" s="6">
        <v>988904.0</v>
      </c>
    </row>
    <row r="1720" ht="15.75" customHeight="1">
      <c r="A1720" s="4">
        <v>1717.0</v>
      </c>
      <c r="B1720" s="4" t="s">
        <v>3464</v>
      </c>
      <c r="C1720" s="4" t="s">
        <v>3465</v>
      </c>
      <c r="D1720" s="4" t="s">
        <v>27</v>
      </c>
      <c r="E1720" s="6">
        <v>66525.0</v>
      </c>
      <c r="F1720" s="6">
        <v>855499.2</v>
      </c>
      <c r="G1720" s="6">
        <v>0.0</v>
      </c>
      <c r="H1720" s="6">
        <v>1014226.0</v>
      </c>
    </row>
    <row r="1721" ht="15.75" customHeight="1">
      <c r="A1721" s="4">
        <v>1718.0</v>
      </c>
      <c r="B1721" s="4" t="s">
        <v>3466</v>
      </c>
      <c r="C1721" s="4" t="s">
        <v>3467</v>
      </c>
      <c r="D1721" s="4" t="s">
        <v>27</v>
      </c>
      <c r="E1721" s="6">
        <v>79395.0</v>
      </c>
      <c r="F1721" s="6">
        <v>652999.2</v>
      </c>
      <c r="G1721" s="6">
        <v>0.0</v>
      </c>
      <c r="H1721" s="6">
        <v>805633.0</v>
      </c>
    </row>
    <row r="1722" ht="15.75" customHeight="1">
      <c r="A1722" s="4">
        <v>1719.0</v>
      </c>
      <c r="B1722" s="4" t="s">
        <v>3468</v>
      </c>
      <c r="C1722" s="4" t="s">
        <v>3469</v>
      </c>
      <c r="D1722" s="4" t="s">
        <v>27</v>
      </c>
      <c r="E1722" s="6">
        <v>12870.0</v>
      </c>
      <c r="F1722" s="6">
        <v>10849.2</v>
      </c>
      <c r="G1722" s="6">
        <v>0.0</v>
      </c>
      <c r="H1722" s="6">
        <v>26091.0</v>
      </c>
    </row>
    <row r="1723" ht="15.75" customHeight="1">
      <c r="A1723" s="4">
        <v>1720.0</v>
      </c>
      <c r="B1723" s="4" t="s">
        <v>3470</v>
      </c>
      <c r="C1723" s="4" t="s">
        <v>3471</v>
      </c>
      <c r="D1723" s="4" t="s">
        <v>27</v>
      </c>
      <c r="E1723" s="6">
        <v>0.0</v>
      </c>
      <c r="F1723" s="6">
        <v>0.0</v>
      </c>
      <c r="G1723" s="6">
        <v>0.0</v>
      </c>
      <c r="H1723" s="6">
        <v>35474.0</v>
      </c>
    </row>
    <row r="1724" ht="15.75" customHeight="1">
      <c r="A1724" s="4">
        <v>1721.0</v>
      </c>
      <c r="B1724" s="4" t="s">
        <v>3472</v>
      </c>
      <c r="C1724" s="4" t="s">
        <v>3473</v>
      </c>
      <c r="D1724" s="4" t="s">
        <v>27</v>
      </c>
      <c r="E1724" s="6">
        <v>24640.0</v>
      </c>
      <c r="F1724" s="6">
        <v>17749.2</v>
      </c>
      <c r="G1724" s="6">
        <v>0.0</v>
      </c>
      <c r="H1724" s="6">
        <v>46628.0</v>
      </c>
    </row>
    <row r="1725" ht="15.75" customHeight="1">
      <c r="A1725" s="4">
        <v>1722.0</v>
      </c>
      <c r="B1725" s="4" t="s">
        <v>3474</v>
      </c>
      <c r="C1725" s="4" t="s">
        <v>3475</v>
      </c>
      <c r="D1725" s="4" t="s">
        <v>27</v>
      </c>
      <c r="E1725" s="6">
        <v>31125.0</v>
      </c>
      <c r="F1725" s="6">
        <v>28849.2</v>
      </c>
      <c r="G1725" s="6">
        <v>0.0</v>
      </c>
      <c r="H1725" s="6">
        <v>65971.0</v>
      </c>
    </row>
    <row r="1726" ht="15.75" customHeight="1">
      <c r="A1726" s="4">
        <v>1723.0</v>
      </c>
      <c r="B1726" s="4" t="s">
        <v>3476</v>
      </c>
      <c r="C1726" s="4" t="s">
        <v>3477</v>
      </c>
      <c r="D1726" s="4" t="s">
        <v>27</v>
      </c>
      <c r="E1726" s="6">
        <v>36355.0</v>
      </c>
      <c r="F1726" s="6">
        <v>31249.2</v>
      </c>
      <c r="G1726" s="6">
        <v>0.0</v>
      </c>
      <c r="H1726" s="6">
        <v>74364.0</v>
      </c>
    </row>
    <row r="1727" ht="15.75" customHeight="1">
      <c r="A1727" s="4">
        <v>1724.0</v>
      </c>
      <c r="B1727" s="4" t="s">
        <v>3478</v>
      </c>
      <c r="C1727" s="4" t="s">
        <v>3479</v>
      </c>
      <c r="D1727" s="4" t="s">
        <v>27</v>
      </c>
      <c r="E1727" s="6">
        <v>49150.0</v>
      </c>
      <c r="F1727" s="6">
        <v>40249.2</v>
      </c>
      <c r="G1727" s="6">
        <v>0.0</v>
      </c>
      <c r="H1727" s="6">
        <v>98339.0</v>
      </c>
    </row>
    <row r="1728" ht="15.75" customHeight="1">
      <c r="A1728" s="4">
        <v>1725.0</v>
      </c>
      <c r="B1728" s="4" t="s">
        <v>3480</v>
      </c>
      <c r="C1728" s="4" t="s">
        <v>3481</v>
      </c>
      <c r="D1728" s="4" t="s">
        <v>27</v>
      </c>
      <c r="E1728" s="6">
        <v>61095.0</v>
      </c>
      <c r="F1728" s="6">
        <v>51349.2</v>
      </c>
      <c r="G1728" s="6">
        <v>0.0</v>
      </c>
      <c r="H1728" s="6">
        <v>123688.0</v>
      </c>
    </row>
    <row r="1729" ht="15.75" customHeight="1">
      <c r="A1729" s="4">
        <v>1726.0</v>
      </c>
      <c r="B1729" s="4" t="s">
        <v>3482</v>
      </c>
      <c r="C1729" s="4" t="s">
        <v>3483</v>
      </c>
      <c r="D1729" s="4" t="s">
        <v>27</v>
      </c>
      <c r="E1729" s="6">
        <v>72910.0</v>
      </c>
      <c r="F1729" s="6">
        <v>77749.2</v>
      </c>
      <c r="G1729" s="6">
        <v>0.0</v>
      </c>
      <c r="H1729" s="6">
        <v>165725.0</v>
      </c>
    </row>
    <row r="1730" ht="15.75" customHeight="1">
      <c r="A1730" s="4">
        <v>1727.0</v>
      </c>
      <c r="B1730" s="4" t="s">
        <v>3484</v>
      </c>
      <c r="C1730" s="4" t="s">
        <v>3485</v>
      </c>
      <c r="D1730" s="4" t="s">
        <v>27</v>
      </c>
      <c r="E1730" s="6">
        <v>97450.0</v>
      </c>
      <c r="F1730" s="6">
        <v>109549.2</v>
      </c>
      <c r="G1730" s="6">
        <v>0.0</v>
      </c>
      <c r="H1730" s="6">
        <v>227699.0</v>
      </c>
    </row>
    <row r="1731" ht="15.75" customHeight="1">
      <c r="A1731" s="9">
        <v>1728.0</v>
      </c>
      <c r="B1731" s="9" t="s">
        <v>3486</v>
      </c>
      <c r="C1731" s="10" t="s">
        <v>3487</v>
      </c>
      <c r="D1731" s="9"/>
      <c r="E1731" s="11"/>
      <c r="F1731" s="11"/>
      <c r="G1731" s="11"/>
      <c r="H1731" s="11"/>
    </row>
    <row r="1732" ht="15.75" customHeight="1">
      <c r="A1732" s="9">
        <v>1729.0</v>
      </c>
      <c r="B1732" s="9" t="s">
        <v>3488</v>
      </c>
      <c r="C1732" s="10" t="s">
        <v>3489</v>
      </c>
      <c r="D1732" s="9"/>
      <c r="E1732" s="11"/>
      <c r="F1732" s="11"/>
      <c r="G1732" s="11"/>
      <c r="H1732" s="11"/>
    </row>
    <row r="1733" ht="15.75" customHeight="1">
      <c r="A1733" s="4">
        <v>1730.0</v>
      </c>
      <c r="B1733" s="4" t="s">
        <v>3490</v>
      </c>
      <c r="C1733" s="4" t="s">
        <v>3491</v>
      </c>
      <c r="D1733" s="4" t="s">
        <v>2608</v>
      </c>
      <c r="E1733" s="6">
        <v>195650.0</v>
      </c>
      <c r="F1733" s="6">
        <v>7050649.999999999</v>
      </c>
      <c r="G1733" s="6">
        <v>0.0</v>
      </c>
      <c r="H1733" s="6">
        <v>7970930.0</v>
      </c>
    </row>
    <row r="1734" ht="15.75" customHeight="1">
      <c r="A1734" s="4">
        <v>1731.0</v>
      </c>
      <c r="B1734" s="4" t="s">
        <v>3492</v>
      </c>
      <c r="C1734" s="4" t="s">
        <v>3493</v>
      </c>
      <c r="D1734" s="4" t="s">
        <v>2608</v>
      </c>
      <c r="E1734" s="6">
        <v>243140.0</v>
      </c>
      <c r="F1734" s="6">
        <v>9656550.0</v>
      </c>
      <c r="G1734" s="6">
        <v>0.0</v>
      </c>
      <c r="H1734" s="6">
        <v>1.0889659E7</v>
      </c>
    </row>
    <row r="1735" ht="15.75" customHeight="1">
      <c r="A1735" s="4">
        <v>1732.0</v>
      </c>
      <c r="B1735" s="4" t="s">
        <v>3494</v>
      </c>
      <c r="C1735" s="4" t="s">
        <v>3495</v>
      </c>
      <c r="D1735" s="4" t="s">
        <v>2608</v>
      </c>
      <c r="E1735" s="6">
        <v>243140.0</v>
      </c>
      <c r="F1735" s="6">
        <v>1.1115E7</v>
      </c>
      <c r="G1735" s="6">
        <v>0.0</v>
      </c>
      <c r="H1735" s="6">
        <v>1.2493954E7</v>
      </c>
    </row>
    <row r="1736" ht="15.75" customHeight="1">
      <c r="A1736" s="4">
        <v>1733.0</v>
      </c>
      <c r="B1736" s="4" t="s">
        <v>3496</v>
      </c>
      <c r="C1736" s="4" t="s">
        <v>3497</v>
      </c>
      <c r="D1736" s="4" t="s">
        <v>2608</v>
      </c>
      <c r="E1736" s="6">
        <v>387025.0</v>
      </c>
      <c r="F1736" s="6">
        <v>1.8525E7</v>
      </c>
      <c r="G1736" s="6">
        <v>0.0</v>
      </c>
      <c r="H1736" s="6">
        <v>2.0803227E7</v>
      </c>
    </row>
    <row r="1737" ht="15.75" customHeight="1">
      <c r="A1737" s="4">
        <v>1734.0</v>
      </c>
      <c r="B1737" s="4" t="s">
        <v>3498</v>
      </c>
      <c r="C1737" s="4" t="s">
        <v>3499</v>
      </c>
      <c r="D1737" s="4" t="s">
        <v>2608</v>
      </c>
      <c r="E1737" s="6">
        <v>582875.0</v>
      </c>
      <c r="F1737" s="6">
        <v>1.885E7</v>
      </c>
      <c r="G1737" s="6">
        <v>0.0</v>
      </c>
      <c r="H1737" s="6">
        <v>2.1376162E7</v>
      </c>
    </row>
    <row r="1738" ht="15.75" customHeight="1">
      <c r="A1738" s="4">
        <v>1735.0</v>
      </c>
      <c r="B1738" s="4" t="s">
        <v>3500</v>
      </c>
      <c r="C1738" s="4" t="s">
        <v>3501</v>
      </c>
      <c r="D1738" s="4" t="s">
        <v>2608</v>
      </c>
      <c r="E1738" s="6">
        <v>776085.0</v>
      </c>
      <c r="F1738" s="6">
        <v>2.015E7</v>
      </c>
      <c r="G1738" s="6">
        <v>0.0</v>
      </c>
      <c r="H1738" s="6">
        <v>2.3018693E7</v>
      </c>
    </row>
    <row r="1739" ht="15.75" customHeight="1">
      <c r="A1739" s="4">
        <v>1736.0</v>
      </c>
      <c r="B1739" s="4" t="s">
        <v>3502</v>
      </c>
      <c r="C1739" s="4" t="s">
        <v>3503</v>
      </c>
      <c r="D1739" s="4" t="s">
        <v>2608</v>
      </c>
      <c r="E1739" s="6">
        <v>174635.0</v>
      </c>
      <c r="F1739" s="6">
        <v>2.665E7</v>
      </c>
      <c r="G1739" s="6">
        <v>0.0</v>
      </c>
      <c r="H1739" s="6">
        <v>2.9507098E7</v>
      </c>
    </row>
    <row r="1740" ht="15.75" customHeight="1">
      <c r="A1740" s="4">
        <v>1737.0</v>
      </c>
      <c r="B1740" s="4" t="s">
        <v>3504</v>
      </c>
      <c r="C1740" s="4" t="s">
        <v>3505</v>
      </c>
      <c r="D1740" s="4" t="s">
        <v>2608</v>
      </c>
      <c r="E1740" s="6">
        <v>232205.0</v>
      </c>
      <c r="F1740" s="6">
        <v>2.717E7</v>
      </c>
      <c r="G1740" s="6">
        <v>0.0</v>
      </c>
      <c r="H1740" s="6">
        <v>3.0142425E7</v>
      </c>
    </row>
    <row r="1741" ht="15.75" customHeight="1">
      <c r="A1741" s="4">
        <v>1738.0</v>
      </c>
      <c r="B1741" s="4" t="s">
        <v>3506</v>
      </c>
      <c r="C1741" s="4" t="s">
        <v>3507</v>
      </c>
      <c r="D1741" s="4" t="s">
        <v>2608</v>
      </c>
      <c r="E1741" s="6">
        <v>350670.0</v>
      </c>
      <c r="F1741" s="6">
        <v>3.939E7</v>
      </c>
      <c r="G1741" s="6">
        <v>0.0</v>
      </c>
      <c r="H1741" s="6">
        <v>4.3714737E7</v>
      </c>
    </row>
    <row r="1742" ht="15.75" customHeight="1">
      <c r="A1742" s="4">
        <v>1739.0</v>
      </c>
      <c r="B1742" s="4" t="s">
        <v>3508</v>
      </c>
      <c r="C1742" s="4" t="s">
        <v>3509</v>
      </c>
      <c r="D1742" s="4" t="s">
        <v>2608</v>
      </c>
      <c r="E1742" s="6">
        <v>97450.0</v>
      </c>
      <c r="F1742" s="6">
        <v>4204000.0</v>
      </c>
      <c r="G1742" s="6">
        <v>0.0</v>
      </c>
      <c r="H1742" s="6">
        <v>4731595.0</v>
      </c>
    </row>
    <row r="1743" ht="15.75" customHeight="1">
      <c r="A1743" s="4">
        <v>1740.0</v>
      </c>
      <c r="B1743" s="4" t="s">
        <v>3510</v>
      </c>
      <c r="C1743" s="4" t="s">
        <v>3511</v>
      </c>
      <c r="D1743" s="4" t="s">
        <v>2608</v>
      </c>
      <c r="E1743" s="6">
        <v>123015.0</v>
      </c>
      <c r="F1743" s="6">
        <v>4404000.0</v>
      </c>
      <c r="G1743" s="6">
        <v>0.0</v>
      </c>
      <c r="H1743" s="6">
        <v>4979716.0</v>
      </c>
    </row>
    <row r="1744" ht="15.75" customHeight="1">
      <c r="A1744" s="4">
        <v>1741.0</v>
      </c>
      <c r="B1744" s="4" t="s">
        <v>3512</v>
      </c>
      <c r="C1744" s="4" t="s">
        <v>3513</v>
      </c>
      <c r="D1744" s="4" t="s">
        <v>2608</v>
      </c>
      <c r="E1744" s="6">
        <v>145720.0</v>
      </c>
      <c r="F1744" s="6">
        <v>4604000.0</v>
      </c>
      <c r="G1744" s="6">
        <v>0.0</v>
      </c>
      <c r="H1744" s="6">
        <v>5224692.0</v>
      </c>
    </row>
    <row r="1745" ht="15.75" customHeight="1">
      <c r="A1745" s="4">
        <v>1742.0</v>
      </c>
      <c r="B1745" s="4" t="s">
        <v>3514</v>
      </c>
      <c r="C1745" s="4" t="s">
        <v>3515</v>
      </c>
      <c r="D1745" s="4" t="s">
        <v>2608</v>
      </c>
      <c r="E1745" s="6">
        <v>195650.0</v>
      </c>
      <c r="F1745" s="6">
        <v>4904000.0</v>
      </c>
      <c r="G1745" s="6">
        <v>0.0</v>
      </c>
      <c r="H1745" s="6">
        <v>5609615.0</v>
      </c>
    </row>
    <row r="1746" ht="15.75" customHeight="1">
      <c r="A1746" s="4">
        <v>1743.0</v>
      </c>
      <c r="B1746" s="4" t="s">
        <v>3516</v>
      </c>
      <c r="C1746" s="4" t="s">
        <v>3517</v>
      </c>
      <c r="D1746" s="4" t="s">
        <v>2608</v>
      </c>
      <c r="E1746" s="6">
        <v>291265.0</v>
      </c>
      <c r="F1746" s="6">
        <v>5104000.0</v>
      </c>
      <c r="G1746" s="6">
        <v>0.0</v>
      </c>
      <c r="H1746" s="6">
        <v>5934791.0</v>
      </c>
    </row>
    <row r="1747" ht="15.75" customHeight="1">
      <c r="A1747" s="4">
        <v>1744.0</v>
      </c>
      <c r="B1747" s="4" t="s">
        <v>3518</v>
      </c>
      <c r="C1747" s="4" t="s">
        <v>3519</v>
      </c>
      <c r="D1747" s="4" t="s">
        <v>2608</v>
      </c>
      <c r="E1747" s="6">
        <v>35575.0</v>
      </c>
      <c r="F1747" s="6">
        <v>730250.0</v>
      </c>
      <c r="G1747" s="6">
        <v>0.0</v>
      </c>
      <c r="H1747" s="6">
        <v>842407.0</v>
      </c>
    </row>
    <row r="1748" ht="15.75" customHeight="1">
      <c r="A1748" s="4">
        <v>1745.0</v>
      </c>
      <c r="B1748" s="4" t="s">
        <v>3520</v>
      </c>
      <c r="C1748" s="4" t="s">
        <v>3521</v>
      </c>
      <c r="D1748" s="4" t="s">
        <v>2608</v>
      </c>
      <c r="E1748" s="6">
        <v>70095.0</v>
      </c>
      <c r="F1748" s="6">
        <v>881474.9999999999</v>
      </c>
      <c r="G1748" s="6">
        <v>0.0</v>
      </c>
      <c r="H1748" s="6">
        <v>1046727.0</v>
      </c>
    </row>
    <row r="1749" ht="15.75" customHeight="1">
      <c r="A1749" s="4">
        <v>1746.0</v>
      </c>
      <c r="B1749" s="4" t="s">
        <v>3522</v>
      </c>
      <c r="C1749" s="4" t="s">
        <v>3523</v>
      </c>
      <c r="D1749" s="4" t="s">
        <v>2608</v>
      </c>
      <c r="E1749" s="6">
        <v>241305.0</v>
      </c>
      <c r="F1749" s="6">
        <v>1274000.0</v>
      </c>
      <c r="G1749" s="6">
        <v>0.0</v>
      </c>
      <c r="H1749" s="6">
        <v>1666835.0</v>
      </c>
    </row>
    <row r="1750" ht="15.75" customHeight="1">
      <c r="A1750" s="4">
        <v>1747.0</v>
      </c>
      <c r="B1750" s="4" t="s">
        <v>3524</v>
      </c>
      <c r="C1750" s="4" t="s">
        <v>3525</v>
      </c>
      <c r="D1750" s="4" t="s">
        <v>2608</v>
      </c>
      <c r="E1750" s="6">
        <v>359670.0</v>
      </c>
      <c r="F1750" s="6">
        <v>1495000.0</v>
      </c>
      <c r="G1750" s="6">
        <v>0.0</v>
      </c>
      <c r="H1750" s="6">
        <v>2040137.0</v>
      </c>
    </row>
    <row r="1751" ht="15.75" customHeight="1">
      <c r="A1751" s="4">
        <v>1748.0</v>
      </c>
      <c r="B1751" s="4" t="s">
        <v>3526</v>
      </c>
      <c r="C1751" s="4" t="s">
        <v>3527</v>
      </c>
      <c r="D1751" s="4" t="s">
        <v>2608</v>
      </c>
      <c r="E1751" s="6">
        <v>275825.0</v>
      </c>
      <c r="F1751" s="6">
        <v>1430000.0</v>
      </c>
      <c r="G1751" s="6">
        <v>0.0</v>
      </c>
      <c r="H1751" s="6">
        <v>1876407.0</v>
      </c>
    </row>
    <row r="1752" ht="15.75" customHeight="1">
      <c r="A1752" s="4">
        <v>1749.0</v>
      </c>
      <c r="B1752" s="4" t="s">
        <v>3528</v>
      </c>
      <c r="C1752" s="4" t="s">
        <v>3529</v>
      </c>
      <c r="D1752" s="4" t="s">
        <v>2608</v>
      </c>
      <c r="E1752" s="6">
        <v>291265.0</v>
      </c>
      <c r="F1752" s="6">
        <v>1650000.0</v>
      </c>
      <c r="G1752" s="6">
        <v>0.0</v>
      </c>
      <c r="H1752" s="6">
        <v>2135391.0</v>
      </c>
    </row>
    <row r="1753" ht="15.75" customHeight="1">
      <c r="A1753" s="4">
        <v>1750.0</v>
      </c>
      <c r="B1753" s="4" t="s">
        <v>3530</v>
      </c>
      <c r="C1753" s="4" t="s">
        <v>3531</v>
      </c>
      <c r="D1753" s="4" t="s">
        <v>2608</v>
      </c>
      <c r="E1753" s="6">
        <v>80275.0</v>
      </c>
      <c r="F1753" s="6">
        <v>1447850.0</v>
      </c>
      <c r="G1753" s="6">
        <v>0.0</v>
      </c>
      <c r="H1753" s="6">
        <v>1680937.0</v>
      </c>
    </row>
    <row r="1754" ht="15.75" customHeight="1">
      <c r="A1754" s="4">
        <v>1751.0</v>
      </c>
      <c r="B1754" s="4" t="s">
        <v>3532</v>
      </c>
      <c r="C1754" s="4" t="s">
        <v>3533</v>
      </c>
      <c r="D1754" s="4" t="s">
        <v>2608</v>
      </c>
      <c r="E1754" s="6">
        <v>24640.0</v>
      </c>
      <c r="F1754" s="6">
        <v>1650000.0</v>
      </c>
      <c r="G1754" s="6">
        <v>0.0</v>
      </c>
      <c r="H1754" s="6">
        <v>1842104.0</v>
      </c>
    </row>
    <row r="1755" ht="15.75" customHeight="1">
      <c r="A1755" s="9">
        <v>1752.0</v>
      </c>
      <c r="B1755" s="9" t="s">
        <v>3534</v>
      </c>
      <c r="C1755" s="10" t="s">
        <v>3535</v>
      </c>
      <c r="D1755" s="9"/>
      <c r="E1755" s="11"/>
      <c r="F1755" s="11"/>
      <c r="G1755" s="11"/>
      <c r="H1755" s="11"/>
    </row>
    <row r="1756" ht="15.75" customHeight="1">
      <c r="A1756" s="4">
        <v>1753.0</v>
      </c>
      <c r="B1756" s="4" t="s">
        <v>3536</v>
      </c>
      <c r="C1756" s="4" t="s">
        <v>3537</v>
      </c>
      <c r="D1756" s="4" t="s">
        <v>2608</v>
      </c>
      <c r="E1756" s="6">
        <v>19990.0</v>
      </c>
      <c r="F1756" s="6">
        <v>93500.00000000001</v>
      </c>
      <c r="G1756" s="6">
        <v>0.0</v>
      </c>
      <c r="H1756" s="6">
        <v>124839.0</v>
      </c>
    </row>
    <row r="1757" ht="15.75" customHeight="1">
      <c r="A1757" s="4">
        <v>1754.0</v>
      </c>
      <c r="B1757" s="4" t="s">
        <v>3538</v>
      </c>
      <c r="C1757" s="4" t="s">
        <v>3539</v>
      </c>
      <c r="D1757" s="4" t="s">
        <v>2608</v>
      </c>
      <c r="E1757" s="6">
        <v>19990.0</v>
      </c>
      <c r="F1757" s="6">
        <v>91190.00000000001</v>
      </c>
      <c r="G1757" s="6">
        <v>0.0</v>
      </c>
      <c r="H1757" s="6">
        <v>122298.0</v>
      </c>
    </row>
    <row r="1758" ht="15.75" customHeight="1">
      <c r="A1758" s="4">
        <v>1755.0</v>
      </c>
      <c r="B1758" s="4" t="s">
        <v>3540</v>
      </c>
      <c r="C1758" s="4" t="s">
        <v>3541</v>
      </c>
      <c r="D1758" s="4" t="s">
        <v>2608</v>
      </c>
      <c r="E1758" s="6">
        <v>485455.0000000001</v>
      </c>
      <c r="F1758" s="6">
        <v>4125000.0</v>
      </c>
      <c r="G1758" s="6">
        <v>0.0</v>
      </c>
      <c r="H1758" s="6">
        <v>5071500.0</v>
      </c>
    </row>
    <row r="1759" ht="15.75" customHeight="1">
      <c r="A1759" s="4">
        <v>1756.0</v>
      </c>
      <c r="B1759" s="4" t="s">
        <v>3542</v>
      </c>
      <c r="C1759" s="4" t="s">
        <v>3543</v>
      </c>
      <c r="D1759" s="4" t="s">
        <v>2608</v>
      </c>
      <c r="E1759" s="6">
        <v>485455.0000000001</v>
      </c>
      <c r="F1759" s="6">
        <v>1320000.0</v>
      </c>
      <c r="G1759" s="6">
        <v>0.0</v>
      </c>
      <c r="H1759" s="6">
        <v>1986000.0</v>
      </c>
    </row>
    <row r="1760" ht="15.75" customHeight="1">
      <c r="A1760" s="4">
        <v>1757.0</v>
      </c>
      <c r="B1760" s="4" t="s">
        <v>3544</v>
      </c>
      <c r="C1760" s="4" t="s">
        <v>3545</v>
      </c>
      <c r="D1760" s="4" t="s">
        <v>2608</v>
      </c>
      <c r="E1760" s="6">
        <v>678490.0</v>
      </c>
      <c r="F1760" s="6">
        <v>1870000.0</v>
      </c>
      <c r="G1760" s="6">
        <v>0.0</v>
      </c>
      <c r="H1760" s="6">
        <v>2803339.0</v>
      </c>
    </row>
    <row r="1761" ht="15.75" customHeight="1">
      <c r="A1761" s="4">
        <v>1758.0</v>
      </c>
      <c r="B1761" s="4" t="s">
        <v>3546</v>
      </c>
      <c r="C1761" s="4" t="s">
        <v>3547</v>
      </c>
      <c r="D1761" s="4" t="s">
        <v>2608</v>
      </c>
      <c r="E1761" s="6">
        <v>291265.0</v>
      </c>
      <c r="F1761" s="6">
        <v>2420000.0</v>
      </c>
      <c r="G1761" s="6">
        <v>0.0</v>
      </c>
      <c r="H1761" s="6">
        <v>2982391.0</v>
      </c>
    </row>
    <row r="1762" ht="15.75" customHeight="1">
      <c r="A1762" s="9">
        <v>1759.0</v>
      </c>
      <c r="B1762" s="9" t="s">
        <v>3548</v>
      </c>
      <c r="C1762" s="10" t="s">
        <v>3549</v>
      </c>
      <c r="D1762" s="9"/>
      <c r="E1762" s="11"/>
      <c r="F1762" s="11"/>
      <c r="G1762" s="11"/>
      <c r="H1762" s="11"/>
    </row>
    <row r="1763" ht="15.75" customHeight="1">
      <c r="A1763" s="4">
        <v>1760.0</v>
      </c>
      <c r="B1763" s="4" t="s">
        <v>3550</v>
      </c>
      <c r="C1763" s="4" t="s">
        <v>3551</v>
      </c>
      <c r="D1763" s="4" t="s">
        <v>2608</v>
      </c>
      <c r="E1763" s="6">
        <v>39170.0</v>
      </c>
      <c r="F1763" s="6">
        <v>188650.0</v>
      </c>
      <c r="G1763" s="6">
        <v>0.0</v>
      </c>
      <c r="H1763" s="6">
        <v>250602.0</v>
      </c>
    </row>
    <row r="1764" ht="15.75" customHeight="1">
      <c r="A1764" s="4">
        <v>1761.0</v>
      </c>
      <c r="B1764" s="4" t="s">
        <v>3552</v>
      </c>
      <c r="C1764" s="4" t="s">
        <v>3553</v>
      </c>
      <c r="D1764" s="4" t="s">
        <v>2608</v>
      </c>
      <c r="E1764" s="6">
        <v>39170.0</v>
      </c>
      <c r="F1764" s="6">
        <v>250690.0</v>
      </c>
      <c r="G1764" s="6">
        <v>0.0</v>
      </c>
      <c r="H1764" s="6">
        <v>318846.0</v>
      </c>
    </row>
    <row r="1765" ht="15.75" customHeight="1">
      <c r="A1765" s="4">
        <v>1762.0</v>
      </c>
      <c r="B1765" s="4" t="s">
        <v>3554</v>
      </c>
      <c r="C1765" s="4" t="s">
        <v>3555</v>
      </c>
      <c r="D1765" s="4" t="s">
        <v>2608</v>
      </c>
      <c r="E1765" s="6">
        <v>39170.0</v>
      </c>
      <c r="F1765" s="6">
        <v>2090000.0</v>
      </c>
      <c r="G1765" s="6">
        <v>0.0</v>
      </c>
      <c r="H1765" s="6">
        <v>2342087.0</v>
      </c>
    </row>
    <row r="1766" ht="15.75" customHeight="1">
      <c r="A1766" s="9">
        <v>1763.0</v>
      </c>
      <c r="B1766" s="9" t="s">
        <v>3556</v>
      </c>
      <c r="C1766" s="10" t="s">
        <v>3557</v>
      </c>
      <c r="D1766" s="9"/>
      <c r="E1766" s="11"/>
      <c r="F1766" s="11"/>
      <c r="G1766" s="11"/>
      <c r="H1766" s="11"/>
    </row>
    <row r="1767" ht="15.75" customHeight="1">
      <c r="A1767" s="4">
        <v>1764.0</v>
      </c>
      <c r="B1767" s="4" t="s">
        <v>3558</v>
      </c>
      <c r="C1767" s="4" t="s">
        <v>3559</v>
      </c>
      <c r="D1767" s="4" t="s">
        <v>2608</v>
      </c>
      <c r="E1767" s="6">
        <v>2424375.0</v>
      </c>
      <c r="F1767" s="6">
        <v>7770000.0</v>
      </c>
      <c r="G1767" s="6">
        <v>0.0</v>
      </c>
      <c r="H1767" s="6">
        <v>1.1213812E7</v>
      </c>
    </row>
    <row r="1768" ht="15.75" customHeight="1">
      <c r="A1768" s="4">
        <v>1765.0</v>
      </c>
      <c r="B1768" s="4" t="s">
        <v>3560</v>
      </c>
      <c r="C1768" s="4" t="s">
        <v>3561</v>
      </c>
      <c r="D1768" s="4" t="s">
        <v>2608</v>
      </c>
      <c r="E1768" s="6">
        <v>8729265.0</v>
      </c>
      <c r="F1768" s="6">
        <v>1.05E7</v>
      </c>
      <c r="G1768" s="6">
        <v>0.0</v>
      </c>
      <c r="H1768" s="6">
        <v>2.1152191E7</v>
      </c>
    </row>
    <row r="1769" ht="15.75" customHeight="1">
      <c r="A1769" s="4">
        <v>1766.0</v>
      </c>
      <c r="B1769" s="4" t="s">
        <v>3562</v>
      </c>
      <c r="C1769" s="4" t="s">
        <v>3563</v>
      </c>
      <c r="D1769" s="4" t="s">
        <v>2608</v>
      </c>
      <c r="E1769" s="6">
        <v>1.1657525E7</v>
      </c>
      <c r="F1769" s="6">
        <v>1.26E7</v>
      </c>
      <c r="G1769" s="6">
        <v>0.0</v>
      </c>
      <c r="H1769" s="6">
        <v>2.6683277E7</v>
      </c>
    </row>
    <row r="1770" ht="15.75" customHeight="1">
      <c r="A1770" s="4">
        <v>1767.0</v>
      </c>
      <c r="B1770" s="4" t="s">
        <v>3564</v>
      </c>
      <c r="C1770" s="4" t="s">
        <v>3565</v>
      </c>
      <c r="D1770" s="4" t="s">
        <v>2608</v>
      </c>
      <c r="E1770" s="6">
        <v>9700735.0</v>
      </c>
      <c r="F1770" s="6">
        <v>1.47E7</v>
      </c>
      <c r="G1770" s="6">
        <v>0.0</v>
      </c>
      <c r="H1770" s="6">
        <v>2.6840808E7</v>
      </c>
    </row>
    <row r="1771" ht="15.75" customHeight="1">
      <c r="A1771" s="4">
        <v>1768.0</v>
      </c>
      <c r="B1771" s="4" t="s">
        <v>3566</v>
      </c>
      <c r="C1771" s="4" t="s">
        <v>3567</v>
      </c>
      <c r="D1771" s="4" t="s">
        <v>2608</v>
      </c>
      <c r="E1771" s="6">
        <v>1.279741E7</v>
      </c>
      <c r="F1771" s="6">
        <v>1.26E7</v>
      </c>
      <c r="G1771" s="6">
        <v>0.0</v>
      </c>
      <c r="H1771" s="6">
        <v>2.7937151E7</v>
      </c>
    </row>
    <row r="1772" ht="15.75" customHeight="1">
      <c r="A1772" s="9">
        <v>1769.0</v>
      </c>
      <c r="B1772" s="9" t="s">
        <v>3568</v>
      </c>
      <c r="C1772" s="10" t="s">
        <v>3569</v>
      </c>
      <c r="D1772" s="9"/>
      <c r="E1772" s="11"/>
      <c r="F1772" s="11"/>
      <c r="G1772" s="11"/>
      <c r="H1772" s="11"/>
    </row>
    <row r="1773" ht="15.75" customHeight="1">
      <c r="A1773" s="9">
        <v>1770.0</v>
      </c>
      <c r="B1773" s="9" t="s">
        <v>3570</v>
      </c>
      <c r="C1773" s="10" t="s">
        <v>3571</v>
      </c>
      <c r="D1773" s="9"/>
      <c r="E1773" s="11"/>
      <c r="F1773" s="11"/>
      <c r="G1773" s="11"/>
      <c r="H1773" s="11"/>
    </row>
    <row r="1774" ht="15.75" customHeight="1">
      <c r="A1774" s="4">
        <v>1771.0</v>
      </c>
      <c r="B1774" s="4" t="s">
        <v>3572</v>
      </c>
      <c r="C1774" s="4" t="s">
        <v>3573</v>
      </c>
      <c r="D1774" s="4" t="s">
        <v>2608</v>
      </c>
      <c r="E1774" s="6">
        <v>0.0</v>
      </c>
      <c r="F1774" s="6">
        <v>0.0</v>
      </c>
      <c r="G1774" s="6">
        <v>0.0</v>
      </c>
      <c r="H1774" s="6">
        <v>0.0</v>
      </c>
    </row>
    <row r="1775" ht="15.75" customHeight="1">
      <c r="A1775" s="9">
        <v>1772.0</v>
      </c>
      <c r="B1775" s="9" t="s">
        <v>3574</v>
      </c>
      <c r="C1775" s="10" t="s">
        <v>3575</v>
      </c>
      <c r="D1775" s="9"/>
      <c r="E1775" s="11"/>
      <c r="F1775" s="11"/>
      <c r="G1775" s="11"/>
      <c r="H1775" s="11"/>
    </row>
    <row r="1776" ht="15.75" customHeight="1">
      <c r="A1776" s="4">
        <v>1773.0</v>
      </c>
      <c r="B1776" s="4" t="s">
        <v>3576</v>
      </c>
      <c r="C1776" s="4" t="s">
        <v>3577</v>
      </c>
      <c r="D1776" s="4" t="s">
        <v>2608</v>
      </c>
      <c r="E1776" s="6">
        <v>246355.0</v>
      </c>
      <c r="F1776" s="6">
        <v>1.32E7</v>
      </c>
      <c r="G1776" s="6">
        <v>0.0</v>
      </c>
      <c r="H1776" s="6">
        <v>1.479099E7</v>
      </c>
    </row>
    <row r="1777" ht="15.75" customHeight="1">
      <c r="A1777" s="4">
        <v>1774.0</v>
      </c>
      <c r="B1777" s="4" t="s">
        <v>3578</v>
      </c>
      <c r="C1777" s="4" t="s">
        <v>3579</v>
      </c>
      <c r="D1777" s="4" t="s">
        <v>2608</v>
      </c>
      <c r="E1777" s="6">
        <v>294235.0</v>
      </c>
      <c r="F1777" s="6">
        <v>4.032000000000001E7</v>
      </c>
      <c r="G1777" s="6">
        <v>0.0</v>
      </c>
      <c r="H1777" s="6">
        <v>4.4675658E7</v>
      </c>
    </row>
    <row r="1778" ht="15.75" customHeight="1">
      <c r="A1778" s="4">
        <v>1775.0</v>
      </c>
      <c r="B1778" s="4" t="s">
        <v>3580</v>
      </c>
      <c r="C1778" s="4" t="s">
        <v>3581</v>
      </c>
      <c r="D1778" s="4" t="s">
        <v>2608</v>
      </c>
      <c r="E1778" s="6">
        <v>159070.0</v>
      </c>
      <c r="F1778" s="6">
        <v>7359999.999999999</v>
      </c>
      <c r="G1778" s="6">
        <v>0.0</v>
      </c>
      <c r="H1778" s="6">
        <v>8270977.0</v>
      </c>
    </row>
    <row r="1779" ht="15.75" customHeight="1">
      <c r="A1779" s="4">
        <v>1776.0</v>
      </c>
      <c r="B1779" s="4" t="s">
        <v>3582</v>
      </c>
      <c r="C1779" s="4" t="s">
        <v>3583</v>
      </c>
      <c r="D1779" s="4" t="s">
        <v>2608</v>
      </c>
      <c r="E1779" s="6">
        <v>246355.0</v>
      </c>
      <c r="F1779" s="6">
        <v>1.725E7</v>
      </c>
      <c r="G1779" s="6">
        <v>0.0</v>
      </c>
      <c r="H1779" s="6">
        <v>1.924599E7</v>
      </c>
    </row>
    <row r="1780" ht="15.75" customHeight="1">
      <c r="A1780" s="4">
        <v>1777.0</v>
      </c>
      <c r="B1780" s="4" t="s">
        <v>3584</v>
      </c>
      <c r="C1780" s="4" t="s">
        <v>3585</v>
      </c>
      <c r="D1780" s="4" t="s">
        <v>2608</v>
      </c>
      <c r="E1780" s="6">
        <v>294235.0</v>
      </c>
      <c r="F1780" s="6">
        <v>5.519999999999999E7</v>
      </c>
      <c r="G1780" s="6">
        <v>0.0</v>
      </c>
      <c r="H1780" s="6">
        <v>6.1043658E7</v>
      </c>
    </row>
    <row r="1781" ht="15.75" customHeight="1">
      <c r="A1781" s="4">
        <v>1778.0</v>
      </c>
      <c r="B1781" s="4" t="s">
        <v>3586</v>
      </c>
      <c r="C1781" s="4" t="s">
        <v>3587</v>
      </c>
      <c r="D1781" s="4" t="s">
        <v>2608</v>
      </c>
      <c r="E1781" s="6">
        <v>48950.0</v>
      </c>
      <c r="F1781" s="6">
        <v>1122000.0</v>
      </c>
      <c r="G1781" s="6">
        <v>0.0</v>
      </c>
      <c r="H1781" s="6">
        <v>1288045.0</v>
      </c>
    </row>
    <row r="1782" ht="15.75" customHeight="1">
      <c r="A1782" s="4">
        <v>1779.0</v>
      </c>
      <c r="B1782" s="4" t="s">
        <v>3588</v>
      </c>
      <c r="C1782" s="4" t="s">
        <v>3589</v>
      </c>
      <c r="D1782" s="4" t="s">
        <v>2608</v>
      </c>
      <c r="E1782" s="6">
        <v>159070.0</v>
      </c>
      <c r="F1782" s="6">
        <v>1785000.0</v>
      </c>
      <c r="G1782" s="6">
        <v>0.0</v>
      </c>
      <c r="H1782" s="6">
        <v>2138477.0</v>
      </c>
    </row>
    <row r="1783" ht="15.75" customHeight="1">
      <c r="A1783" s="4">
        <v>1780.0</v>
      </c>
      <c r="B1783" s="4" t="s">
        <v>3590</v>
      </c>
      <c r="C1783" s="4" t="s">
        <v>3591</v>
      </c>
      <c r="D1783" s="4" t="s">
        <v>2608</v>
      </c>
      <c r="E1783" s="6">
        <v>159070.0</v>
      </c>
      <c r="F1783" s="6">
        <v>3570000.0</v>
      </c>
      <c r="G1783" s="6">
        <v>0.0</v>
      </c>
      <c r="H1783" s="6">
        <v>4101977.0</v>
      </c>
    </row>
    <row r="1784" ht="15.75" customHeight="1">
      <c r="A1784" s="4">
        <v>1781.0</v>
      </c>
      <c r="B1784" s="4" t="s">
        <v>3592</v>
      </c>
      <c r="C1784" s="4" t="s">
        <v>3593</v>
      </c>
      <c r="D1784" s="4" t="s">
        <v>2608</v>
      </c>
      <c r="E1784" s="6">
        <v>246355.0</v>
      </c>
      <c r="F1784" s="6">
        <v>4830000.0</v>
      </c>
      <c r="G1784" s="6">
        <v>0.0</v>
      </c>
      <c r="H1784" s="6">
        <v>5583990.0</v>
      </c>
    </row>
    <row r="1785" ht="15.75" customHeight="1">
      <c r="A1785" s="4">
        <v>1782.0</v>
      </c>
      <c r="B1785" s="4" t="s">
        <v>3594</v>
      </c>
      <c r="C1785" s="4" t="s">
        <v>3595</v>
      </c>
      <c r="D1785" s="4" t="s">
        <v>2608</v>
      </c>
      <c r="E1785" s="6">
        <v>246355.0</v>
      </c>
      <c r="F1785" s="6">
        <v>5555000.0</v>
      </c>
      <c r="G1785" s="6">
        <v>0.0</v>
      </c>
      <c r="H1785" s="6">
        <v>6381490.0</v>
      </c>
    </row>
    <row r="1786" ht="15.75" customHeight="1">
      <c r="A1786" s="4">
        <v>1783.0</v>
      </c>
      <c r="B1786" s="4" t="s">
        <v>3596</v>
      </c>
      <c r="C1786" s="4" t="s">
        <v>3597</v>
      </c>
      <c r="D1786" s="4" t="s">
        <v>2608</v>
      </c>
      <c r="E1786" s="6">
        <v>246355.0</v>
      </c>
      <c r="F1786" s="6">
        <v>6969000.0</v>
      </c>
      <c r="G1786" s="6">
        <v>0.0</v>
      </c>
      <c r="H1786" s="6">
        <v>7936890.0</v>
      </c>
    </row>
    <row r="1787" ht="15.75" customHeight="1">
      <c r="A1787" s="4">
        <v>1784.0</v>
      </c>
      <c r="B1787" s="4" t="s">
        <v>3598</v>
      </c>
      <c r="C1787" s="4" t="s">
        <v>3599</v>
      </c>
      <c r="D1787" s="4" t="s">
        <v>2608</v>
      </c>
      <c r="E1787" s="6">
        <v>246355.0</v>
      </c>
      <c r="F1787" s="6">
        <v>7171000.0</v>
      </c>
      <c r="G1787" s="6">
        <v>0.0</v>
      </c>
      <c r="H1787" s="6">
        <v>8159090.0</v>
      </c>
    </row>
    <row r="1788" ht="15.75" customHeight="1">
      <c r="A1788" s="4">
        <v>1785.0</v>
      </c>
      <c r="B1788" s="4" t="s">
        <v>3600</v>
      </c>
      <c r="C1788" s="4" t="s">
        <v>3601</v>
      </c>
      <c r="D1788" s="4" t="s">
        <v>2608</v>
      </c>
      <c r="E1788" s="6">
        <v>290465.0</v>
      </c>
      <c r="F1788" s="6">
        <v>7928500.0</v>
      </c>
      <c r="G1788" s="6">
        <v>0.0</v>
      </c>
      <c r="H1788" s="6">
        <v>9040861.0</v>
      </c>
    </row>
    <row r="1789" ht="15.75" customHeight="1">
      <c r="A1789" s="4">
        <v>1786.0</v>
      </c>
      <c r="B1789" s="4" t="s">
        <v>3602</v>
      </c>
      <c r="C1789" s="4" t="s">
        <v>3603</v>
      </c>
      <c r="D1789" s="4" t="s">
        <v>43</v>
      </c>
      <c r="E1789" s="6">
        <v>294235.0</v>
      </c>
      <c r="F1789" s="6">
        <v>1.65E7</v>
      </c>
      <c r="G1789" s="6">
        <v>0.0</v>
      </c>
      <c r="H1789" s="6">
        <v>1.8473658E7</v>
      </c>
    </row>
    <row r="1790" ht="15.75" customHeight="1">
      <c r="A1790" s="4">
        <v>1787.0</v>
      </c>
      <c r="B1790" s="4" t="s">
        <v>3604</v>
      </c>
      <c r="C1790" s="4" t="s">
        <v>3605</v>
      </c>
      <c r="D1790" s="4" t="s">
        <v>43</v>
      </c>
      <c r="E1790" s="6">
        <v>294235.0</v>
      </c>
      <c r="F1790" s="6">
        <v>1.375E7</v>
      </c>
      <c r="G1790" s="6">
        <v>0.0</v>
      </c>
      <c r="H1790" s="6">
        <v>1.5448658E7</v>
      </c>
    </row>
    <row r="1791" ht="15.75" customHeight="1">
      <c r="A1791" s="9">
        <v>1788.0</v>
      </c>
      <c r="B1791" s="9" t="s">
        <v>3606</v>
      </c>
      <c r="C1791" s="10" t="s">
        <v>3607</v>
      </c>
      <c r="D1791" s="9"/>
      <c r="E1791" s="11"/>
      <c r="F1791" s="11"/>
      <c r="G1791" s="11"/>
      <c r="H1791" s="11"/>
    </row>
    <row r="1792" ht="15.75" customHeight="1">
      <c r="A1792" s="9">
        <v>1789.0</v>
      </c>
      <c r="B1792" s="9" t="s">
        <v>3608</v>
      </c>
      <c r="C1792" s="10" t="s">
        <v>3609</v>
      </c>
      <c r="D1792" s="9"/>
      <c r="E1792" s="11"/>
      <c r="F1792" s="11"/>
      <c r="G1792" s="11"/>
      <c r="H1792" s="11"/>
    </row>
    <row r="1793" ht="15.75" customHeight="1">
      <c r="A1793" s="9">
        <v>1790.0</v>
      </c>
      <c r="B1793" s="9" t="s">
        <v>3610</v>
      </c>
      <c r="C1793" s="10" t="s">
        <v>3611</v>
      </c>
      <c r="D1793" s="9"/>
      <c r="E1793" s="11"/>
      <c r="F1793" s="11"/>
      <c r="G1793" s="11"/>
      <c r="H1793" s="11"/>
    </row>
    <row r="1794" ht="15.75" customHeight="1">
      <c r="A1794" s="4">
        <v>1791.0</v>
      </c>
      <c r="B1794" s="4" t="s">
        <v>3612</v>
      </c>
      <c r="C1794" s="4" t="s">
        <v>3613</v>
      </c>
      <c r="D1794" s="4" t="s">
        <v>2608</v>
      </c>
      <c r="E1794" s="6">
        <v>278115.0</v>
      </c>
      <c r="F1794" s="6">
        <v>1025000.0</v>
      </c>
      <c r="G1794" s="6">
        <v>0.0</v>
      </c>
      <c r="H1794" s="6">
        <v>1433426.0</v>
      </c>
    </row>
    <row r="1795" ht="15.75" customHeight="1">
      <c r="A1795" s="4">
        <v>1792.0</v>
      </c>
      <c r="B1795" s="4" t="s">
        <v>3614</v>
      </c>
      <c r="C1795" s="4" t="s">
        <v>3615</v>
      </c>
      <c r="D1795" s="4" t="s">
        <v>2608</v>
      </c>
      <c r="E1795" s="6">
        <v>159070.0</v>
      </c>
      <c r="F1795" s="6">
        <v>3044250.0</v>
      </c>
      <c r="G1795" s="6">
        <v>0.0</v>
      </c>
      <c r="H1795" s="6">
        <v>3523652.0</v>
      </c>
    </row>
    <row r="1796" ht="15.75" customHeight="1">
      <c r="A1796" s="4">
        <v>1793.0</v>
      </c>
      <c r="B1796" s="4" t="s">
        <v>3616</v>
      </c>
      <c r="C1796" s="4" t="s">
        <v>3617</v>
      </c>
      <c r="D1796" s="4" t="s">
        <v>2608</v>
      </c>
      <c r="E1796" s="6">
        <v>159070.0</v>
      </c>
      <c r="F1796" s="6">
        <v>1230000.0</v>
      </c>
      <c r="G1796" s="6">
        <v>0.0</v>
      </c>
      <c r="H1796" s="6">
        <v>1527977.0</v>
      </c>
    </row>
    <row r="1797" ht="15.75" customHeight="1">
      <c r="A1797" s="4">
        <v>1794.0</v>
      </c>
      <c r="B1797" s="4" t="s">
        <v>3618</v>
      </c>
      <c r="C1797" s="4" t="s">
        <v>3619</v>
      </c>
      <c r="D1797" s="4" t="s">
        <v>2608</v>
      </c>
      <c r="E1797" s="6">
        <v>290855.0</v>
      </c>
      <c r="F1797" s="6">
        <v>990000.0000000001</v>
      </c>
      <c r="G1797" s="6">
        <v>0.0</v>
      </c>
      <c r="H1797" s="6">
        <v>1408940.0</v>
      </c>
    </row>
    <row r="1798" ht="15.75" customHeight="1">
      <c r="A1798" s="4">
        <v>1795.0</v>
      </c>
      <c r="B1798" s="4" t="s">
        <v>3620</v>
      </c>
      <c r="C1798" s="4" t="s">
        <v>3621</v>
      </c>
      <c r="D1798" s="4" t="s">
        <v>2608</v>
      </c>
      <c r="E1798" s="6">
        <v>290855.0</v>
      </c>
      <c r="F1798" s="6">
        <v>1320000.0</v>
      </c>
      <c r="G1798" s="6">
        <v>0.0</v>
      </c>
      <c r="H1798" s="6">
        <v>1771940.0</v>
      </c>
    </row>
    <row r="1799" ht="15.75" customHeight="1">
      <c r="A1799" s="4">
        <v>1796.0</v>
      </c>
      <c r="B1799" s="4" t="s">
        <v>3622</v>
      </c>
      <c r="C1799" s="4" t="s">
        <v>3623</v>
      </c>
      <c r="D1799" s="4" t="s">
        <v>2608</v>
      </c>
      <c r="E1799" s="6">
        <v>290855.0</v>
      </c>
      <c r="F1799" s="6">
        <v>2200000.0</v>
      </c>
      <c r="G1799" s="6">
        <v>0.0</v>
      </c>
      <c r="H1799" s="6">
        <v>2739940.0</v>
      </c>
    </row>
    <row r="1800" ht="15.75" customHeight="1">
      <c r="A1800" s="4">
        <v>1797.0</v>
      </c>
      <c r="B1800" s="4" t="s">
        <v>3624</v>
      </c>
      <c r="C1800" s="4" t="s">
        <v>3625</v>
      </c>
      <c r="D1800" s="4" t="s">
        <v>2608</v>
      </c>
      <c r="E1800" s="6">
        <v>238280.0</v>
      </c>
      <c r="F1800" s="6">
        <v>1050000.0</v>
      </c>
      <c r="G1800" s="6">
        <v>0.0</v>
      </c>
      <c r="H1800" s="6">
        <v>1417108.0</v>
      </c>
    </row>
    <row r="1801" ht="15.75" customHeight="1">
      <c r="A1801" s="4">
        <v>1798.0</v>
      </c>
      <c r="B1801" s="4" t="s">
        <v>3626</v>
      </c>
      <c r="C1801" s="4" t="s">
        <v>3627</v>
      </c>
      <c r="D1801" s="4" t="s">
        <v>2608</v>
      </c>
      <c r="E1801" s="6">
        <v>278260.0</v>
      </c>
      <c r="F1801" s="6">
        <v>3675000.0</v>
      </c>
      <c r="G1801" s="6">
        <v>0.0</v>
      </c>
      <c r="H1801" s="6">
        <v>4348586.0</v>
      </c>
    </row>
    <row r="1802" ht="15.75" customHeight="1">
      <c r="A1802" s="4">
        <v>1799.0</v>
      </c>
      <c r="B1802" s="4" t="s">
        <v>3628</v>
      </c>
      <c r="C1802" s="4" t="s">
        <v>3629</v>
      </c>
      <c r="D1802" s="4" t="s">
        <v>2608</v>
      </c>
      <c r="E1802" s="6">
        <v>290855.0</v>
      </c>
      <c r="F1802" s="6">
        <v>803000.0000000001</v>
      </c>
      <c r="G1802" s="6">
        <v>0.0</v>
      </c>
      <c r="H1802" s="6">
        <v>1203240.0</v>
      </c>
    </row>
    <row r="1803" ht="15.75" customHeight="1">
      <c r="A1803" s="9">
        <v>1800.0</v>
      </c>
      <c r="B1803" s="9" t="s">
        <v>3630</v>
      </c>
      <c r="C1803" s="10" t="s">
        <v>3631</v>
      </c>
      <c r="D1803" s="9"/>
      <c r="E1803" s="11"/>
      <c r="F1803" s="11"/>
      <c r="G1803" s="11"/>
      <c r="H1803" s="11"/>
    </row>
    <row r="1804" ht="15.75" customHeight="1">
      <c r="A1804" s="4">
        <v>1801.0</v>
      </c>
      <c r="B1804" s="4" t="s">
        <v>3632</v>
      </c>
      <c r="C1804" s="4" t="s">
        <v>3633</v>
      </c>
      <c r="D1804" s="4" t="s">
        <v>2608</v>
      </c>
      <c r="E1804" s="6">
        <v>420980.0</v>
      </c>
      <c r="F1804" s="6">
        <v>2562500.0</v>
      </c>
      <c r="G1804" s="6">
        <v>0.0</v>
      </c>
      <c r="H1804" s="6">
        <v>3281828.0</v>
      </c>
    </row>
    <row r="1805" ht="15.75" customHeight="1">
      <c r="A1805" s="4">
        <v>1802.0</v>
      </c>
      <c r="B1805" s="4" t="s">
        <v>3634</v>
      </c>
      <c r="C1805" s="4" t="s">
        <v>3635</v>
      </c>
      <c r="D1805" s="4" t="s">
        <v>2608</v>
      </c>
      <c r="E1805" s="6">
        <v>2145355.0</v>
      </c>
      <c r="F1805" s="6">
        <v>5040000.0</v>
      </c>
      <c r="G1805" s="6">
        <v>0.0</v>
      </c>
      <c r="H1805" s="6">
        <v>7903890.0</v>
      </c>
    </row>
    <row r="1806" ht="15.75" customHeight="1">
      <c r="A1806" s="4">
        <v>1803.0</v>
      </c>
      <c r="B1806" s="4" t="s">
        <v>3636</v>
      </c>
      <c r="C1806" s="4" t="s">
        <v>3637</v>
      </c>
      <c r="D1806" s="4" t="s">
        <v>2608</v>
      </c>
      <c r="E1806" s="6">
        <v>420980.0</v>
      </c>
      <c r="F1806" s="6">
        <v>666250.0</v>
      </c>
      <c r="G1806" s="6">
        <v>0.0</v>
      </c>
      <c r="H1806" s="6">
        <v>1195953.0</v>
      </c>
    </row>
    <row r="1807" ht="15.75" customHeight="1">
      <c r="A1807" s="4">
        <v>1804.0</v>
      </c>
      <c r="B1807" s="4" t="s">
        <v>3638</v>
      </c>
      <c r="C1807" s="4" t="s">
        <v>3639</v>
      </c>
      <c r="D1807" s="4" t="s">
        <v>2608</v>
      </c>
      <c r="E1807" s="6">
        <v>2145355.0</v>
      </c>
      <c r="F1807" s="6">
        <v>3075000.0</v>
      </c>
      <c r="G1807" s="6">
        <v>0.0</v>
      </c>
      <c r="H1807" s="6">
        <v>5742390.0</v>
      </c>
    </row>
    <row r="1808" ht="15.75" customHeight="1">
      <c r="A1808" s="4">
        <v>1805.0</v>
      </c>
      <c r="B1808" s="4" t="s">
        <v>3640</v>
      </c>
      <c r="C1808" s="4" t="s">
        <v>3641</v>
      </c>
      <c r="D1808" s="4" t="s">
        <v>2608</v>
      </c>
      <c r="E1808" s="6">
        <v>420980.0</v>
      </c>
      <c r="F1808" s="6">
        <v>512499.9999999999</v>
      </c>
      <c r="G1808" s="6">
        <v>0.0</v>
      </c>
      <c r="H1808" s="6">
        <v>1026828.0</v>
      </c>
    </row>
    <row r="1809" ht="15.75" customHeight="1">
      <c r="A1809" s="9">
        <v>1806.0</v>
      </c>
      <c r="B1809" s="9" t="s">
        <v>3642</v>
      </c>
      <c r="C1809" s="10" t="s">
        <v>3643</v>
      </c>
      <c r="D1809" s="9"/>
      <c r="E1809" s="11"/>
      <c r="F1809" s="11"/>
      <c r="G1809" s="11"/>
      <c r="H1809" s="11"/>
    </row>
    <row r="1810" ht="15.75" customHeight="1">
      <c r="A1810" s="4">
        <v>1807.0</v>
      </c>
      <c r="B1810" s="4" t="s">
        <v>3644</v>
      </c>
      <c r="C1810" s="4" t="s">
        <v>3645</v>
      </c>
      <c r="D1810" s="4" t="s">
        <v>2955</v>
      </c>
      <c r="E1810" s="6">
        <v>238280.0</v>
      </c>
      <c r="F1810" s="6">
        <v>1332500.0</v>
      </c>
      <c r="G1810" s="6">
        <v>0.0</v>
      </c>
      <c r="H1810" s="6">
        <v>1727858.0</v>
      </c>
    </row>
    <row r="1811" ht="15.75" customHeight="1">
      <c r="A1811" s="4">
        <v>1808.0</v>
      </c>
      <c r="B1811" s="4" t="s">
        <v>3646</v>
      </c>
      <c r="C1811" s="4" t="s">
        <v>3647</v>
      </c>
      <c r="D1811" s="4" t="s">
        <v>2955</v>
      </c>
      <c r="E1811" s="6">
        <v>254110.0</v>
      </c>
      <c r="F1811" s="6">
        <v>2132000.0</v>
      </c>
      <c r="G1811" s="6">
        <v>0.0</v>
      </c>
      <c r="H1811" s="6">
        <v>2624721.0</v>
      </c>
    </row>
    <row r="1812" ht="15.75" customHeight="1">
      <c r="A1812" s="4">
        <v>1809.0</v>
      </c>
      <c r="B1812" s="4" t="s">
        <v>3648</v>
      </c>
      <c r="C1812" s="4" t="s">
        <v>3649</v>
      </c>
      <c r="D1812" s="4" t="s">
        <v>2955</v>
      </c>
      <c r="E1812" s="6">
        <v>278260.0</v>
      </c>
      <c r="F1812" s="6">
        <v>2921250.0</v>
      </c>
      <c r="G1812" s="6">
        <v>0.0</v>
      </c>
      <c r="H1812" s="6">
        <v>3519461.0</v>
      </c>
    </row>
    <row r="1813" ht="15.75" customHeight="1">
      <c r="A1813" s="4">
        <v>1810.0</v>
      </c>
      <c r="B1813" s="4" t="s">
        <v>3650</v>
      </c>
      <c r="C1813" s="4" t="s">
        <v>3651</v>
      </c>
      <c r="D1813" s="4" t="s">
        <v>2955</v>
      </c>
      <c r="E1813" s="6">
        <v>317865.0</v>
      </c>
      <c r="F1813" s="6">
        <v>4100000.0</v>
      </c>
      <c r="G1813" s="6">
        <v>0.0</v>
      </c>
      <c r="H1813" s="6">
        <v>4859651.0</v>
      </c>
    </row>
    <row r="1814" ht="15.75" customHeight="1">
      <c r="A1814" s="4">
        <v>1811.0</v>
      </c>
      <c r="B1814" s="4" t="s">
        <v>3652</v>
      </c>
      <c r="C1814" s="4" t="s">
        <v>3653</v>
      </c>
      <c r="D1814" s="4" t="s">
        <v>2955</v>
      </c>
      <c r="E1814" s="6">
        <v>278260.0</v>
      </c>
      <c r="F1814" s="6">
        <v>1.7425E7</v>
      </c>
      <c r="G1814" s="6">
        <v>0.0</v>
      </c>
      <c r="H1814" s="6">
        <v>1.9473586E7</v>
      </c>
    </row>
    <row r="1815" ht="15.75" customHeight="1">
      <c r="A1815" s="9">
        <v>1812.0</v>
      </c>
      <c r="B1815" s="9" t="s">
        <v>3654</v>
      </c>
      <c r="C1815" s="10" t="s">
        <v>3655</v>
      </c>
      <c r="D1815" s="9"/>
      <c r="E1815" s="11"/>
      <c r="F1815" s="11"/>
      <c r="G1815" s="11"/>
      <c r="H1815" s="11"/>
    </row>
    <row r="1816" ht="15.75" customHeight="1">
      <c r="A1816" s="9">
        <v>1813.0</v>
      </c>
      <c r="B1816" s="9" t="s">
        <v>3656</v>
      </c>
      <c r="C1816" s="10" t="s">
        <v>3657</v>
      </c>
      <c r="D1816" s="9"/>
      <c r="E1816" s="11"/>
      <c r="F1816" s="11"/>
      <c r="G1816" s="11"/>
      <c r="H1816" s="11"/>
    </row>
    <row r="1817" ht="15.75" customHeight="1">
      <c r="A1817" s="4">
        <v>1814.0</v>
      </c>
      <c r="B1817" s="4" t="s">
        <v>3658</v>
      </c>
      <c r="C1817" s="4" t="s">
        <v>3659</v>
      </c>
      <c r="D1817" s="4" t="s">
        <v>2955</v>
      </c>
      <c r="E1817" s="6">
        <v>504870.0</v>
      </c>
      <c r="F1817" s="6">
        <v>2.925E7</v>
      </c>
      <c r="G1817" s="6">
        <v>0.0</v>
      </c>
      <c r="H1817" s="6">
        <v>3.2730357E7</v>
      </c>
    </row>
    <row r="1818" ht="15.75" customHeight="1">
      <c r="A1818" s="4">
        <v>1815.0</v>
      </c>
      <c r="B1818" s="4" t="s">
        <v>3660</v>
      </c>
      <c r="C1818" s="4" t="s">
        <v>3661</v>
      </c>
      <c r="D1818" s="4" t="s">
        <v>2955</v>
      </c>
      <c r="E1818" s="6">
        <v>1260310.0</v>
      </c>
      <c r="F1818" s="6">
        <v>4.95E7</v>
      </c>
      <c r="G1818" s="6">
        <v>0.0</v>
      </c>
      <c r="H1818" s="6">
        <v>5.5836341E7</v>
      </c>
    </row>
    <row r="1819" ht="15.75" customHeight="1">
      <c r="A1819" s="4">
        <v>1816.0</v>
      </c>
      <c r="B1819" s="4" t="s">
        <v>3662</v>
      </c>
      <c r="C1819" s="4" t="s">
        <v>3663</v>
      </c>
      <c r="D1819" s="4" t="s">
        <v>2955</v>
      </c>
      <c r="E1819" s="6">
        <v>2542560.0</v>
      </c>
      <c r="F1819" s="6">
        <v>7.98E7</v>
      </c>
      <c r="G1819" s="6">
        <v>0.0</v>
      </c>
      <c r="H1819" s="6">
        <v>9.0576816E7</v>
      </c>
    </row>
    <row r="1820" ht="15.75" customHeight="1">
      <c r="A1820" s="4">
        <v>1817.0</v>
      </c>
      <c r="B1820" s="4" t="s">
        <v>3664</v>
      </c>
      <c r="C1820" s="4" t="s">
        <v>3665</v>
      </c>
      <c r="D1820" s="4" t="s">
        <v>2955</v>
      </c>
      <c r="E1820" s="6">
        <v>7588295.0</v>
      </c>
      <c r="F1820" s="6">
        <v>1.5E8</v>
      </c>
      <c r="G1820" s="6">
        <v>0.0</v>
      </c>
      <c r="H1820" s="6">
        <v>1.73347124E8</v>
      </c>
    </row>
    <row r="1821" ht="15.75" customHeight="1">
      <c r="A1821" s="4">
        <v>1818.0</v>
      </c>
      <c r="B1821" s="4" t="s">
        <v>3666</v>
      </c>
      <c r="C1821" s="4" t="s">
        <v>3667</v>
      </c>
      <c r="D1821" s="4" t="s">
        <v>2955</v>
      </c>
      <c r="E1821" s="6">
        <v>1.0925455E7</v>
      </c>
      <c r="F1821" s="6">
        <v>9.240000000000001E7</v>
      </c>
      <c r="G1821" s="6">
        <v>0.0</v>
      </c>
      <c r="H1821" s="6">
        <v>1.13658E8</v>
      </c>
    </row>
    <row r="1822" ht="15.75" customHeight="1">
      <c r="A1822" s="4">
        <v>1819.0</v>
      </c>
      <c r="B1822" s="4" t="s">
        <v>3668</v>
      </c>
      <c r="C1822" s="4" t="s">
        <v>3669</v>
      </c>
      <c r="D1822" s="4" t="s">
        <v>2955</v>
      </c>
      <c r="E1822" s="6">
        <v>252450.0</v>
      </c>
      <c r="F1822" s="6">
        <v>1.5E8</v>
      </c>
      <c r="G1822" s="6">
        <v>0.0</v>
      </c>
      <c r="H1822" s="6">
        <v>1.65277695E8</v>
      </c>
    </row>
    <row r="1823" ht="15.75" customHeight="1">
      <c r="A1823" s="9">
        <v>1820.0</v>
      </c>
      <c r="B1823" s="9" t="s">
        <v>3670</v>
      </c>
      <c r="C1823" s="10" t="s">
        <v>3671</v>
      </c>
      <c r="D1823" s="9"/>
      <c r="E1823" s="11"/>
      <c r="F1823" s="11"/>
      <c r="G1823" s="11"/>
      <c r="H1823" s="11"/>
    </row>
    <row r="1824" ht="15.75" customHeight="1">
      <c r="A1824" s="4">
        <v>1821.0</v>
      </c>
      <c r="B1824" s="4" t="s">
        <v>3672</v>
      </c>
      <c r="C1824" s="4" t="s">
        <v>3673</v>
      </c>
      <c r="D1824" s="4" t="s">
        <v>2608</v>
      </c>
      <c r="E1824" s="6">
        <v>168560.0</v>
      </c>
      <c r="F1824" s="6">
        <v>8712500.0</v>
      </c>
      <c r="G1824" s="6">
        <v>0.0</v>
      </c>
      <c r="H1824" s="6">
        <v>9769166.0</v>
      </c>
    </row>
    <row r="1825" ht="15.75" customHeight="1">
      <c r="A1825" s="9">
        <v>1822.0</v>
      </c>
      <c r="B1825" s="9" t="s">
        <v>3674</v>
      </c>
      <c r="C1825" s="10" t="s">
        <v>3675</v>
      </c>
      <c r="D1825" s="9"/>
      <c r="E1825" s="11"/>
      <c r="F1825" s="11"/>
      <c r="G1825" s="11"/>
      <c r="H1825" s="11"/>
    </row>
    <row r="1826" ht="15.75" customHeight="1">
      <c r="A1826" s="4">
        <v>1823.0</v>
      </c>
      <c r="B1826" s="4" t="s">
        <v>3676</v>
      </c>
      <c r="C1826" s="4" t="s">
        <v>3677</v>
      </c>
      <c r="D1826" s="4" t="s">
        <v>2608</v>
      </c>
      <c r="E1826" s="6">
        <v>95560.0</v>
      </c>
      <c r="F1826" s="6">
        <v>1025000.0</v>
      </c>
      <c r="G1826" s="6">
        <v>0.0</v>
      </c>
      <c r="H1826" s="6">
        <v>1232616.0</v>
      </c>
    </row>
    <row r="1827" ht="15.75" customHeight="1">
      <c r="A1827" s="4">
        <v>1824.0</v>
      </c>
      <c r="B1827" s="4" t="s">
        <v>3678</v>
      </c>
      <c r="C1827" s="4" t="s">
        <v>3679</v>
      </c>
      <c r="D1827" s="4" t="s">
        <v>2608</v>
      </c>
      <c r="E1827" s="6">
        <v>95560.0</v>
      </c>
      <c r="F1827" s="6">
        <v>1537500.0</v>
      </c>
      <c r="G1827" s="6">
        <v>0.0</v>
      </c>
      <c r="H1827" s="6">
        <v>1796366.0</v>
      </c>
    </row>
    <row r="1828" ht="15.75" customHeight="1">
      <c r="A1828" s="4">
        <v>1825.0</v>
      </c>
      <c r="B1828" s="4" t="s">
        <v>3680</v>
      </c>
      <c r="C1828" s="4" t="s">
        <v>3681</v>
      </c>
      <c r="D1828" s="4" t="s">
        <v>2608</v>
      </c>
      <c r="E1828" s="6">
        <v>397350.0</v>
      </c>
      <c r="F1828" s="6">
        <v>2.05E7</v>
      </c>
      <c r="G1828" s="6">
        <v>0.0</v>
      </c>
      <c r="H1828" s="6">
        <v>2.2987085E7</v>
      </c>
    </row>
    <row r="1829" ht="15.75" customHeight="1">
      <c r="A1829" s="9">
        <v>1826.0</v>
      </c>
      <c r="B1829" s="9" t="s">
        <v>3682</v>
      </c>
      <c r="C1829" s="10" t="s">
        <v>3683</v>
      </c>
      <c r="D1829" s="9"/>
      <c r="E1829" s="11"/>
      <c r="F1829" s="11"/>
      <c r="G1829" s="11"/>
      <c r="H1829" s="11"/>
    </row>
    <row r="1830" ht="15.75" customHeight="1">
      <c r="A1830" s="4">
        <v>1827.0</v>
      </c>
      <c r="B1830" s="4" t="s">
        <v>3684</v>
      </c>
      <c r="C1830" s="4" t="s">
        <v>3685</v>
      </c>
      <c r="D1830" s="4" t="s">
        <v>2608</v>
      </c>
      <c r="E1830" s="6">
        <v>46235.0</v>
      </c>
      <c r="F1830" s="6">
        <v>999966.7999999999</v>
      </c>
      <c r="G1830" s="6">
        <v>0.0</v>
      </c>
      <c r="H1830" s="6">
        <v>1150821.0</v>
      </c>
    </row>
    <row r="1831" ht="15.75" customHeight="1">
      <c r="A1831" s="4">
        <v>1828.0</v>
      </c>
      <c r="B1831" s="4" t="s">
        <v>3686</v>
      </c>
      <c r="C1831" s="4" t="s">
        <v>3687</v>
      </c>
      <c r="D1831" s="4" t="s">
        <v>2608</v>
      </c>
      <c r="E1831" s="6">
        <v>46235.0</v>
      </c>
      <c r="F1831" s="6">
        <v>1184069.6</v>
      </c>
      <c r="G1831" s="6">
        <v>0.0</v>
      </c>
      <c r="H1831" s="6">
        <v>1353335.0</v>
      </c>
    </row>
    <row r="1832" ht="15.75" customHeight="1">
      <c r="A1832" s="9">
        <v>1829.0</v>
      </c>
      <c r="B1832" s="9" t="s">
        <v>3688</v>
      </c>
      <c r="C1832" s="10" t="s">
        <v>3689</v>
      </c>
      <c r="D1832" s="9"/>
      <c r="E1832" s="11"/>
      <c r="F1832" s="11"/>
      <c r="G1832" s="11"/>
      <c r="H1832" s="11"/>
    </row>
    <row r="1833" ht="15.75" customHeight="1">
      <c r="A1833" s="4">
        <v>1830.0</v>
      </c>
      <c r="B1833" s="4" t="s">
        <v>3630</v>
      </c>
      <c r="C1833" s="4" t="s">
        <v>3690</v>
      </c>
      <c r="D1833" s="4" t="s">
        <v>43</v>
      </c>
      <c r="E1833" s="6">
        <v>0.0</v>
      </c>
      <c r="F1833" s="6">
        <v>0.0</v>
      </c>
      <c r="G1833" s="6">
        <v>0.0</v>
      </c>
      <c r="H1833" s="6">
        <v>561633.0</v>
      </c>
    </row>
    <row r="1834" ht="15.75" customHeight="1">
      <c r="A1834" s="4">
        <v>1831.0</v>
      </c>
      <c r="B1834" s="4" t="s">
        <v>3691</v>
      </c>
      <c r="C1834" s="4" t="s">
        <v>3692</v>
      </c>
      <c r="D1834" s="4" t="s">
        <v>43</v>
      </c>
      <c r="E1834" s="6">
        <v>0.0</v>
      </c>
      <c r="F1834" s="6">
        <v>0.0</v>
      </c>
      <c r="G1834" s="6">
        <v>0.0</v>
      </c>
      <c r="H1834" s="6">
        <v>829946.0</v>
      </c>
    </row>
    <row r="1835" ht="15.75" customHeight="1">
      <c r="A1835" s="4">
        <v>1832.0</v>
      </c>
      <c r="B1835" s="4" t="s">
        <v>3693</v>
      </c>
      <c r="C1835" s="4" t="s">
        <v>3694</v>
      </c>
      <c r="D1835" s="4" t="s">
        <v>43</v>
      </c>
      <c r="E1835" s="6">
        <v>0.0</v>
      </c>
      <c r="F1835" s="6">
        <v>0.0</v>
      </c>
      <c r="G1835" s="6">
        <v>0.0</v>
      </c>
      <c r="H1835" s="6">
        <v>992780.0</v>
      </c>
    </row>
    <row r="1836" ht="15.75" customHeight="1">
      <c r="A1836" s="9">
        <v>1833.0</v>
      </c>
      <c r="B1836" s="9" t="s">
        <v>3695</v>
      </c>
      <c r="C1836" s="10" t="s">
        <v>3696</v>
      </c>
      <c r="D1836" s="9"/>
      <c r="E1836" s="11"/>
      <c r="F1836" s="11"/>
      <c r="G1836" s="11"/>
      <c r="H1836" s="11"/>
    </row>
    <row r="1837" ht="15.75" customHeight="1">
      <c r="A1837" s="9">
        <v>1834.0</v>
      </c>
      <c r="B1837" s="9" t="s">
        <v>3697</v>
      </c>
      <c r="C1837" s="10" t="s">
        <v>3698</v>
      </c>
      <c r="D1837" s="9"/>
      <c r="E1837" s="11"/>
      <c r="F1837" s="11"/>
      <c r="G1837" s="11"/>
      <c r="H1837" s="11"/>
    </row>
    <row r="1838" ht="15.75" customHeight="1">
      <c r="A1838" s="4">
        <v>1835.0</v>
      </c>
      <c r="B1838" s="4" t="s">
        <v>3699</v>
      </c>
      <c r="C1838" s="4" t="s">
        <v>3700</v>
      </c>
      <c r="D1838" s="4" t="s">
        <v>27</v>
      </c>
      <c r="E1838" s="6">
        <v>8285.0</v>
      </c>
      <c r="F1838" s="6">
        <v>10295.0</v>
      </c>
      <c r="G1838" s="6">
        <v>0.0</v>
      </c>
      <c r="H1838" s="6">
        <v>20438.0</v>
      </c>
    </row>
    <row r="1839" ht="15.75" customHeight="1">
      <c r="A1839" s="4">
        <v>1836.0</v>
      </c>
      <c r="B1839" s="4" t="s">
        <v>3701</v>
      </c>
      <c r="C1839" s="4" t="s">
        <v>3702</v>
      </c>
      <c r="D1839" s="4" t="s">
        <v>27</v>
      </c>
      <c r="E1839" s="6">
        <v>9100.0</v>
      </c>
      <c r="F1839" s="6">
        <v>13485.0</v>
      </c>
      <c r="G1839" s="6">
        <v>0.0</v>
      </c>
      <c r="H1839" s="6">
        <v>24843.0</v>
      </c>
    </row>
    <row r="1840" ht="15.75" customHeight="1">
      <c r="A1840" s="4">
        <v>1837.0</v>
      </c>
      <c r="B1840" s="4" t="s">
        <v>3703</v>
      </c>
      <c r="C1840" s="4" t="s">
        <v>3704</v>
      </c>
      <c r="D1840" s="4" t="s">
        <v>27</v>
      </c>
      <c r="E1840" s="6">
        <v>11915.0</v>
      </c>
      <c r="F1840" s="6">
        <v>16965.0</v>
      </c>
      <c r="G1840" s="6">
        <v>0.0</v>
      </c>
      <c r="H1840" s="6">
        <v>31768.0</v>
      </c>
    </row>
    <row r="1841" ht="15.75" customHeight="1">
      <c r="A1841" s="4">
        <v>1838.0</v>
      </c>
      <c r="B1841" s="4" t="s">
        <v>3705</v>
      </c>
      <c r="C1841" s="4" t="s">
        <v>3706</v>
      </c>
      <c r="D1841" s="4" t="s">
        <v>27</v>
      </c>
      <c r="E1841" s="6">
        <v>15485.0</v>
      </c>
      <c r="F1841" s="6">
        <v>27550.0</v>
      </c>
      <c r="G1841" s="6">
        <v>0.0</v>
      </c>
      <c r="H1841" s="6">
        <v>47338.0</v>
      </c>
    </row>
    <row r="1842" ht="15.75" customHeight="1">
      <c r="A1842" s="4">
        <v>1839.0</v>
      </c>
      <c r="B1842" s="4" t="s">
        <v>3707</v>
      </c>
      <c r="C1842" s="4" t="s">
        <v>3708</v>
      </c>
      <c r="D1842" s="4" t="s">
        <v>27</v>
      </c>
      <c r="E1842" s="6">
        <v>18200.0</v>
      </c>
      <c r="F1842" s="6">
        <v>31900.0</v>
      </c>
      <c r="G1842" s="6">
        <v>0.0</v>
      </c>
      <c r="H1842" s="6">
        <v>55110.0</v>
      </c>
    </row>
    <row r="1843" ht="15.75" customHeight="1">
      <c r="A1843" s="4">
        <v>1840.0</v>
      </c>
      <c r="B1843" s="4" t="s">
        <v>3709</v>
      </c>
      <c r="C1843" s="4" t="s">
        <v>3710</v>
      </c>
      <c r="D1843" s="4" t="s">
        <v>27</v>
      </c>
      <c r="E1843" s="6">
        <v>23730.0</v>
      </c>
      <c r="F1843" s="6">
        <v>40600.0</v>
      </c>
      <c r="G1843" s="6">
        <v>0.0</v>
      </c>
      <c r="H1843" s="6">
        <v>70763.0</v>
      </c>
    </row>
    <row r="1844" ht="15.75" customHeight="1">
      <c r="A1844" s="4">
        <v>1841.0</v>
      </c>
      <c r="B1844" s="4" t="s">
        <v>3711</v>
      </c>
      <c r="C1844" s="4" t="s">
        <v>3712</v>
      </c>
      <c r="D1844" s="4" t="s">
        <v>27</v>
      </c>
      <c r="E1844" s="6">
        <v>29480.0</v>
      </c>
      <c r="F1844" s="6">
        <v>58000.0</v>
      </c>
      <c r="G1844" s="6">
        <v>0.0</v>
      </c>
      <c r="H1844" s="6">
        <v>96228.0</v>
      </c>
    </row>
    <row r="1845" ht="15.75" customHeight="1">
      <c r="A1845" s="4">
        <v>1842.0</v>
      </c>
      <c r="B1845" s="4" t="s">
        <v>3713</v>
      </c>
      <c r="C1845" s="4" t="s">
        <v>3714</v>
      </c>
      <c r="D1845" s="4" t="s">
        <v>27</v>
      </c>
      <c r="E1845" s="6">
        <v>35965.0</v>
      </c>
      <c r="F1845" s="6">
        <v>76850.0</v>
      </c>
      <c r="G1845" s="6">
        <v>0.0</v>
      </c>
      <c r="H1845" s="6">
        <v>124096.0</v>
      </c>
    </row>
    <row r="1846" ht="15.75" customHeight="1">
      <c r="A1846" s="4">
        <v>1843.0</v>
      </c>
      <c r="B1846" s="4" t="s">
        <v>3715</v>
      </c>
      <c r="C1846" s="4" t="s">
        <v>3716</v>
      </c>
      <c r="D1846" s="4" t="s">
        <v>27</v>
      </c>
      <c r="E1846" s="6">
        <v>46900.0</v>
      </c>
      <c r="F1846" s="6">
        <v>107300.0</v>
      </c>
      <c r="G1846" s="6">
        <v>0.0</v>
      </c>
      <c r="H1846" s="6">
        <v>169620.0</v>
      </c>
    </row>
    <row r="1847" ht="15.75" customHeight="1">
      <c r="A1847" s="4">
        <v>1844.0</v>
      </c>
      <c r="B1847" s="4" t="s">
        <v>3717</v>
      </c>
      <c r="C1847" s="4" t="s">
        <v>3718</v>
      </c>
      <c r="D1847" s="4" t="s">
        <v>27</v>
      </c>
      <c r="E1847" s="6">
        <v>58005.0</v>
      </c>
      <c r="F1847" s="6">
        <v>146450.0</v>
      </c>
      <c r="G1847" s="6">
        <v>0.0</v>
      </c>
      <c r="H1847" s="6">
        <v>224900.0</v>
      </c>
    </row>
    <row r="1848" ht="15.75" customHeight="1">
      <c r="A1848" s="4">
        <v>1845.0</v>
      </c>
      <c r="B1848" s="4" t="s">
        <v>3719</v>
      </c>
      <c r="C1848" s="4" t="s">
        <v>3720</v>
      </c>
      <c r="D1848" s="4" t="s">
        <v>27</v>
      </c>
      <c r="E1848" s="6">
        <v>69895.0</v>
      </c>
      <c r="F1848" s="6">
        <v>156600.0</v>
      </c>
      <c r="G1848" s="6">
        <v>0.0</v>
      </c>
      <c r="H1848" s="6">
        <v>249144.0</v>
      </c>
    </row>
    <row r="1849" ht="15.75" customHeight="1">
      <c r="A1849" s="4">
        <v>1846.0</v>
      </c>
      <c r="B1849" s="4" t="s">
        <v>3721</v>
      </c>
      <c r="C1849" s="4" t="s">
        <v>3722</v>
      </c>
      <c r="D1849" s="4" t="s">
        <v>27</v>
      </c>
      <c r="E1849" s="6">
        <v>93770.0</v>
      </c>
      <c r="F1849" s="6">
        <v>192850.0</v>
      </c>
      <c r="G1849" s="6">
        <v>0.0</v>
      </c>
      <c r="H1849" s="6">
        <v>315282.0</v>
      </c>
    </row>
    <row r="1850" ht="15.75" customHeight="1">
      <c r="A1850" s="4">
        <v>1847.0</v>
      </c>
      <c r="B1850" s="4" t="s">
        <v>3723</v>
      </c>
      <c r="C1850" s="4" t="s">
        <v>3724</v>
      </c>
      <c r="D1850" s="4" t="s">
        <v>27</v>
      </c>
      <c r="E1850" s="6">
        <v>116620.0</v>
      </c>
      <c r="F1850" s="6">
        <v>336400.0</v>
      </c>
      <c r="G1850" s="6">
        <v>0.0</v>
      </c>
      <c r="H1850" s="6">
        <v>498322.0</v>
      </c>
    </row>
    <row r="1851" ht="15.75" customHeight="1">
      <c r="A1851" s="4">
        <v>1848.0</v>
      </c>
      <c r="B1851" s="4" t="s">
        <v>3725</v>
      </c>
      <c r="C1851" s="4" t="s">
        <v>3726</v>
      </c>
      <c r="D1851" s="4" t="s">
        <v>27</v>
      </c>
      <c r="E1851" s="6">
        <v>139860.0</v>
      </c>
      <c r="F1851" s="6">
        <v>259550.0</v>
      </c>
      <c r="G1851" s="6">
        <v>0.0</v>
      </c>
      <c r="H1851" s="6">
        <v>439351.0</v>
      </c>
    </row>
    <row r="1852" ht="15.75" customHeight="1">
      <c r="A1852" s="4">
        <v>1849.0</v>
      </c>
      <c r="B1852" s="4" t="s">
        <v>3727</v>
      </c>
      <c r="C1852" s="4" t="s">
        <v>3728</v>
      </c>
      <c r="D1852" s="4" t="s">
        <v>27</v>
      </c>
      <c r="E1852" s="6">
        <v>162710.0</v>
      </c>
      <c r="F1852" s="6">
        <v>291450.0</v>
      </c>
      <c r="G1852" s="6">
        <v>0.0</v>
      </c>
      <c r="H1852" s="6">
        <v>499576.0</v>
      </c>
    </row>
    <row r="1853" ht="15.75" customHeight="1">
      <c r="A1853" s="4">
        <v>1850.0</v>
      </c>
      <c r="B1853" s="4" t="s">
        <v>3729</v>
      </c>
      <c r="C1853" s="4" t="s">
        <v>3730</v>
      </c>
      <c r="D1853" s="4" t="s">
        <v>27</v>
      </c>
      <c r="E1853" s="6">
        <v>185950.0</v>
      </c>
      <c r="F1853" s="6">
        <v>339300.0</v>
      </c>
      <c r="G1853" s="6">
        <v>0.0</v>
      </c>
      <c r="H1853" s="6">
        <v>577775.0</v>
      </c>
    </row>
    <row r="1854" ht="15.75" customHeight="1">
      <c r="A1854" s="4">
        <v>1851.0</v>
      </c>
      <c r="B1854" s="4" t="s">
        <v>3731</v>
      </c>
      <c r="C1854" s="4" t="s">
        <v>3732</v>
      </c>
      <c r="D1854" s="4" t="s">
        <v>27</v>
      </c>
      <c r="E1854" s="6">
        <v>15340.0</v>
      </c>
      <c r="F1854" s="6">
        <v>15950.0</v>
      </c>
      <c r="G1854" s="6">
        <v>0.0</v>
      </c>
      <c r="H1854" s="6">
        <v>34419.0</v>
      </c>
    </row>
    <row r="1855" ht="15.75" customHeight="1">
      <c r="A1855" s="4">
        <v>1852.0</v>
      </c>
      <c r="B1855" s="4" t="s">
        <v>3733</v>
      </c>
      <c r="C1855" s="4" t="s">
        <v>3734</v>
      </c>
      <c r="D1855" s="4" t="s">
        <v>27</v>
      </c>
      <c r="E1855" s="6">
        <v>18200.0</v>
      </c>
      <c r="F1855" s="6">
        <v>17400.0</v>
      </c>
      <c r="G1855" s="6">
        <v>0.0</v>
      </c>
      <c r="H1855" s="6">
        <v>39160.0</v>
      </c>
    </row>
    <row r="1856" ht="15.75" customHeight="1">
      <c r="A1856" s="4">
        <v>1853.0</v>
      </c>
      <c r="B1856" s="4" t="s">
        <v>3735</v>
      </c>
      <c r="C1856" s="4" t="s">
        <v>3736</v>
      </c>
      <c r="D1856" s="4" t="s">
        <v>27</v>
      </c>
      <c r="E1856" s="6">
        <v>23730.0</v>
      </c>
      <c r="F1856" s="6">
        <v>21750.0</v>
      </c>
      <c r="G1856" s="6">
        <v>0.0</v>
      </c>
      <c r="H1856" s="6">
        <v>50028.0</v>
      </c>
    </row>
    <row r="1857" ht="15.75" customHeight="1">
      <c r="A1857" s="4">
        <v>1854.0</v>
      </c>
      <c r="B1857" s="4" t="s">
        <v>3737</v>
      </c>
      <c r="C1857" s="4" t="s">
        <v>3738</v>
      </c>
      <c r="D1857" s="4" t="s">
        <v>27</v>
      </c>
      <c r="E1857" s="6">
        <v>29480.0</v>
      </c>
      <c r="F1857" s="6">
        <v>30450.0</v>
      </c>
      <c r="G1857" s="6">
        <v>0.0</v>
      </c>
      <c r="H1857" s="6">
        <v>65923.0</v>
      </c>
    </row>
    <row r="1858" ht="15.75" customHeight="1">
      <c r="A1858" s="4">
        <v>1855.0</v>
      </c>
      <c r="B1858" s="4" t="s">
        <v>3739</v>
      </c>
      <c r="C1858" s="4" t="s">
        <v>3740</v>
      </c>
      <c r="D1858" s="4" t="s">
        <v>27</v>
      </c>
      <c r="E1858" s="6">
        <v>35965.0</v>
      </c>
      <c r="F1858" s="6">
        <v>42050.0</v>
      </c>
      <c r="G1858" s="6">
        <v>0.0</v>
      </c>
      <c r="H1858" s="6">
        <v>85816.0</v>
      </c>
    </row>
    <row r="1859" ht="15.75" customHeight="1">
      <c r="A1859" s="4">
        <v>1856.0</v>
      </c>
      <c r="B1859" s="4" t="s">
        <v>3741</v>
      </c>
      <c r="C1859" s="4" t="s">
        <v>3742</v>
      </c>
      <c r="D1859" s="4" t="s">
        <v>27</v>
      </c>
      <c r="E1859" s="6">
        <v>46900.0</v>
      </c>
      <c r="F1859" s="6">
        <v>58000.0</v>
      </c>
      <c r="G1859" s="6">
        <v>0.0</v>
      </c>
      <c r="H1859" s="6">
        <v>115390.0</v>
      </c>
    </row>
    <row r="1860" ht="15.75" customHeight="1">
      <c r="A1860" s="4">
        <v>1857.0</v>
      </c>
      <c r="B1860" s="4" t="s">
        <v>3743</v>
      </c>
      <c r="C1860" s="4" t="s">
        <v>3744</v>
      </c>
      <c r="D1860" s="4" t="s">
        <v>27</v>
      </c>
      <c r="E1860" s="6">
        <v>58005.0</v>
      </c>
      <c r="F1860" s="6">
        <v>92800.0</v>
      </c>
      <c r="G1860" s="6">
        <v>0.0</v>
      </c>
      <c r="H1860" s="6">
        <v>165885.0</v>
      </c>
    </row>
    <row r="1861" ht="15.75" customHeight="1">
      <c r="A1861" s="4">
        <v>1858.0</v>
      </c>
      <c r="B1861" s="4" t="s">
        <v>3745</v>
      </c>
      <c r="C1861" s="4" t="s">
        <v>3746</v>
      </c>
      <c r="D1861" s="4" t="s">
        <v>27</v>
      </c>
      <c r="E1861" s="6">
        <v>69895.0</v>
      </c>
      <c r="F1861" s="6">
        <v>116000.0</v>
      </c>
      <c r="G1861" s="6">
        <v>0.0</v>
      </c>
      <c r="H1861" s="6">
        <v>204484.0</v>
      </c>
    </row>
    <row r="1862" ht="15.75" customHeight="1">
      <c r="A1862" s="4">
        <v>1859.0</v>
      </c>
      <c r="B1862" s="4" t="s">
        <v>3747</v>
      </c>
      <c r="C1862" s="4" t="s">
        <v>3748</v>
      </c>
      <c r="D1862" s="4" t="s">
        <v>27</v>
      </c>
      <c r="E1862" s="6">
        <v>93770.0</v>
      </c>
      <c r="F1862" s="6">
        <v>203000.0</v>
      </c>
      <c r="G1862" s="6">
        <v>0.0</v>
      </c>
      <c r="H1862" s="6">
        <v>326447.0</v>
      </c>
    </row>
    <row r="1863" ht="15.75" customHeight="1">
      <c r="A1863" s="4">
        <v>1860.0</v>
      </c>
      <c r="B1863" s="4" t="s">
        <v>3749</v>
      </c>
      <c r="C1863" s="4" t="s">
        <v>3750</v>
      </c>
      <c r="D1863" s="4" t="s">
        <v>27</v>
      </c>
      <c r="E1863" s="6">
        <v>116620.0</v>
      </c>
      <c r="F1863" s="6">
        <v>337850.0</v>
      </c>
      <c r="G1863" s="6">
        <v>0.0</v>
      </c>
      <c r="H1863" s="6">
        <v>499917.0</v>
      </c>
    </row>
    <row r="1864" ht="15.75" customHeight="1">
      <c r="A1864" s="4">
        <v>1861.0</v>
      </c>
      <c r="B1864" s="4" t="s">
        <v>3751</v>
      </c>
      <c r="C1864" s="4" t="s">
        <v>3752</v>
      </c>
      <c r="D1864" s="4" t="s">
        <v>27</v>
      </c>
      <c r="E1864" s="6">
        <v>139860.0</v>
      </c>
      <c r="F1864" s="6">
        <v>464000.0</v>
      </c>
      <c r="G1864" s="6">
        <v>0.0</v>
      </c>
      <c r="H1864" s="6">
        <v>664246.0</v>
      </c>
    </row>
    <row r="1865" ht="15.75" customHeight="1">
      <c r="A1865" s="4">
        <v>1862.0</v>
      </c>
      <c r="B1865" s="4" t="s">
        <v>3753</v>
      </c>
      <c r="C1865" s="4" t="s">
        <v>3754</v>
      </c>
      <c r="D1865" s="4" t="s">
        <v>27</v>
      </c>
      <c r="E1865" s="6">
        <v>162710.0</v>
      </c>
      <c r="F1865" s="6">
        <v>468350.0</v>
      </c>
      <c r="G1865" s="6">
        <v>0.0</v>
      </c>
      <c r="H1865" s="6">
        <v>694166.0</v>
      </c>
    </row>
    <row r="1866" ht="15.75" customHeight="1">
      <c r="A1866" s="4">
        <v>1863.0</v>
      </c>
      <c r="B1866" s="4" t="s">
        <v>3755</v>
      </c>
      <c r="C1866" s="4" t="s">
        <v>3756</v>
      </c>
      <c r="D1866" s="4" t="s">
        <v>27</v>
      </c>
      <c r="E1866" s="6">
        <v>185805.0</v>
      </c>
      <c r="F1866" s="6">
        <v>526350.0</v>
      </c>
      <c r="G1866" s="6">
        <v>0.0</v>
      </c>
      <c r="H1866" s="6">
        <v>783370.0</v>
      </c>
    </row>
    <row r="1867" ht="15.75" customHeight="1">
      <c r="A1867" s="9">
        <v>1864.0</v>
      </c>
      <c r="B1867" s="9" t="s">
        <v>3757</v>
      </c>
      <c r="C1867" s="10" t="s">
        <v>3758</v>
      </c>
      <c r="D1867" s="9"/>
      <c r="E1867" s="11"/>
      <c r="F1867" s="11"/>
      <c r="G1867" s="11"/>
      <c r="H1867" s="11"/>
    </row>
    <row r="1868" ht="15.75" customHeight="1">
      <c r="A1868" s="4">
        <v>1865.0</v>
      </c>
      <c r="B1868" s="4" t="s">
        <v>3759</v>
      </c>
      <c r="C1868" s="4" t="s">
        <v>3760</v>
      </c>
      <c r="D1868" s="4" t="s">
        <v>27</v>
      </c>
      <c r="E1868" s="6">
        <v>13360.0</v>
      </c>
      <c r="F1868" s="6">
        <v>42000.0</v>
      </c>
      <c r="G1868" s="6">
        <v>0.0</v>
      </c>
      <c r="H1868" s="6">
        <v>60896.0</v>
      </c>
    </row>
    <row r="1869" ht="15.75" customHeight="1">
      <c r="A1869" s="4">
        <v>1866.0</v>
      </c>
      <c r="B1869" s="4" t="s">
        <v>3761</v>
      </c>
      <c r="C1869" s="4" t="s">
        <v>3762</v>
      </c>
      <c r="D1869" s="4" t="s">
        <v>27</v>
      </c>
      <c r="E1869" s="6">
        <v>19990.0</v>
      </c>
      <c r="F1869" s="6">
        <v>54000.0</v>
      </c>
      <c r="G1869" s="6">
        <v>0.0</v>
      </c>
      <c r="H1869" s="6">
        <v>81389.0</v>
      </c>
    </row>
    <row r="1870" ht="15.75" customHeight="1">
      <c r="A1870" s="4">
        <v>1867.0</v>
      </c>
      <c r="B1870" s="4" t="s">
        <v>3763</v>
      </c>
      <c r="C1870" s="4" t="s">
        <v>3764</v>
      </c>
      <c r="D1870" s="4" t="s">
        <v>27</v>
      </c>
      <c r="E1870" s="6">
        <v>26100.0</v>
      </c>
      <c r="F1870" s="6">
        <v>75000.0</v>
      </c>
      <c r="G1870" s="6">
        <v>0.0</v>
      </c>
      <c r="H1870" s="6">
        <v>111210.0</v>
      </c>
    </row>
    <row r="1871" ht="15.75" customHeight="1">
      <c r="A1871" s="4">
        <v>1868.0</v>
      </c>
      <c r="B1871" s="4" t="s">
        <v>3765</v>
      </c>
      <c r="C1871" s="4" t="s">
        <v>3766</v>
      </c>
      <c r="D1871" s="4" t="s">
        <v>27</v>
      </c>
      <c r="E1871" s="6">
        <v>32485.0</v>
      </c>
      <c r="F1871" s="6">
        <v>121500.0</v>
      </c>
      <c r="G1871" s="6">
        <v>0.0</v>
      </c>
      <c r="H1871" s="6">
        <v>169383.0</v>
      </c>
    </row>
    <row r="1872" ht="15.75" customHeight="1">
      <c r="A1872" s="4">
        <v>1869.0</v>
      </c>
      <c r="B1872" s="4" t="s">
        <v>3767</v>
      </c>
      <c r="C1872" s="4" t="s">
        <v>3768</v>
      </c>
      <c r="D1872" s="4" t="s">
        <v>27</v>
      </c>
      <c r="E1872" s="6">
        <v>39605.0</v>
      </c>
      <c r="F1872" s="6">
        <v>123750.0</v>
      </c>
      <c r="G1872" s="6">
        <v>0.0</v>
      </c>
      <c r="H1872" s="6">
        <v>179690.0</v>
      </c>
    </row>
    <row r="1873" ht="15.75" customHeight="1">
      <c r="A1873" s="4">
        <v>1870.0</v>
      </c>
      <c r="B1873" s="4" t="s">
        <v>3769</v>
      </c>
      <c r="C1873" s="4" t="s">
        <v>3770</v>
      </c>
      <c r="D1873" s="4" t="s">
        <v>27</v>
      </c>
      <c r="E1873" s="6">
        <v>52575.0</v>
      </c>
      <c r="F1873" s="6">
        <v>141000.0</v>
      </c>
      <c r="G1873" s="6">
        <v>0.0</v>
      </c>
      <c r="H1873" s="6">
        <v>212932.0</v>
      </c>
    </row>
    <row r="1874" ht="15.75" customHeight="1">
      <c r="A1874" s="4">
        <v>1871.0</v>
      </c>
      <c r="B1874" s="4" t="s">
        <v>3771</v>
      </c>
      <c r="C1874" s="4" t="s">
        <v>3772</v>
      </c>
      <c r="D1874" s="4" t="s">
        <v>27</v>
      </c>
      <c r="E1874" s="6">
        <v>65300.0</v>
      </c>
      <c r="F1874" s="6">
        <v>142500.0</v>
      </c>
      <c r="G1874" s="6">
        <v>0.0</v>
      </c>
      <c r="H1874" s="6">
        <v>228580.0</v>
      </c>
    </row>
    <row r="1875" ht="15.75" customHeight="1">
      <c r="A1875" s="4">
        <v>1872.0</v>
      </c>
      <c r="B1875" s="4" t="s">
        <v>3773</v>
      </c>
      <c r="C1875" s="4" t="s">
        <v>3774</v>
      </c>
      <c r="D1875" s="4" t="s">
        <v>27</v>
      </c>
      <c r="E1875" s="6">
        <v>90765.0</v>
      </c>
      <c r="F1875" s="6">
        <v>264000.0</v>
      </c>
      <c r="G1875" s="6">
        <v>0.0</v>
      </c>
      <c r="H1875" s="6">
        <v>390241.0</v>
      </c>
    </row>
    <row r="1876" ht="15.75" customHeight="1">
      <c r="A1876" s="4">
        <v>1873.0</v>
      </c>
      <c r="B1876" s="4" t="s">
        <v>3775</v>
      </c>
      <c r="C1876" s="4" t="s">
        <v>3776</v>
      </c>
      <c r="D1876" s="4" t="s">
        <v>27</v>
      </c>
      <c r="E1876" s="6">
        <v>120880.0</v>
      </c>
      <c r="F1876" s="6">
        <v>380250.0</v>
      </c>
      <c r="G1876" s="6">
        <v>0.0</v>
      </c>
      <c r="H1876" s="6">
        <v>551243.0</v>
      </c>
    </row>
    <row r="1877" ht="15.75" customHeight="1">
      <c r="A1877" s="4">
        <v>1874.0</v>
      </c>
      <c r="B1877" s="4" t="s">
        <v>3777</v>
      </c>
      <c r="C1877" s="4" t="s">
        <v>3778</v>
      </c>
      <c r="D1877" s="4" t="s">
        <v>27</v>
      </c>
      <c r="E1877" s="6">
        <v>150360.0</v>
      </c>
      <c r="F1877" s="6">
        <v>504000.0</v>
      </c>
      <c r="G1877" s="6">
        <v>0.0</v>
      </c>
      <c r="H1877" s="6">
        <v>719796.0</v>
      </c>
    </row>
    <row r="1878" ht="15.75" customHeight="1">
      <c r="A1878" s="4">
        <v>1875.0</v>
      </c>
      <c r="B1878" s="4" t="s">
        <v>3779</v>
      </c>
      <c r="C1878" s="4" t="s">
        <v>3780</v>
      </c>
      <c r="D1878" s="4" t="s">
        <v>27</v>
      </c>
      <c r="E1878" s="6">
        <v>180475.0</v>
      </c>
      <c r="F1878" s="6">
        <v>399000.0</v>
      </c>
      <c r="G1878" s="6">
        <v>0.0</v>
      </c>
      <c r="H1878" s="6">
        <v>637422.0</v>
      </c>
    </row>
    <row r="1879" ht="15.75" customHeight="1">
      <c r="A1879" s="4">
        <v>1876.0</v>
      </c>
      <c r="B1879" s="4" t="s">
        <v>3781</v>
      </c>
      <c r="C1879" s="4" t="s">
        <v>3782</v>
      </c>
      <c r="D1879" s="4" t="s">
        <v>27</v>
      </c>
      <c r="E1879" s="6">
        <v>240070.0</v>
      </c>
      <c r="F1879" s="6">
        <v>576000.0</v>
      </c>
      <c r="G1879" s="6">
        <v>0.0</v>
      </c>
      <c r="H1879" s="6">
        <v>897677.0</v>
      </c>
    </row>
    <row r="1880" ht="15.75" customHeight="1">
      <c r="A1880" s="4">
        <v>1877.0</v>
      </c>
      <c r="B1880" s="4" t="s">
        <v>3783</v>
      </c>
      <c r="C1880" s="4" t="s">
        <v>3784</v>
      </c>
      <c r="D1880" s="4" t="s">
        <v>27</v>
      </c>
      <c r="E1880" s="6">
        <v>300375.0</v>
      </c>
      <c r="F1880" s="6">
        <v>586500.0</v>
      </c>
      <c r="G1880" s="6">
        <v>0.0</v>
      </c>
      <c r="H1880" s="6">
        <v>975562.0</v>
      </c>
    </row>
    <row r="1881" ht="15.75" customHeight="1">
      <c r="A1881" s="4">
        <v>1878.0</v>
      </c>
      <c r="B1881" s="4" t="s">
        <v>3785</v>
      </c>
      <c r="C1881" s="4" t="s">
        <v>3786</v>
      </c>
      <c r="D1881" s="4" t="s">
        <v>27</v>
      </c>
      <c r="E1881" s="6">
        <v>359970.0</v>
      </c>
      <c r="F1881" s="6">
        <v>510000.0</v>
      </c>
      <c r="G1881" s="6">
        <v>0.0</v>
      </c>
      <c r="H1881" s="6">
        <v>956967.0</v>
      </c>
    </row>
    <row r="1882" ht="15.75" customHeight="1">
      <c r="A1882" s="4">
        <v>1879.0</v>
      </c>
      <c r="B1882" s="4" t="s">
        <v>3787</v>
      </c>
      <c r="C1882" s="4" t="s">
        <v>3788</v>
      </c>
      <c r="D1882" s="4" t="s">
        <v>27</v>
      </c>
      <c r="E1882" s="6">
        <v>420200.0</v>
      </c>
      <c r="F1882" s="6">
        <v>616500.0</v>
      </c>
      <c r="G1882" s="6">
        <v>0.0</v>
      </c>
      <c r="H1882" s="6">
        <v>1140370.0</v>
      </c>
    </row>
    <row r="1883" ht="15.75" customHeight="1">
      <c r="A1883" s="4">
        <v>1880.0</v>
      </c>
      <c r="B1883" s="4" t="s">
        <v>3789</v>
      </c>
      <c r="C1883" s="4" t="s">
        <v>3790</v>
      </c>
      <c r="D1883" s="4" t="s">
        <v>27</v>
      </c>
      <c r="E1883" s="6">
        <v>479795.0</v>
      </c>
      <c r="F1883" s="6">
        <v>627000.0</v>
      </c>
      <c r="G1883" s="6">
        <v>0.0</v>
      </c>
      <c r="H1883" s="6">
        <v>1217474.0</v>
      </c>
    </row>
    <row r="1884" ht="15.75" customHeight="1">
      <c r="A1884" s="4">
        <v>1881.0</v>
      </c>
      <c r="B1884" s="4" t="s">
        <v>3791</v>
      </c>
      <c r="C1884" s="4" t="s">
        <v>3792</v>
      </c>
      <c r="D1884" s="4" t="s">
        <v>27</v>
      </c>
      <c r="E1884" s="6">
        <v>13360.0</v>
      </c>
      <c r="F1884" s="6">
        <v>60000.0</v>
      </c>
      <c r="G1884" s="6">
        <v>0.0</v>
      </c>
      <c r="H1884" s="6">
        <v>80696.0</v>
      </c>
    </row>
    <row r="1885" ht="15.75" customHeight="1">
      <c r="A1885" s="4">
        <v>1882.0</v>
      </c>
      <c r="B1885" s="4" t="s">
        <v>3793</v>
      </c>
      <c r="C1885" s="4" t="s">
        <v>3794</v>
      </c>
      <c r="D1885" s="4" t="s">
        <v>27</v>
      </c>
      <c r="E1885" s="6">
        <v>19990.0</v>
      </c>
      <c r="F1885" s="6">
        <v>72000.0</v>
      </c>
      <c r="G1885" s="6">
        <v>0.0</v>
      </c>
      <c r="H1885" s="6">
        <v>101189.0</v>
      </c>
    </row>
    <row r="1886" ht="15.75" customHeight="1">
      <c r="A1886" s="4">
        <v>1883.0</v>
      </c>
      <c r="B1886" s="4" t="s">
        <v>3795</v>
      </c>
      <c r="C1886" s="4" t="s">
        <v>3796</v>
      </c>
      <c r="D1886" s="4" t="s">
        <v>27</v>
      </c>
      <c r="E1886" s="6">
        <v>26100.0</v>
      </c>
      <c r="F1886" s="6">
        <v>99750.0</v>
      </c>
      <c r="G1886" s="6">
        <v>0.0</v>
      </c>
      <c r="H1886" s="6">
        <v>138435.0</v>
      </c>
    </row>
    <row r="1887" ht="15.75" customHeight="1">
      <c r="A1887" s="4">
        <v>1884.0</v>
      </c>
      <c r="B1887" s="4" t="s">
        <v>3797</v>
      </c>
      <c r="C1887" s="4" t="s">
        <v>3798</v>
      </c>
      <c r="D1887" s="4" t="s">
        <v>27</v>
      </c>
      <c r="E1887" s="6">
        <v>32485.0</v>
      </c>
      <c r="F1887" s="6">
        <v>132750.0</v>
      </c>
      <c r="G1887" s="6">
        <v>0.0</v>
      </c>
      <c r="H1887" s="6">
        <v>181758.0</v>
      </c>
    </row>
    <row r="1888" ht="15.75" customHeight="1">
      <c r="A1888" s="4">
        <v>1885.0</v>
      </c>
      <c r="B1888" s="4" t="s">
        <v>3799</v>
      </c>
      <c r="C1888" s="4" t="s">
        <v>3800</v>
      </c>
      <c r="D1888" s="4" t="s">
        <v>27</v>
      </c>
      <c r="E1888" s="6">
        <v>39605.0</v>
      </c>
      <c r="F1888" s="6">
        <v>154500.0</v>
      </c>
      <c r="G1888" s="6">
        <v>0.0</v>
      </c>
      <c r="H1888" s="6">
        <v>213515.0</v>
      </c>
    </row>
    <row r="1889" ht="15.75" customHeight="1">
      <c r="A1889" s="4">
        <v>1886.0</v>
      </c>
      <c r="B1889" s="4" t="s">
        <v>3801</v>
      </c>
      <c r="C1889" s="4" t="s">
        <v>3802</v>
      </c>
      <c r="D1889" s="4" t="s">
        <v>27</v>
      </c>
      <c r="E1889" s="6">
        <v>52575.0</v>
      </c>
      <c r="F1889" s="6">
        <v>283500.0</v>
      </c>
      <c r="G1889" s="6">
        <v>0.0</v>
      </c>
      <c r="H1889" s="6">
        <v>369682.0</v>
      </c>
    </row>
    <row r="1890" ht="15.75" customHeight="1">
      <c r="A1890" s="4">
        <v>1887.0</v>
      </c>
      <c r="B1890" s="4" t="s">
        <v>3803</v>
      </c>
      <c r="C1890" s="4" t="s">
        <v>3804</v>
      </c>
      <c r="D1890" s="4" t="s">
        <v>27</v>
      </c>
      <c r="E1890" s="6">
        <v>65300.0</v>
      </c>
      <c r="F1890" s="6">
        <v>309000.0</v>
      </c>
      <c r="G1890" s="6">
        <v>0.0</v>
      </c>
      <c r="H1890" s="6">
        <v>411730.0</v>
      </c>
    </row>
    <row r="1891" ht="15.75" customHeight="1">
      <c r="A1891" s="4">
        <v>1888.0</v>
      </c>
      <c r="B1891" s="4" t="s">
        <v>3805</v>
      </c>
      <c r="C1891" s="4" t="s">
        <v>3806</v>
      </c>
      <c r="D1891" s="4" t="s">
        <v>27</v>
      </c>
      <c r="E1891" s="6">
        <v>90765.0</v>
      </c>
      <c r="F1891" s="6">
        <v>540000.0</v>
      </c>
      <c r="G1891" s="6">
        <v>0.0</v>
      </c>
      <c r="H1891" s="6">
        <v>693841.0</v>
      </c>
    </row>
    <row r="1892" ht="15.75" customHeight="1">
      <c r="A1892" s="4">
        <v>1889.0</v>
      </c>
      <c r="B1892" s="4" t="s">
        <v>3807</v>
      </c>
      <c r="C1892" s="4" t="s">
        <v>3808</v>
      </c>
      <c r="D1892" s="4" t="s">
        <v>27</v>
      </c>
      <c r="E1892" s="6">
        <v>120880.0</v>
      </c>
      <c r="F1892" s="6">
        <v>571500.0</v>
      </c>
      <c r="G1892" s="6">
        <v>0.0</v>
      </c>
      <c r="H1892" s="6">
        <v>761618.0</v>
      </c>
    </row>
    <row r="1893" ht="15.75" customHeight="1">
      <c r="A1893" s="4">
        <v>1890.0</v>
      </c>
      <c r="B1893" s="4" t="s">
        <v>3809</v>
      </c>
      <c r="C1893" s="4" t="s">
        <v>3810</v>
      </c>
      <c r="D1893" s="4" t="s">
        <v>27</v>
      </c>
      <c r="E1893" s="6">
        <v>150360.0</v>
      </c>
      <c r="F1893" s="6">
        <v>753000.0</v>
      </c>
      <c r="G1893" s="6">
        <v>0.0</v>
      </c>
      <c r="H1893" s="6">
        <v>993696.0</v>
      </c>
    </row>
    <row r="1894" ht="15.75" customHeight="1">
      <c r="A1894" s="4">
        <v>1891.0</v>
      </c>
      <c r="B1894" s="4" t="s">
        <v>3811</v>
      </c>
      <c r="C1894" s="4" t="s">
        <v>3812</v>
      </c>
      <c r="D1894" s="4" t="s">
        <v>27</v>
      </c>
      <c r="E1894" s="6">
        <v>180475.0</v>
      </c>
      <c r="F1894" s="6">
        <v>954000.0</v>
      </c>
      <c r="G1894" s="6">
        <v>0.0</v>
      </c>
      <c r="H1894" s="6">
        <v>1247922.0</v>
      </c>
    </row>
    <row r="1895" ht="15.75" customHeight="1">
      <c r="A1895" s="4">
        <v>1892.0</v>
      </c>
      <c r="B1895" s="4" t="s">
        <v>3813</v>
      </c>
      <c r="C1895" s="4" t="s">
        <v>3814</v>
      </c>
      <c r="D1895" s="4" t="s">
        <v>27</v>
      </c>
      <c r="E1895" s="6">
        <v>240070.0</v>
      </c>
      <c r="F1895" s="6">
        <v>1481250.0</v>
      </c>
      <c r="G1895" s="6">
        <v>0.0</v>
      </c>
      <c r="H1895" s="6">
        <v>1893452.0</v>
      </c>
    </row>
    <row r="1896" ht="15.75" customHeight="1">
      <c r="A1896" s="4">
        <v>1893.0</v>
      </c>
      <c r="B1896" s="4" t="s">
        <v>3815</v>
      </c>
      <c r="C1896" s="4" t="s">
        <v>3816</v>
      </c>
      <c r="D1896" s="4" t="s">
        <v>27</v>
      </c>
      <c r="E1896" s="6">
        <v>300375.0</v>
      </c>
      <c r="F1896" s="6">
        <v>1983750.0</v>
      </c>
      <c r="G1896" s="6">
        <v>0.0</v>
      </c>
      <c r="H1896" s="6">
        <v>2512537.0</v>
      </c>
    </row>
    <row r="1897" ht="15.75" customHeight="1">
      <c r="A1897" s="4">
        <v>1894.0</v>
      </c>
      <c r="B1897" s="4" t="s">
        <v>3817</v>
      </c>
      <c r="C1897" s="4" t="s">
        <v>3818</v>
      </c>
      <c r="D1897" s="4" t="s">
        <v>27</v>
      </c>
      <c r="E1897" s="6">
        <v>359970.0</v>
      </c>
      <c r="F1897" s="6">
        <v>2109000.0</v>
      </c>
      <c r="G1897" s="6">
        <v>0.0</v>
      </c>
      <c r="H1897" s="6">
        <v>2715867.0</v>
      </c>
    </row>
    <row r="1898" ht="15.75" customHeight="1">
      <c r="A1898" s="4">
        <v>1895.0</v>
      </c>
      <c r="B1898" s="4" t="s">
        <v>3819</v>
      </c>
      <c r="C1898" s="4" t="s">
        <v>3820</v>
      </c>
      <c r="D1898" s="4" t="s">
        <v>27</v>
      </c>
      <c r="E1898" s="6">
        <v>420200.0</v>
      </c>
      <c r="F1898" s="6">
        <v>2196000.0</v>
      </c>
      <c r="G1898" s="6">
        <v>0.0</v>
      </c>
      <c r="H1898" s="6">
        <v>2877820.0</v>
      </c>
    </row>
    <row r="1899" ht="15.75" customHeight="1">
      <c r="A1899" s="4">
        <v>1896.0</v>
      </c>
      <c r="B1899" s="4" t="s">
        <v>3821</v>
      </c>
      <c r="C1899" s="4" t="s">
        <v>3822</v>
      </c>
      <c r="D1899" s="4" t="s">
        <v>27</v>
      </c>
      <c r="E1899" s="6">
        <v>479795.0</v>
      </c>
      <c r="F1899" s="6">
        <v>2253000.0</v>
      </c>
      <c r="G1899" s="6">
        <v>0.0</v>
      </c>
      <c r="H1899" s="6">
        <v>3006074.0</v>
      </c>
    </row>
    <row r="1900" ht="15.75" customHeight="1">
      <c r="A1900" s="9">
        <v>1897.0</v>
      </c>
      <c r="B1900" s="9" t="s">
        <v>3823</v>
      </c>
      <c r="C1900" s="10" t="s">
        <v>3824</v>
      </c>
      <c r="D1900" s="9"/>
      <c r="E1900" s="11"/>
      <c r="F1900" s="11"/>
      <c r="G1900" s="11"/>
      <c r="H1900" s="11"/>
    </row>
    <row r="1901" ht="15.75" customHeight="1">
      <c r="A1901" s="4">
        <v>1898.0</v>
      </c>
      <c r="B1901" s="4" t="s">
        <v>3825</v>
      </c>
      <c r="C1901" s="4" t="s">
        <v>3826</v>
      </c>
      <c r="D1901" s="4" t="s">
        <v>27</v>
      </c>
      <c r="E1901" s="6">
        <v>7900.000000000001</v>
      </c>
      <c r="F1901" s="6">
        <v>26565.0</v>
      </c>
      <c r="G1901" s="6">
        <v>0.0</v>
      </c>
      <c r="H1901" s="6">
        <v>37911.0</v>
      </c>
    </row>
    <row r="1902" ht="15.75" customHeight="1">
      <c r="A1902" s="4">
        <v>1899.0</v>
      </c>
      <c r="B1902" s="4" t="s">
        <v>3827</v>
      </c>
      <c r="C1902" s="4" t="s">
        <v>3828</v>
      </c>
      <c r="D1902" s="4" t="s">
        <v>27</v>
      </c>
      <c r="E1902" s="6">
        <v>11915.0</v>
      </c>
      <c r="F1902" s="6">
        <v>32505.0</v>
      </c>
      <c r="G1902" s="6">
        <v>0.0</v>
      </c>
      <c r="H1902" s="6">
        <v>48862.0</v>
      </c>
    </row>
    <row r="1903" ht="15.75" customHeight="1">
      <c r="A1903" s="4">
        <v>1900.0</v>
      </c>
      <c r="B1903" s="4" t="s">
        <v>3829</v>
      </c>
      <c r="C1903" s="4" t="s">
        <v>3830</v>
      </c>
      <c r="D1903" s="4" t="s">
        <v>27</v>
      </c>
      <c r="E1903" s="6">
        <v>16610.0</v>
      </c>
      <c r="F1903" s="6">
        <v>47025.0</v>
      </c>
      <c r="G1903" s="6">
        <v>0.0</v>
      </c>
      <c r="H1903" s="6">
        <v>69998.0</v>
      </c>
    </row>
    <row r="1904" ht="15.75" customHeight="1">
      <c r="A1904" s="4">
        <v>1901.0</v>
      </c>
      <c r="B1904" s="4" t="s">
        <v>3831</v>
      </c>
      <c r="C1904" s="4" t="s">
        <v>3832</v>
      </c>
      <c r="D1904" s="4" t="s">
        <v>27</v>
      </c>
      <c r="E1904" s="6">
        <v>20625.0</v>
      </c>
      <c r="F1904" s="6">
        <v>69300.0</v>
      </c>
      <c r="G1904" s="6">
        <v>0.0</v>
      </c>
      <c r="H1904" s="6">
        <v>98917.0</v>
      </c>
    </row>
    <row r="1905" ht="15.75" customHeight="1">
      <c r="A1905" s="4">
        <v>1902.0</v>
      </c>
      <c r="B1905" s="4" t="s">
        <v>3833</v>
      </c>
      <c r="C1905" s="4" t="s">
        <v>3834</v>
      </c>
      <c r="D1905" s="4" t="s">
        <v>27</v>
      </c>
      <c r="E1905" s="6">
        <v>24685.0</v>
      </c>
      <c r="F1905" s="6">
        <v>103125.0</v>
      </c>
      <c r="G1905" s="6">
        <v>0.0</v>
      </c>
      <c r="H1905" s="6">
        <v>140591.0</v>
      </c>
    </row>
    <row r="1906" ht="15.75" customHeight="1">
      <c r="A1906" s="4">
        <v>1903.0</v>
      </c>
      <c r="B1906" s="4" t="s">
        <v>3835</v>
      </c>
      <c r="C1906" s="4" t="s">
        <v>3836</v>
      </c>
      <c r="D1906" s="4" t="s">
        <v>27</v>
      </c>
      <c r="E1906" s="6">
        <v>29480.0</v>
      </c>
      <c r="F1906" s="6">
        <v>158400.0</v>
      </c>
      <c r="G1906" s="6">
        <v>0.0</v>
      </c>
      <c r="H1906" s="6">
        <v>206668.0</v>
      </c>
    </row>
    <row r="1907" ht="15.75" customHeight="1">
      <c r="A1907" s="4">
        <v>1904.0</v>
      </c>
      <c r="B1907" s="4" t="s">
        <v>3837</v>
      </c>
      <c r="C1907" s="4" t="s">
        <v>3838</v>
      </c>
      <c r="D1907" s="4" t="s">
        <v>27</v>
      </c>
      <c r="E1907" s="6">
        <v>41195.0</v>
      </c>
      <c r="F1907" s="6">
        <v>217800.0</v>
      </c>
      <c r="G1907" s="6">
        <v>0.0</v>
      </c>
      <c r="H1907" s="6">
        <v>284894.0</v>
      </c>
    </row>
    <row r="1908" ht="15.75" customHeight="1">
      <c r="A1908" s="4">
        <v>1905.0</v>
      </c>
      <c r="B1908" s="4" t="s">
        <v>3839</v>
      </c>
      <c r="C1908" s="4" t="s">
        <v>3840</v>
      </c>
      <c r="D1908" s="4" t="s">
        <v>27</v>
      </c>
      <c r="E1908" s="6">
        <v>49270.0</v>
      </c>
      <c r="F1908" s="6">
        <v>302775.0</v>
      </c>
      <c r="G1908" s="6">
        <v>0.0</v>
      </c>
      <c r="H1908" s="6">
        <v>387249.0</v>
      </c>
    </row>
    <row r="1909" ht="15.75" customHeight="1">
      <c r="A1909" s="4">
        <v>1906.0</v>
      </c>
      <c r="B1909" s="4" t="s">
        <v>3841</v>
      </c>
      <c r="C1909" s="4" t="s">
        <v>3842</v>
      </c>
      <c r="D1909" s="4" t="s">
        <v>27</v>
      </c>
      <c r="E1909" s="6">
        <v>66080.0</v>
      </c>
      <c r="F1909" s="6">
        <v>456390.0</v>
      </c>
      <c r="G1909" s="6">
        <v>0.0</v>
      </c>
      <c r="H1909" s="6">
        <v>574717.0</v>
      </c>
    </row>
    <row r="1910" ht="15.75" customHeight="1">
      <c r="A1910" s="4">
        <v>1907.0</v>
      </c>
      <c r="B1910" s="4" t="s">
        <v>3843</v>
      </c>
      <c r="C1910" s="4" t="s">
        <v>3844</v>
      </c>
      <c r="D1910" s="4" t="s">
        <v>27</v>
      </c>
      <c r="E1910" s="6">
        <v>99200.0</v>
      </c>
      <c r="F1910" s="6">
        <v>1535325.0</v>
      </c>
      <c r="G1910" s="6">
        <v>0.0</v>
      </c>
      <c r="H1910" s="6">
        <v>1797977.0</v>
      </c>
    </row>
    <row r="1911" ht="15.75" customHeight="1">
      <c r="A1911" s="4">
        <v>1908.0</v>
      </c>
      <c r="B1911" s="4" t="s">
        <v>3845</v>
      </c>
      <c r="C1911" s="4" t="s">
        <v>3846</v>
      </c>
      <c r="D1911" s="4" t="s">
        <v>27</v>
      </c>
      <c r="E1911" s="6">
        <v>7900.000000000001</v>
      </c>
      <c r="F1911" s="6">
        <v>1536150.0</v>
      </c>
      <c r="G1911" s="6">
        <v>0.0</v>
      </c>
      <c r="H1911" s="6">
        <v>1698455.0</v>
      </c>
    </row>
    <row r="1912" ht="15.75" customHeight="1">
      <c r="A1912" s="4">
        <v>1909.0</v>
      </c>
      <c r="B1912" s="4" t="s">
        <v>3847</v>
      </c>
      <c r="C1912" s="4" t="s">
        <v>3848</v>
      </c>
      <c r="D1912" s="4" t="s">
        <v>27</v>
      </c>
      <c r="E1912" s="6">
        <v>11915.0</v>
      </c>
      <c r="F1912" s="6">
        <v>47850.0</v>
      </c>
      <c r="G1912" s="6">
        <v>0.0</v>
      </c>
      <c r="H1912" s="6">
        <v>65741.0</v>
      </c>
    </row>
    <row r="1913" ht="15.75" customHeight="1">
      <c r="A1913" s="4">
        <v>1910.0</v>
      </c>
      <c r="B1913" s="4" t="s">
        <v>3849</v>
      </c>
      <c r="C1913" s="4" t="s">
        <v>3850</v>
      </c>
      <c r="D1913" s="4" t="s">
        <v>27</v>
      </c>
      <c r="E1913" s="6">
        <v>16610.0</v>
      </c>
      <c r="F1913" s="6">
        <v>72600.0</v>
      </c>
      <c r="G1913" s="6">
        <v>0.0</v>
      </c>
      <c r="H1913" s="6">
        <v>98131.0</v>
      </c>
    </row>
    <row r="1914" ht="15.75" customHeight="1">
      <c r="A1914" s="4">
        <v>1911.0</v>
      </c>
      <c r="B1914" s="4" t="s">
        <v>3851</v>
      </c>
      <c r="C1914" s="4" t="s">
        <v>3852</v>
      </c>
      <c r="D1914" s="4" t="s">
        <v>27</v>
      </c>
      <c r="E1914" s="6">
        <v>20625.0</v>
      </c>
      <c r="F1914" s="6">
        <v>107250.0</v>
      </c>
      <c r="G1914" s="6">
        <v>0.0</v>
      </c>
      <c r="H1914" s="6">
        <v>140662.0</v>
      </c>
    </row>
    <row r="1915" ht="15.75" customHeight="1">
      <c r="A1915" s="4">
        <v>1912.0</v>
      </c>
      <c r="B1915" s="4" t="s">
        <v>3853</v>
      </c>
      <c r="C1915" s="4" t="s">
        <v>3854</v>
      </c>
      <c r="D1915" s="4" t="s">
        <v>27</v>
      </c>
      <c r="E1915" s="6">
        <v>24685.0</v>
      </c>
      <c r="F1915" s="6">
        <v>162525.0</v>
      </c>
      <c r="G1915" s="6">
        <v>0.0</v>
      </c>
      <c r="H1915" s="6">
        <v>205931.0</v>
      </c>
    </row>
    <row r="1916" ht="15.75" customHeight="1">
      <c r="A1916" s="4">
        <v>1913.0</v>
      </c>
      <c r="B1916" s="4" t="s">
        <v>3855</v>
      </c>
      <c r="C1916" s="4" t="s">
        <v>3856</v>
      </c>
      <c r="D1916" s="4" t="s">
        <v>27</v>
      </c>
      <c r="E1916" s="6">
        <v>33540.0</v>
      </c>
      <c r="F1916" s="6">
        <v>252450.0</v>
      </c>
      <c r="G1916" s="6">
        <v>0.0</v>
      </c>
      <c r="H1916" s="6">
        <v>314589.0</v>
      </c>
    </row>
    <row r="1917" ht="15.75" customHeight="1">
      <c r="A1917" s="4">
        <v>1914.0</v>
      </c>
      <c r="B1917" s="4" t="s">
        <v>3857</v>
      </c>
      <c r="C1917" s="4" t="s">
        <v>3858</v>
      </c>
      <c r="D1917" s="4" t="s">
        <v>27</v>
      </c>
      <c r="E1917" s="6">
        <v>41195.0</v>
      </c>
      <c r="F1917" s="6">
        <v>353925.0</v>
      </c>
      <c r="G1917" s="6">
        <v>0.0</v>
      </c>
      <c r="H1917" s="6">
        <v>434632.0</v>
      </c>
    </row>
    <row r="1918" ht="15.75" customHeight="1">
      <c r="A1918" s="4">
        <v>1915.0</v>
      </c>
      <c r="B1918" s="4" t="s">
        <v>3859</v>
      </c>
      <c r="C1918" s="4" t="s">
        <v>3860</v>
      </c>
      <c r="D1918" s="4" t="s">
        <v>27</v>
      </c>
      <c r="E1918" s="6">
        <v>49270.0</v>
      </c>
      <c r="F1918" s="6">
        <v>504075.0</v>
      </c>
      <c r="G1918" s="6">
        <v>0.0</v>
      </c>
      <c r="H1918" s="6">
        <v>608679.0</v>
      </c>
    </row>
    <row r="1919" ht="15.75" customHeight="1">
      <c r="A1919" s="4">
        <v>1916.0</v>
      </c>
      <c r="B1919" s="4" t="s">
        <v>3861</v>
      </c>
      <c r="C1919" s="4" t="s">
        <v>3862</v>
      </c>
      <c r="D1919" s="4" t="s">
        <v>27</v>
      </c>
      <c r="E1919" s="6">
        <v>66080.0</v>
      </c>
      <c r="F1919" s="6">
        <v>749100.0</v>
      </c>
      <c r="G1919" s="6">
        <v>0.0</v>
      </c>
      <c r="H1919" s="6">
        <v>896698.0</v>
      </c>
    </row>
    <row r="1920" ht="15.75" customHeight="1">
      <c r="A1920" s="4">
        <v>1917.0</v>
      </c>
      <c r="B1920" s="4" t="s">
        <v>3863</v>
      </c>
      <c r="C1920" s="4" t="s">
        <v>3864</v>
      </c>
      <c r="D1920" s="4" t="s">
        <v>27</v>
      </c>
      <c r="E1920" s="6">
        <v>99200.0</v>
      </c>
      <c r="F1920" s="6">
        <v>2532750.0</v>
      </c>
      <c r="G1920" s="6">
        <v>0.0</v>
      </c>
      <c r="H1920" s="6">
        <v>2895145.0</v>
      </c>
    </row>
    <row r="1921" ht="15.75" customHeight="1">
      <c r="A1921" s="9">
        <v>1918.0</v>
      </c>
      <c r="B1921" s="9" t="s">
        <v>3865</v>
      </c>
      <c r="C1921" s="10" t="s">
        <v>3866</v>
      </c>
      <c r="D1921" s="9"/>
      <c r="E1921" s="11"/>
      <c r="F1921" s="11"/>
      <c r="G1921" s="11"/>
      <c r="H1921" s="11"/>
    </row>
    <row r="1922" ht="15.75" customHeight="1">
      <c r="A1922" s="4">
        <v>1919.0</v>
      </c>
      <c r="B1922" s="4" t="s">
        <v>3867</v>
      </c>
      <c r="C1922" s="4" t="s">
        <v>3868</v>
      </c>
      <c r="D1922" s="4" t="s">
        <v>27</v>
      </c>
      <c r="E1922" s="6">
        <v>13360.0</v>
      </c>
      <c r="F1922" s="6">
        <v>47275.0</v>
      </c>
      <c r="G1922" s="6">
        <v>0.0</v>
      </c>
      <c r="H1922" s="6">
        <v>66698.0</v>
      </c>
    </row>
    <row r="1923" ht="15.75" customHeight="1">
      <c r="A1923" s="4">
        <v>1920.0</v>
      </c>
      <c r="B1923" s="4" t="s">
        <v>3869</v>
      </c>
      <c r="C1923" s="4" t="s">
        <v>3870</v>
      </c>
      <c r="D1923" s="4" t="s">
        <v>27</v>
      </c>
      <c r="E1923" s="6">
        <v>19990.0</v>
      </c>
      <c r="F1923" s="6">
        <v>58125.0</v>
      </c>
      <c r="G1923" s="6">
        <v>0.0</v>
      </c>
      <c r="H1923" s="6">
        <v>85926.0</v>
      </c>
    </row>
    <row r="1924" ht="15.75" customHeight="1">
      <c r="A1924" s="4">
        <v>1921.0</v>
      </c>
      <c r="B1924" s="4" t="s">
        <v>3871</v>
      </c>
      <c r="C1924" s="4" t="s">
        <v>3872</v>
      </c>
      <c r="D1924" s="4" t="s">
        <v>27</v>
      </c>
      <c r="E1924" s="6">
        <v>26100.0</v>
      </c>
      <c r="F1924" s="6">
        <v>82150.0</v>
      </c>
      <c r="G1924" s="6">
        <v>0.0</v>
      </c>
      <c r="H1924" s="6">
        <v>119075.0</v>
      </c>
    </row>
    <row r="1925" ht="15.75" customHeight="1">
      <c r="A1925" s="4">
        <v>1922.0</v>
      </c>
      <c r="B1925" s="4" t="s">
        <v>3873</v>
      </c>
      <c r="C1925" s="4" t="s">
        <v>3874</v>
      </c>
      <c r="D1925" s="4" t="s">
        <v>27</v>
      </c>
      <c r="E1925" s="6">
        <v>32485.0</v>
      </c>
      <c r="F1925" s="6">
        <v>105400.0</v>
      </c>
      <c r="G1925" s="6">
        <v>0.0</v>
      </c>
      <c r="H1925" s="6">
        <v>151673.0</v>
      </c>
    </row>
    <row r="1926" ht="15.75" customHeight="1">
      <c r="A1926" s="4">
        <v>1923.0</v>
      </c>
      <c r="B1926" s="4" t="s">
        <v>3875</v>
      </c>
      <c r="C1926" s="4" t="s">
        <v>3876</v>
      </c>
      <c r="D1926" s="4" t="s">
        <v>27</v>
      </c>
      <c r="E1926" s="6">
        <v>39605.0</v>
      </c>
      <c r="F1926" s="6">
        <v>119350.0</v>
      </c>
      <c r="G1926" s="6">
        <v>0.0</v>
      </c>
      <c r="H1926" s="6">
        <v>174850.0</v>
      </c>
    </row>
    <row r="1927" ht="15.75" customHeight="1">
      <c r="A1927" s="4">
        <v>1924.0</v>
      </c>
      <c r="B1927" s="4" t="s">
        <v>3877</v>
      </c>
      <c r="C1927" s="4" t="s">
        <v>3878</v>
      </c>
      <c r="D1927" s="4" t="s">
        <v>27</v>
      </c>
      <c r="E1927" s="6">
        <v>52575.0</v>
      </c>
      <c r="F1927" s="6">
        <v>159650.0</v>
      </c>
      <c r="G1927" s="6">
        <v>0.0</v>
      </c>
      <c r="H1927" s="6">
        <v>233447.0</v>
      </c>
    </row>
    <row r="1928" ht="15.75" customHeight="1">
      <c r="A1928" s="4">
        <v>1925.0</v>
      </c>
      <c r="B1928" s="4" t="s">
        <v>3879</v>
      </c>
      <c r="C1928" s="4" t="s">
        <v>3880</v>
      </c>
      <c r="D1928" s="4" t="s">
        <v>27</v>
      </c>
      <c r="E1928" s="6">
        <v>65300.0</v>
      </c>
      <c r="F1928" s="6">
        <v>201500.0</v>
      </c>
      <c r="G1928" s="6">
        <v>0.0</v>
      </c>
      <c r="H1928" s="6">
        <v>293480.0</v>
      </c>
    </row>
    <row r="1929" ht="15.75" customHeight="1">
      <c r="A1929" s="4">
        <v>1926.0</v>
      </c>
      <c r="B1929" s="4" t="s">
        <v>3881</v>
      </c>
      <c r="C1929" s="4" t="s">
        <v>3882</v>
      </c>
      <c r="D1929" s="4" t="s">
        <v>27</v>
      </c>
      <c r="E1929" s="6">
        <v>90765.0</v>
      </c>
      <c r="F1929" s="6">
        <v>257300.0</v>
      </c>
      <c r="G1929" s="6">
        <v>0.0</v>
      </c>
      <c r="H1929" s="6">
        <v>382871.0</v>
      </c>
    </row>
    <row r="1930" ht="15.75" customHeight="1">
      <c r="A1930" s="4">
        <v>1927.0</v>
      </c>
      <c r="B1930" s="4" t="s">
        <v>3883</v>
      </c>
      <c r="C1930" s="4" t="s">
        <v>3884</v>
      </c>
      <c r="D1930" s="4" t="s">
        <v>27</v>
      </c>
      <c r="E1930" s="6">
        <v>120880.0</v>
      </c>
      <c r="F1930" s="6">
        <v>368125.0</v>
      </c>
      <c r="G1930" s="6">
        <v>0.0</v>
      </c>
      <c r="H1930" s="6">
        <v>537905.0</v>
      </c>
    </row>
    <row r="1931" ht="15.75" customHeight="1">
      <c r="A1931" s="4">
        <v>1928.0</v>
      </c>
      <c r="B1931" s="4" t="s">
        <v>3885</v>
      </c>
      <c r="C1931" s="4" t="s">
        <v>3886</v>
      </c>
      <c r="D1931" s="4" t="s">
        <v>27</v>
      </c>
      <c r="E1931" s="6">
        <v>150360.0</v>
      </c>
      <c r="F1931" s="6">
        <v>492125.0</v>
      </c>
      <c r="G1931" s="6">
        <v>0.0</v>
      </c>
      <c r="H1931" s="6">
        <v>706733.0</v>
      </c>
    </row>
    <row r="1932" ht="15.75" customHeight="1">
      <c r="A1932" s="4">
        <v>1929.0</v>
      </c>
      <c r="B1932" s="4" t="s">
        <v>3887</v>
      </c>
      <c r="C1932" s="4" t="s">
        <v>3888</v>
      </c>
      <c r="D1932" s="4" t="s">
        <v>27</v>
      </c>
      <c r="E1932" s="6">
        <v>180475.0</v>
      </c>
      <c r="F1932" s="6">
        <v>584350.0</v>
      </c>
      <c r="G1932" s="6">
        <v>0.0</v>
      </c>
      <c r="H1932" s="6">
        <v>841307.0</v>
      </c>
    </row>
    <row r="1933" ht="15.75" customHeight="1">
      <c r="A1933" s="4">
        <v>1930.0</v>
      </c>
      <c r="B1933" s="4" t="s">
        <v>3889</v>
      </c>
      <c r="C1933" s="4" t="s">
        <v>3890</v>
      </c>
      <c r="D1933" s="4" t="s">
        <v>27</v>
      </c>
      <c r="E1933" s="6">
        <v>240070.0</v>
      </c>
      <c r="F1933" s="6">
        <v>1028425.0</v>
      </c>
      <c r="G1933" s="6">
        <v>0.0</v>
      </c>
      <c r="H1933" s="6">
        <v>1395344.0</v>
      </c>
    </row>
    <row r="1934" ht="15.75" customHeight="1">
      <c r="A1934" s="4">
        <v>1931.0</v>
      </c>
      <c r="B1934" s="4" t="s">
        <v>3891</v>
      </c>
      <c r="C1934" s="4" t="s">
        <v>3892</v>
      </c>
      <c r="D1934" s="4" t="s">
        <v>27</v>
      </c>
      <c r="E1934" s="6">
        <v>300375.0</v>
      </c>
      <c r="F1934" s="6">
        <v>1171800.0</v>
      </c>
      <c r="G1934" s="6">
        <v>0.0</v>
      </c>
      <c r="H1934" s="6">
        <v>1619392.0</v>
      </c>
    </row>
    <row r="1935" ht="15.75" customHeight="1">
      <c r="A1935" s="4">
        <v>1932.0</v>
      </c>
      <c r="B1935" s="4" t="s">
        <v>3893</v>
      </c>
      <c r="C1935" s="4" t="s">
        <v>3894</v>
      </c>
      <c r="D1935" s="4" t="s">
        <v>27</v>
      </c>
      <c r="E1935" s="6">
        <v>359970.0</v>
      </c>
      <c r="F1935" s="6">
        <v>1368650.0</v>
      </c>
      <c r="G1935" s="6">
        <v>0.0</v>
      </c>
      <c r="H1935" s="6">
        <v>1901482.0</v>
      </c>
    </row>
    <row r="1936" ht="15.75" customHeight="1">
      <c r="A1936" s="4">
        <v>1933.0</v>
      </c>
      <c r="B1936" s="4" t="s">
        <v>3895</v>
      </c>
      <c r="C1936" s="4" t="s">
        <v>3896</v>
      </c>
      <c r="D1936" s="4" t="s">
        <v>27</v>
      </c>
      <c r="E1936" s="6">
        <v>420200.0</v>
      </c>
      <c r="F1936" s="6">
        <v>1683300.0</v>
      </c>
      <c r="G1936" s="6">
        <v>0.0</v>
      </c>
      <c r="H1936" s="6">
        <v>2313850.0</v>
      </c>
    </row>
    <row r="1937" ht="15.75" customHeight="1">
      <c r="A1937" s="4">
        <v>1934.0</v>
      </c>
      <c r="B1937" s="4" t="s">
        <v>3897</v>
      </c>
      <c r="C1937" s="4" t="s">
        <v>3898</v>
      </c>
      <c r="D1937" s="4" t="s">
        <v>27</v>
      </c>
      <c r="E1937" s="6">
        <v>479795.0</v>
      </c>
      <c r="F1937" s="6">
        <v>1923550.0</v>
      </c>
      <c r="G1937" s="6">
        <v>0.0</v>
      </c>
      <c r="H1937" s="6">
        <v>2643679.0</v>
      </c>
    </row>
    <row r="1938" ht="15.75" customHeight="1">
      <c r="A1938" s="9">
        <v>1935.0</v>
      </c>
      <c r="B1938" s="9" t="s">
        <v>3899</v>
      </c>
      <c r="C1938" s="10" t="s">
        <v>3900</v>
      </c>
      <c r="D1938" s="9"/>
      <c r="E1938" s="11"/>
      <c r="F1938" s="11"/>
      <c r="G1938" s="11"/>
      <c r="H1938" s="11"/>
    </row>
    <row r="1939" ht="15.75" customHeight="1">
      <c r="A1939" s="9">
        <v>1936.0</v>
      </c>
      <c r="B1939" s="9" t="s">
        <v>3901</v>
      </c>
      <c r="C1939" s="10" t="s">
        <v>3902</v>
      </c>
      <c r="D1939" s="9"/>
      <c r="E1939" s="11"/>
      <c r="F1939" s="11"/>
      <c r="G1939" s="11"/>
      <c r="H1939" s="11"/>
    </row>
    <row r="1940" ht="15.75" customHeight="1">
      <c r="A1940" s="9">
        <v>1937.0</v>
      </c>
      <c r="B1940" s="9" t="s">
        <v>3903</v>
      </c>
      <c r="C1940" s="10" t="s">
        <v>3904</v>
      </c>
      <c r="D1940" s="9"/>
      <c r="E1940" s="11"/>
      <c r="F1940" s="11"/>
      <c r="G1940" s="11"/>
      <c r="H1940" s="11"/>
    </row>
    <row r="1941" ht="15.75" customHeight="1">
      <c r="A1941" s="9">
        <v>1938.0</v>
      </c>
      <c r="B1941" s="9" t="s">
        <v>3905</v>
      </c>
      <c r="C1941" s="10" t="s">
        <v>3906</v>
      </c>
      <c r="D1941" s="9"/>
      <c r="E1941" s="11"/>
      <c r="F1941" s="11"/>
      <c r="G1941" s="11"/>
      <c r="H1941" s="11"/>
    </row>
    <row r="1942" ht="15.75" customHeight="1">
      <c r="A1942" s="9">
        <v>1939.0</v>
      </c>
      <c r="B1942" s="9" t="s">
        <v>3907</v>
      </c>
      <c r="C1942" s="10" t="s">
        <v>3908</v>
      </c>
      <c r="D1942" s="9"/>
      <c r="E1942" s="11"/>
      <c r="F1942" s="11"/>
      <c r="G1942" s="11"/>
      <c r="H1942" s="11"/>
    </row>
    <row r="1943" ht="15.75" customHeight="1">
      <c r="A1943" s="9">
        <v>1940.0</v>
      </c>
      <c r="B1943" s="9" t="s">
        <v>3909</v>
      </c>
      <c r="C1943" s="10" t="s">
        <v>3910</v>
      </c>
      <c r="D1943" s="9"/>
      <c r="E1943" s="11"/>
      <c r="F1943" s="11"/>
      <c r="G1943" s="11"/>
      <c r="H1943" s="11"/>
    </row>
    <row r="1944" ht="15.75" customHeight="1">
      <c r="A1944" s="9">
        <v>1941.0</v>
      </c>
      <c r="B1944" s="9" t="s">
        <v>3911</v>
      </c>
      <c r="C1944" s="10" t="s">
        <v>3912</v>
      </c>
      <c r="D1944" s="9"/>
      <c r="E1944" s="11"/>
      <c r="F1944" s="11"/>
      <c r="G1944" s="11"/>
      <c r="H1944" s="11"/>
    </row>
    <row r="1945" ht="15.75" customHeight="1">
      <c r="A1945" s="9">
        <v>1942.0</v>
      </c>
      <c r="B1945" s="9" t="s">
        <v>3913</v>
      </c>
      <c r="C1945" s="10" t="s">
        <v>3914</v>
      </c>
      <c r="D1945" s="9"/>
      <c r="E1945" s="11"/>
      <c r="F1945" s="11"/>
      <c r="G1945" s="11"/>
      <c r="H1945" s="11"/>
    </row>
    <row r="1946" ht="15.75" customHeight="1">
      <c r="A1946" s="9">
        <v>1943.0</v>
      </c>
      <c r="B1946" s="9" t="s">
        <v>3915</v>
      </c>
      <c r="C1946" s="10" t="s">
        <v>3916</v>
      </c>
      <c r="D1946" s="9"/>
      <c r="E1946" s="11"/>
      <c r="F1946" s="11"/>
      <c r="G1946" s="11"/>
      <c r="H1946" s="11"/>
    </row>
    <row r="1947" ht="15.75" customHeight="1">
      <c r="A1947" s="9">
        <v>1944.0</v>
      </c>
      <c r="B1947" s="9" t="s">
        <v>3917</v>
      </c>
      <c r="C1947" s="10" t="s">
        <v>3918</v>
      </c>
      <c r="D1947" s="9"/>
      <c r="E1947" s="11"/>
      <c r="F1947" s="11"/>
      <c r="G1947" s="11"/>
      <c r="H1947" s="11"/>
    </row>
    <row r="1948" ht="15.75" customHeight="1">
      <c r="A1948" s="9">
        <v>1945.0</v>
      </c>
      <c r="B1948" s="9" t="s">
        <v>3919</v>
      </c>
      <c r="C1948" s="10" t="s">
        <v>3920</v>
      </c>
      <c r="D1948" s="9"/>
      <c r="E1948" s="11"/>
      <c r="F1948" s="11"/>
      <c r="G1948" s="11"/>
      <c r="H1948" s="11"/>
    </row>
    <row r="1949" ht="15.75" customHeight="1">
      <c r="A1949" s="9">
        <v>1946.0</v>
      </c>
      <c r="B1949" s="9" t="s">
        <v>3921</v>
      </c>
      <c r="C1949" s="10" t="s">
        <v>3922</v>
      </c>
      <c r="D1949" s="9"/>
      <c r="E1949" s="11"/>
      <c r="F1949" s="11"/>
      <c r="G1949" s="11"/>
      <c r="H1949" s="11"/>
    </row>
    <row r="1950" ht="15.75" customHeight="1">
      <c r="A1950" s="9">
        <v>1947.0</v>
      </c>
      <c r="B1950" s="9" t="s">
        <v>3923</v>
      </c>
      <c r="C1950" s="10" t="s">
        <v>3924</v>
      </c>
      <c r="D1950" s="9"/>
      <c r="E1950" s="11"/>
      <c r="F1950" s="11"/>
      <c r="G1950" s="11"/>
      <c r="H1950" s="11"/>
    </row>
    <row r="1951" ht="15.75" customHeight="1">
      <c r="A1951" s="9">
        <v>1948.0</v>
      </c>
      <c r="B1951" s="9" t="s">
        <v>3925</v>
      </c>
      <c r="C1951" s="10" t="s">
        <v>3926</v>
      </c>
      <c r="D1951" s="9"/>
      <c r="E1951" s="11"/>
      <c r="F1951" s="11"/>
      <c r="G1951" s="11"/>
      <c r="H1951" s="11"/>
    </row>
    <row r="1952" ht="15.75" customHeight="1">
      <c r="A1952" s="9">
        <v>1949.0</v>
      </c>
      <c r="B1952" s="9" t="s">
        <v>3927</v>
      </c>
      <c r="C1952" s="10" t="s">
        <v>3928</v>
      </c>
      <c r="D1952" s="9"/>
      <c r="E1952" s="11"/>
      <c r="F1952" s="11"/>
      <c r="G1952" s="11"/>
      <c r="H1952" s="11"/>
    </row>
    <row r="1953" ht="15.75" customHeight="1">
      <c r="A1953" s="9">
        <v>1950.0</v>
      </c>
      <c r="B1953" s="9" t="s">
        <v>3929</v>
      </c>
      <c r="C1953" s="10" t="s">
        <v>3930</v>
      </c>
      <c r="D1953" s="9"/>
      <c r="E1953" s="11"/>
      <c r="F1953" s="11"/>
      <c r="G1953" s="11"/>
      <c r="H1953" s="11"/>
    </row>
    <row r="1954" ht="15.75" customHeight="1">
      <c r="A1954" s="9">
        <v>1951.0</v>
      </c>
      <c r="B1954" s="9" t="s">
        <v>3931</v>
      </c>
      <c r="C1954" s="10" t="s">
        <v>3932</v>
      </c>
      <c r="D1954" s="9"/>
      <c r="E1954" s="11"/>
      <c r="F1954" s="11"/>
      <c r="G1954" s="11"/>
      <c r="H1954" s="11"/>
    </row>
    <row r="1955" ht="15.75" customHeight="1">
      <c r="A1955" s="4">
        <v>1952.0</v>
      </c>
      <c r="B1955" s="4" t="s">
        <v>3933</v>
      </c>
      <c r="C1955" s="4" t="s">
        <v>3934</v>
      </c>
      <c r="D1955" s="4" t="s">
        <v>27</v>
      </c>
      <c r="E1955" s="6">
        <v>11475.0</v>
      </c>
      <c r="F1955" s="6">
        <v>307624.7</v>
      </c>
      <c r="G1955" s="6">
        <v>0.0</v>
      </c>
      <c r="H1955" s="6">
        <v>351009.0</v>
      </c>
    </row>
    <row r="1956" ht="15.75" customHeight="1">
      <c r="A1956" s="4">
        <v>1953.0</v>
      </c>
      <c r="B1956" s="4" t="s">
        <v>3935</v>
      </c>
      <c r="C1956" s="4" t="s">
        <v>3936</v>
      </c>
      <c r="D1956" s="4" t="s">
        <v>27</v>
      </c>
      <c r="E1956" s="6">
        <v>15300.0</v>
      </c>
      <c r="F1956" s="6">
        <v>380915.8</v>
      </c>
      <c r="G1956" s="6">
        <v>0.0</v>
      </c>
      <c r="H1956" s="6">
        <v>435837.0</v>
      </c>
    </row>
    <row r="1957" ht="15.75" customHeight="1">
      <c r="A1957" s="9">
        <v>1954.0</v>
      </c>
      <c r="B1957" s="9" t="s">
        <v>3937</v>
      </c>
      <c r="C1957" s="10" t="s">
        <v>3938</v>
      </c>
      <c r="D1957" s="9"/>
      <c r="E1957" s="11"/>
      <c r="F1957" s="11"/>
      <c r="G1957" s="11"/>
      <c r="H1957" s="11"/>
    </row>
    <row r="1958" ht="15.75" customHeight="1">
      <c r="A1958" s="9">
        <v>1955.0</v>
      </c>
      <c r="B1958" s="9" t="s">
        <v>3939</v>
      </c>
      <c r="C1958" s="10" t="s">
        <v>3940</v>
      </c>
      <c r="D1958" s="9"/>
      <c r="E1958" s="11"/>
      <c r="F1958" s="11"/>
      <c r="G1958" s="11"/>
      <c r="H1958" s="11"/>
    </row>
    <row r="1959" ht="15.75" customHeight="1">
      <c r="A1959" s="9">
        <v>1956.0</v>
      </c>
      <c r="B1959" s="9" t="s">
        <v>3941</v>
      </c>
      <c r="C1959" s="10" t="s">
        <v>3942</v>
      </c>
      <c r="D1959" s="9"/>
      <c r="E1959" s="11"/>
      <c r="F1959" s="11"/>
      <c r="G1959" s="11"/>
      <c r="H1959" s="11"/>
    </row>
    <row r="1960" ht="15.75" customHeight="1">
      <c r="A1960" s="9">
        <v>1957.0</v>
      </c>
      <c r="B1960" s="9" t="s">
        <v>3943</v>
      </c>
      <c r="C1960" s="10" t="s">
        <v>3944</v>
      </c>
      <c r="D1960" s="9"/>
      <c r="E1960" s="11"/>
      <c r="F1960" s="11"/>
      <c r="G1960" s="11"/>
      <c r="H1960" s="11"/>
    </row>
    <row r="1961" ht="15.75" customHeight="1">
      <c r="A1961" s="9">
        <v>1958.0</v>
      </c>
      <c r="B1961" s="9" t="s">
        <v>3945</v>
      </c>
      <c r="C1961" s="10" t="s">
        <v>3946</v>
      </c>
      <c r="D1961" s="9"/>
      <c r="E1961" s="11"/>
      <c r="F1961" s="11"/>
      <c r="G1961" s="11"/>
      <c r="H1961" s="11"/>
    </row>
    <row r="1962" ht="15.75" customHeight="1">
      <c r="A1962" s="4">
        <v>1959.0</v>
      </c>
      <c r="B1962" s="4" t="s">
        <v>3947</v>
      </c>
      <c r="C1962" s="4" t="s">
        <v>3948</v>
      </c>
      <c r="D1962" s="4" t="s">
        <v>43</v>
      </c>
      <c r="E1962" s="6">
        <v>19990.0</v>
      </c>
      <c r="F1962" s="6">
        <v>1725000.0</v>
      </c>
      <c r="G1962" s="6">
        <v>0.0</v>
      </c>
      <c r="H1962" s="6">
        <v>1919489.0</v>
      </c>
    </row>
    <row r="1963" ht="15.75" customHeight="1">
      <c r="A1963" s="4">
        <v>1960.0</v>
      </c>
      <c r="B1963" s="4" t="s">
        <v>3949</v>
      </c>
      <c r="C1963" s="4" t="s">
        <v>3950</v>
      </c>
      <c r="D1963" s="4" t="s">
        <v>43</v>
      </c>
      <c r="E1963" s="6">
        <v>29970.0</v>
      </c>
      <c r="F1963" s="6">
        <v>1955000.0</v>
      </c>
      <c r="G1963" s="6">
        <v>0.0</v>
      </c>
      <c r="H1963" s="6">
        <v>2183467.0</v>
      </c>
    </row>
    <row r="1964" ht="15.75" customHeight="1">
      <c r="A1964" s="4">
        <v>1961.0</v>
      </c>
      <c r="B1964" s="4" t="s">
        <v>3951</v>
      </c>
      <c r="C1964" s="4" t="s">
        <v>3952</v>
      </c>
      <c r="D1964" s="4" t="s">
        <v>43</v>
      </c>
      <c r="E1964" s="6">
        <v>39850.0</v>
      </c>
      <c r="F1964" s="6">
        <v>2185000.0</v>
      </c>
      <c r="G1964" s="6">
        <v>0.0</v>
      </c>
      <c r="H1964" s="6">
        <v>2447335.0</v>
      </c>
    </row>
    <row r="1965" ht="15.75" customHeight="1">
      <c r="A1965" s="4">
        <v>1962.0</v>
      </c>
      <c r="B1965" s="4" t="s">
        <v>3953</v>
      </c>
      <c r="C1965" s="4" t="s">
        <v>3954</v>
      </c>
      <c r="D1965" s="4" t="s">
        <v>43</v>
      </c>
      <c r="E1965" s="6">
        <v>48950.0</v>
      </c>
      <c r="F1965" s="6">
        <v>2357500.0</v>
      </c>
      <c r="G1965" s="6">
        <v>0.0</v>
      </c>
      <c r="H1965" s="6">
        <v>2647095.0</v>
      </c>
    </row>
    <row r="1966" ht="15.75" customHeight="1">
      <c r="A1966" s="4">
        <v>1963.0</v>
      </c>
      <c r="B1966" s="4" t="s">
        <v>3955</v>
      </c>
      <c r="C1966" s="4" t="s">
        <v>3956</v>
      </c>
      <c r="D1966" s="4" t="s">
        <v>43</v>
      </c>
      <c r="E1966" s="6">
        <v>59840.0</v>
      </c>
      <c r="F1966" s="6">
        <v>2443750.0</v>
      </c>
      <c r="G1966" s="6">
        <v>0.0</v>
      </c>
      <c r="H1966" s="6">
        <v>2753949.0</v>
      </c>
    </row>
    <row r="1967" ht="15.75" customHeight="1">
      <c r="A1967" s="4">
        <v>1964.0</v>
      </c>
      <c r="B1967" s="4" t="s">
        <v>3957</v>
      </c>
      <c r="C1967" s="4" t="s">
        <v>3958</v>
      </c>
      <c r="D1967" s="4" t="s">
        <v>43</v>
      </c>
      <c r="E1967" s="6">
        <v>78995.0</v>
      </c>
      <c r="F1967" s="6">
        <v>2662250.0</v>
      </c>
      <c r="G1967" s="6">
        <v>0.0</v>
      </c>
      <c r="H1967" s="6">
        <v>3015369.0</v>
      </c>
    </row>
    <row r="1968" ht="15.75" customHeight="1">
      <c r="A1968" s="4">
        <v>1965.0</v>
      </c>
      <c r="B1968" s="4" t="s">
        <v>3959</v>
      </c>
      <c r="C1968" s="4" t="s">
        <v>3960</v>
      </c>
      <c r="D1968" s="4" t="s">
        <v>43</v>
      </c>
      <c r="E1968" s="6">
        <v>98910.0</v>
      </c>
      <c r="F1968" s="6">
        <v>2846250.0</v>
      </c>
      <c r="G1968" s="6">
        <v>0.0</v>
      </c>
      <c r="H1968" s="6">
        <v>3239676.0</v>
      </c>
    </row>
    <row r="1969" ht="15.75" customHeight="1">
      <c r="A1969" s="4">
        <v>1966.0</v>
      </c>
      <c r="B1969" s="4" t="s">
        <v>3961</v>
      </c>
      <c r="C1969" s="4" t="s">
        <v>3962</v>
      </c>
      <c r="D1969" s="4" t="s">
        <v>43</v>
      </c>
      <c r="E1969" s="6">
        <v>179840.0</v>
      </c>
      <c r="F1969" s="6">
        <v>3575000.0</v>
      </c>
      <c r="G1969" s="6">
        <v>0.0</v>
      </c>
      <c r="H1969" s="6">
        <v>4130324.0</v>
      </c>
    </row>
    <row r="1970" ht="15.75" customHeight="1">
      <c r="A1970" s="4">
        <v>1967.0</v>
      </c>
      <c r="B1970" s="4" t="s">
        <v>3963</v>
      </c>
      <c r="C1970" s="4" t="s">
        <v>3964</v>
      </c>
      <c r="D1970" s="4" t="s">
        <v>43</v>
      </c>
      <c r="E1970" s="6">
        <v>240705.0</v>
      </c>
      <c r="F1970" s="6">
        <v>3893500.0</v>
      </c>
      <c r="G1970" s="6">
        <v>0.0</v>
      </c>
      <c r="H1970" s="6">
        <v>4547625.0</v>
      </c>
    </row>
    <row r="1971" ht="15.75" customHeight="1">
      <c r="A1971" s="4">
        <v>1968.0</v>
      </c>
      <c r="B1971" s="4" t="s">
        <v>3965</v>
      </c>
      <c r="C1971" s="4" t="s">
        <v>3966</v>
      </c>
      <c r="D1971" s="4" t="s">
        <v>43</v>
      </c>
      <c r="E1971" s="6">
        <v>300520.0</v>
      </c>
      <c r="F1971" s="6">
        <v>4225000.0</v>
      </c>
      <c r="G1971" s="6">
        <v>0.0</v>
      </c>
      <c r="H1971" s="6">
        <v>4978072.0</v>
      </c>
    </row>
    <row r="1972" ht="15.75" customHeight="1">
      <c r="A1972" s="4">
        <v>1969.0</v>
      </c>
      <c r="B1972" s="4" t="s">
        <v>3967</v>
      </c>
      <c r="C1972" s="4" t="s">
        <v>3968</v>
      </c>
      <c r="D1972" s="4" t="s">
        <v>43</v>
      </c>
      <c r="E1972" s="6">
        <v>360505.0</v>
      </c>
      <c r="F1972" s="6">
        <v>4641000.0</v>
      </c>
      <c r="G1972" s="6">
        <v>0.0</v>
      </c>
      <c r="H1972" s="6">
        <v>5501655.0</v>
      </c>
    </row>
    <row r="1973" ht="15.75" customHeight="1">
      <c r="A1973" s="4">
        <v>1970.0</v>
      </c>
      <c r="B1973" s="4" t="s">
        <v>3969</v>
      </c>
      <c r="C1973" s="4" t="s">
        <v>3970</v>
      </c>
      <c r="D1973" s="4" t="s">
        <v>43</v>
      </c>
      <c r="E1973" s="6">
        <v>480285.0000000001</v>
      </c>
      <c r="F1973" s="6">
        <v>5135000.0</v>
      </c>
      <c r="G1973" s="6">
        <v>0.0</v>
      </c>
      <c r="H1973" s="6">
        <v>6176813.0</v>
      </c>
    </row>
    <row r="1974" ht="15.75" customHeight="1">
      <c r="A1974" s="4">
        <v>1971.0</v>
      </c>
      <c r="B1974" s="4" t="s">
        <v>3971</v>
      </c>
      <c r="C1974" s="4" t="s">
        <v>3972</v>
      </c>
      <c r="D1974" s="4" t="s">
        <v>43</v>
      </c>
      <c r="E1974" s="6">
        <v>600285.0</v>
      </c>
      <c r="F1974" s="6">
        <v>5473000.0</v>
      </c>
      <c r="G1974" s="6">
        <v>0.0</v>
      </c>
      <c r="H1974" s="6">
        <v>6680613.0</v>
      </c>
    </row>
    <row r="1975" ht="15.75" customHeight="1">
      <c r="A1975" s="4">
        <v>1972.0</v>
      </c>
      <c r="B1975" s="4" t="s">
        <v>3973</v>
      </c>
      <c r="C1975" s="4" t="s">
        <v>3974</v>
      </c>
      <c r="D1975" s="4" t="s">
        <v>43</v>
      </c>
      <c r="E1975" s="6">
        <v>719130.0</v>
      </c>
      <c r="F1975" s="6">
        <v>5876000.0</v>
      </c>
      <c r="G1975" s="6">
        <v>0.0</v>
      </c>
      <c r="H1975" s="6">
        <v>7254643.0</v>
      </c>
    </row>
    <row r="1976" ht="15.75" customHeight="1">
      <c r="A1976" s="9">
        <v>1973.0</v>
      </c>
      <c r="B1976" s="9" t="s">
        <v>3975</v>
      </c>
      <c r="C1976" s="10" t="s">
        <v>3976</v>
      </c>
      <c r="D1976" s="9"/>
      <c r="E1976" s="11"/>
      <c r="F1976" s="11"/>
      <c r="G1976" s="11"/>
      <c r="H1976" s="11"/>
    </row>
    <row r="1977" ht="15.75" customHeight="1">
      <c r="A1977" s="4">
        <v>1974.0</v>
      </c>
      <c r="B1977" s="4" t="s">
        <v>3977</v>
      </c>
      <c r="C1977" s="4" t="s">
        <v>3978</v>
      </c>
      <c r="D1977" s="4" t="s">
        <v>43</v>
      </c>
      <c r="E1977" s="6">
        <v>19990.0</v>
      </c>
      <c r="F1977" s="6">
        <v>28750.0</v>
      </c>
      <c r="G1977" s="6">
        <v>0.0</v>
      </c>
      <c r="H1977" s="6">
        <v>53614.0</v>
      </c>
    </row>
    <row r="1978" ht="15.75" customHeight="1">
      <c r="A1978" s="4">
        <v>1975.0</v>
      </c>
      <c r="B1978" s="4" t="s">
        <v>3979</v>
      </c>
      <c r="C1978" s="4" t="s">
        <v>3980</v>
      </c>
      <c r="D1978" s="4" t="s">
        <v>43</v>
      </c>
      <c r="E1978" s="6">
        <v>29970.0</v>
      </c>
      <c r="F1978" s="6">
        <v>42262.5</v>
      </c>
      <c r="G1978" s="6">
        <v>0.0</v>
      </c>
      <c r="H1978" s="6">
        <v>79455.0</v>
      </c>
    </row>
    <row r="1979" ht="15.75" customHeight="1">
      <c r="A1979" s="4">
        <v>1976.0</v>
      </c>
      <c r="B1979" s="4" t="s">
        <v>3981</v>
      </c>
      <c r="C1979" s="4" t="s">
        <v>3982</v>
      </c>
      <c r="D1979" s="4" t="s">
        <v>43</v>
      </c>
      <c r="E1979" s="6">
        <v>39850.0</v>
      </c>
      <c r="F1979" s="6">
        <v>53014.99999999999</v>
      </c>
      <c r="G1979" s="6">
        <v>0.0</v>
      </c>
      <c r="H1979" s="6">
        <v>102151.0</v>
      </c>
    </row>
    <row r="1980" ht="15.75" customHeight="1">
      <c r="A1980" s="4">
        <v>1977.0</v>
      </c>
      <c r="B1980" s="4" t="s">
        <v>3983</v>
      </c>
      <c r="C1980" s="4" t="s">
        <v>3984</v>
      </c>
      <c r="D1980" s="4" t="s">
        <v>43</v>
      </c>
      <c r="E1980" s="6">
        <v>48950.0</v>
      </c>
      <c r="F1980" s="6">
        <v>78200.0</v>
      </c>
      <c r="G1980" s="6">
        <v>0.0</v>
      </c>
      <c r="H1980" s="6">
        <v>139865.0</v>
      </c>
    </row>
    <row r="1981" ht="15.75" customHeight="1">
      <c r="A1981" s="4">
        <v>1978.0</v>
      </c>
      <c r="B1981" s="4" t="s">
        <v>3985</v>
      </c>
      <c r="C1981" s="4" t="s">
        <v>3986</v>
      </c>
      <c r="D1981" s="4" t="s">
        <v>43</v>
      </c>
      <c r="E1981" s="6">
        <v>59840.0</v>
      </c>
      <c r="F1981" s="6">
        <v>90850.0</v>
      </c>
      <c r="G1981" s="6">
        <v>0.0</v>
      </c>
      <c r="H1981" s="6">
        <v>165759.0</v>
      </c>
    </row>
    <row r="1982" ht="15.75" customHeight="1">
      <c r="A1982" s="4">
        <v>1979.0</v>
      </c>
      <c r="B1982" s="4" t="s">
        <v>3987</v>
      </c>
      <c r="C1982" s="4" t="s">
        <v>3988</v>
      </c>
      <c r="D1982" s="4" t="s">
        <v>43</v>
      </c>
      <c r="E1982" s="6">
        <v>78995.0</v>
      </c>
      <c r="F1982" s="6">
        <v>135700.0</v>
      </c>
      <c r="G1982" s="6">
        <v>0.0</v>
      </c>
      <c r="H1982" s="6">
        <v>236164.0</v>
      </c>
    </row>
    <row r="1983" ht="15.75" customHeight="1">
      <c r="A1983" s="4">
        <v>1980.0</v>
      </c>
      <c r="B1983" s="4" t="s">
        <v>3989</v>
      </c>
      <c r="C1983" s="4" t="s">
        <v>3990</v>
      </c>
      <c r="D1983" s="4" t="s">
        <v>43</v>
      </c>
      <c r="E1983" s="6">
        <v>98910.0</v>
      </c>
      <c r="F1983" s="6">
        <v>166750.0</v>
      </c>
      <c r="G1983" s="6">
        <v>0.0</v>
      </c>
      <c r="H1983" s="6">
        <v>292226.0</v>
      </c>
    </row>
    <row r="1984" ht="15.75" customHeight="1">
      <c r="A1984" s="4">
        <v>1981.0</v>
      </c>
      <c r="B1984" s="4" t="s">
        <v>3991</v>
      </c>
      <c r="C1984" s="4" t="s">
        <v>3992</v>
      </c>
      <c r="D1984" s="4" t="s">
        <v>43</v>
      </c>
      <c r="E1984" s="6">
        <v>179840.0</v>
      </c>
      <c r="F1984" s="6">
        <v>279500.0</v>
      </c>
      <c r="G1984" s="6">
        <v>0.0</v>
      </c>
      <c r="H1984" s="6">
        <v>505274.0</v>
      </c>
    </row>
    <row r="1985" ht="15.75" customHeight="1">
      <c r="A1985" s="4">
        <v>1982.0</v>
      </c>
      <c r="B1985" s="4" t="s">
        <v>3993</v>
      </c>
      <c r="C1985" s="4" t="s">
        <v>3994</v>
      </c>
      <c r="D1985" s="4" t="s">
        <v>43</v>
      </c>
      <c r="E1985" s="6">
        <v>240705.0</v>
      </c>
      <c r="F1985" s="6">
        <v>303290.0</v>
      </c>
      <c r="G1985" s="6">
        <v>0.0</v>
      </c>
      <c r="H1985" s="6">
        <v>598394.0</v>
      </c>
    </row>
    <row r="1986" ht="15.75" customHeight="1">
      <c r="A1986" s="9">
        <v>1983.0</v>
      </c>
      <c r="B1986" s="9" t="s">
        <v>3995</v>
      </c>
      <c r="C1986" s="10" t="s">
        <v>3996</v>
      </c>
      <c r="D1986" s="9"/>
      <c r="E1986" s="11"/>
      <c r="F1986" s="11"/>
      <c r="G1986" s="11"/>
      <c r="H1986" s="11"/>
    </row>
    <row r="1987" ht="15.75" customHeight="1">
      <c r="A1987" s="4">
        <v>1984.0</v>
      </c>
      <c r="B1987" s="4" t="s">
        <v>3997</v>
      </c>
      <c r="C1987" s="4" t="s">
        <v>3998</v>
      </c>
      <c r="D1987" s="4" t="s">
        <v>43</v>
      </c>
      <c r="E1987" s="6">
        <v>19990.0</v>
      </c>
      <c r="F1987" s="6">
        <v>44850.0</v>
      </c>
      <c r="G1987" s="6">
        <v>0.0</v>
      </c>
      <c r="H1987" s="6">
        <v>71324.0</v>
      </c>
    </row>
    <row r="1988" ht="15.75" customHeight="1">
      <c r="A1988" s="4">
        <v>1985.0</v>
      </c>
      <c r="B1988" s="4" t="s">
        <v>3999</v>
      </c>
      <c r="C1988" s="4" t="s">
        <v>4000</v>
      </c>
      <c r="D1988" s="4" t="s">
        <v>43</v>
      </c>
      <c r="E1988" s="6">
        <v>29970.0</v>
      </c>
      <c r="F1988" s="6">
        <v>67850.0</v>
      </c>
      <c r="G1988" s="6">
        <v>0.0</v>
      </c>
      <c r="H1988" s="6">
        <v>107602.0</v>
      </c>
    </row>
    <row r="1989" ht="15.75" customHeight="1">
      <c r="A1989" s="4">
        <v>1986.0</v>
      </c>
      <c r="B1989" s="4" t="s">
        <v>4001</v>
      </c>
      <c r="C1989" s="4" t="s">
        <v>4002</v>
      </c>
      <c r="D1989" s="4" t="s">
        <v>43</v>
      </c>
      <c r="E1989" s="6">
        <v>39850.0</v>
      </c>
      <c r="F1989" s="6">
        <v>101602.5</v>
      </c>
      <c r="G1989" s="6">
        <v>0.0</v>
      </c>
      <c r="H1989" s="6">
        <v>155597.0</v>
      </c>
    </row>
    <row r="1990" ht="15.75" customHeight="1">
      <c r="A1990" s="4">
        <v>1987.0</v>
      </c>
      <c r="B1990" s="4" t="s">
        <v>4003</v>
      </c>
      <c r="C1990" s="4" t="s">
        <v>4004</v>
      </c>
      <c r="D1990" s="4" t="s">
        <v>43</v>
      </c>
      <c r="E1990" s="6">
        <v>48950.0</v>
      </c>
      <c r="F1990" s="6">
        <v>127604.0</v>
      </c>
      <c r="G1990" s="6">
        <v>0.0</v>
      </c>
      <c r="H1990" s="6">
        <v>194209.0</v>
      </c>
    </row>
    <row r="1991" ht="15.75" customHeight="1">
      <c r="A1991" s="4">
        <v>1988.0</v>
      </c>
      <c r="B1991" s="4" t="s">
        <v>4005</v>
      </c>
      <c r="C1991" s="4" t="s">
        <v>4006</v>
      </c>
      <c r="D1991" s="4" t="s">
        <v>43</v>
      </c>
      <c r="E1991" s="6">
        <v>59840.0</v>
      </c>
      <c r="F1991" s="6">
        <v>171304.0</v>
      </c>
      <c r="G1991" s="6">
        <v>0.0</v>
      </c>
      <c r="H1991" s="6">
        <v>254258.0</v>
      </c>
    </row>
    <row r="1992" ht="15.75" customHeight="1">
      <c r="A1992" s="4">
        <v>1989.0</v>
      </c>
      <c r="B1992" s="4" t="s">
        <v>4007</v>
      </c>
      <c r="C1992" s="4" t="s">
        <v>4008</v>
      </c>
      <c r="D1992" s="4" t="s">
        <v>43</v>
      </c>
      <c r="E1992" s="6">
        <v>78995.0</v>
      </c>
      <c r="F1992" s="6">
        <v>247779.0</v>
      </c>
      <c r="G1992" s="6">
        <v>0.0</v>
      </c>
      <c r="H1992" s="6">
        <v>359451.0</v>
      </c>
    </row>
    <row r="1993" ht="15.75" customHeight="1">
      <c r="A1993" s="4">
        <v>1990.0</v>
      </c>
      <c r="B1993" s="4" t="s">
        <v>4009</v>
      </c>
      <c r="C1993" s="4" t="s">
        <v>4010</v>
      </c>
      <c r="D1993" s="4" t="s">
        <v>43</v>
      </c>
      <c r="E1993" s="6">
        <v>98910.0</v>
      </c>
      <c r="F1993" s="6">
        <v>304750.0</v>
      </c>
      <c r="G1993" s="6">
        <v>0.0</v>
      </c>
      <c r="H1993" s="6">
        <v>444026.0</v>
      </c>
    </row>
    <row r="1994" ht="15.75" customHeight="1">
      <c r="A1994" s="4">
        <v>1991.0</v>
      </c>
      <c r="B1994" s="4" t="s">
        <v>4011</v>
      </c>
      <c r="C1994" s="4" t="s">
        <v>4012</v>
      </c>
      <c r="D1994" s="4" t="s">
        <v>43</v>
      </c>
      <c r="E1994" s="6">
        <v>179840.0</v>
      </c>
      <c r="F1994" s="6">
        <v>763100.0</v>
      </c>
      <c r="G1994" s="6">
        <v>0.0</v>
      </c>
      <c r="H1994" s="6">
        <v>1037234.0</v>
      </c>
    </row>
    <row r="1995" ht="15.75" customHeight="1">
      <c r="A1995" s="4">
        <v>1992.0</v>
      </c>
      <c r="B1995" s="4" t="s">
        <v>4013</v>
      </c>
      <c r="C1995" s="4" t="s">
        <v>4014</v>
      </c>
      <c r="D1995" s="4" t="s">
        <v>43</v>
      </c>
      <c r="E1995" s="6">
        <v>240705.0</v>
      </c>
      <c r="F1995" s="6">
        <v>1872000.0</v>
      </c>
      <c r="G1995" s="6">
        <v>0.0</v>
      </c>
      <c r="H1995" s="6">
        <v>2323975.0</v>
      </c>
    </row>
    <row r="1996" ht="15.75" customHeight="1">
      <c r="A1996" s="4">
        <v>1993.0</v>
      </c>
      <c r="B1996" s="4" t="s">
        <v>4015</v>
      </c>
      <c r="C1996" s="4" t="s">
        <v>4016</v>
      </c>
      <c r="D1996" s="4" t="s">
        <v>43</v>
      </c>
      <c r="E1996" s="6">
        <v>300520.0</v>
      </c>
      <c r="F1996" s="6">
        <v>3575000.0</v>
      </c>
      <c r="G1996" s="6">
        <v>0.0</v>
      </c>
      <c r="H1996" s="6">
        <v>4263072.0</v>
      </c>
    </row>
    <row r="1997" ht="15.75" customHeight="1">
      <c r="A1997" s="4">
        <v>1994.0</v>
      </c>
      <c r="B1997" s="4" t="s">
        <v>4017</v>
      </c>
      <c r="C1997" s="4" t="s">
        <v>4018</v>
      </c>
      <c r="D1997" s="4" t="s">
        <v>43</v>
      </c>
      <c r="E1997" s="6">
        <v>360505.0</v>
      </c>
      <c r="F1997" s="6">
        <v>3965000.0</v>
      </c>
      <c r="G1997" s="6">
        <v>0.0</v>
      </c>
      <c r="H1997" s="6">
        <v>4758055.0</v>
      </c>
    </row>
    <row r="1998" ht="15.75" customHeight="1">
      <c r="A1998" s="4">
        <v>1995.0</v>
      </c>
      <c r="B1998" s="4" t="s">
        <v>4019</v>
      </c>
      <c r="C1998" s="4" t="s">
        <v>4020</v>
      </c>
      <c r="D1998" s="4" t="s">
        <v>43</v>
      </c>
      <c r="E1998" s="6">
        <v>480285.0000000001</v>
      </c>
      <c r="F1998" s="6">
        <v>4511000.0</v>
      </c>
      <c r="G1998" s="6">
        <v>0.0</v>
      </c>
      <c r="H1998" s="6">
        <v>5490413.0</v>
      </c>
    </row>
    <row r="1999" ht="15.75" customHeight="1">
      <c r="A1999" s="4">
        <v>1996.0</v>
      </c>
      <c r="B1999" s="4" t="s">
        <v>4021</v>
      </c>
      <c r="C1999" s="4" t="s">
        <v>4022</v>
      </c>
      <c r="D1999" s="4" t="s">
        <v>43</v>
      </c>
      <c r="E1999" s="6">
        <v>600285.0</v>
      </c>
      <c r="F1999" s="6">
        <v>4784000.0</v>
      </c>
      <c r="G1999" s="6">
        <v>0.0</v>
      </c>
      <c r="H1999" s="6">
        <v>5922713.0</v>
      </c>
    </row>
    <row r="2000" ht="15.75" customHeight="1">
      <c r="A2000" s="4">
        <v>1997.0</v>
      </c>
      <c r="B2000" s="4" t="s">
        <v>4023</v>
      </c>
      <c r="C2000" s="4" t="s">
        <v>4024</v>
      </c>
      <c r="D2000" s="4" t="s">
        <v>43</v>
      </c>
      <c r="E2000" s="6">
        <v>719130.0</v>
      </c>
      <c r="F2000" s="6">
        <v>5161000.0</v>
      </c>
      <c r="G2000" s="6">
        <v>0.0</v>
      </c>
      <c r="H2000" s="6">
        <v>6468143.0</v>
      </c>
    </row>
    <row r="2001" ht="15.75" customHeight="1">
      <c r="A2001" s="9">
        <v>1998.0</v>
      </c>
      <c r="B2001" s="9" t="s">
        <v>4025</v>
      </c>
      <c r="C2001" s="10" t="s">
        <v>4026</v>
      </c>
      <c r="D2001" s="9"/>
      <c r="E2001" s="11"/>
      <c r="F2001" s="11"/>
      <c r="G2001" s="11"/>
      <c r="H2001" s="11"/>
    </row>
    <row r="2002" ht="15.75" customHeight="1">
      <c r="A2002" s="4">
        <v>1999.0</v>
      </c>
      <c r="B2002" s="4" t="s">
        <v>4027</v>
      </c>
      <c r="C2002" s="4" t="s">
        <v>4028</v>
      </c>
      <c r="D2002" s="4" t="s">
        <v>43</v>
      </c>
      <c r="E2002" s="6">
        <v>19990.0</v>
      </c>
      <c r="F2002" s="6">
        <v>41400.0</v>
      </c>
      <c r="G2002" s="6">
        <v>0.0</v>
      </c>
      <c r="H2002" s="6">
        <v>67529.0</v>
      </c>
    </row>
    <row r="2003" ht="15.75" customHeight="1">
      <c r="A2003" s="4">
        <v>2000.0</v>
      </c>
      <c r="B2003" s="4" t="s">
        <v>4029</v>
      </c>
      <c r="C2003" s="4" t="s">
        <v>4030</v>
      </c>
      <c r="D2003" s="4" t="s">
        <v>43</v>
      </c>
      <c r="E2003" s="6">
        <v>29970.0</v>
      </c>
      <c r="F2003" s="6">
        <v>54049.99999999999</v>
      </c>
      <c r="G2003" s="6">
        <v>0.0</v>
      </c>
      <c r="H2003" s="6">
        <v>92422.0</v>
      </c>
    </row>
    <row r="2004" ht="15.75" customHeight="1">
      <c r="A2004" s="4">
        <v>2001.0</v>
      </c>
      <c r="B2004" s="4" t="s">
        <v>4031</v>
      </c>
      <c r="C2004" s="4" t="s">
        <v>4032</v>
      </c>
      <c r="D2004" s="4" t="s">
        <v>43</v>
      </c>
      <c r="E2004" s="6">
        <v>39850.0</v>
      </c>
      <c r="F2004" s="6">
        <v>67850.0</v>
      </c>
      <c r="G2004" s="6">
        <v>0.0</v>
      </c>
      <c r="H2004" s="6">
        <v>118470.0</v>
      </c>
    </row>
    <row r="2005" ht="15.75" customHeight="1">
      <c r="A2005" s="4">
        <v>2002.0</v>
      </c>
      <c r="B2005" s="4" t="s">
        <v>4033</v>
      </c>
      <c r="C2005" s="4" t="s">
        <v>4034</v>
      </c>
      <c r="D2005" s="4" t="s">
        <v>43</v>
      </c>
      <c r="E2005" s="6">
        <v>48950.0</v>
      </c>
      <c r="F2005" s="6">
        <v>109940.0</v>
      </c>
      <c r="G2005" s="6">
        <v>0.0</v>
      </c>
      <c r="H2005" s="6">
        <v>174779.0</v>
      </c>
    </row>
    <row r="2006" ht="15.75" customHeight="1">
      <c r="A2006" s="4">
        <v>2003.0</v>
      </c>
      <c r="B2006" s="4" t="s">
        <v>4035</v>
      </c>
      <c r="C2006" s="4" t="s">
        <v>4036</v>
      </c>
      <c r="D2006" s="4" t="s">
        <v>43</v>
      </c>
      <c r="E2006" s="6">
        <v>59840.0</v>
      </c>
      <c r="F2006" s="6">
        <v>164450.0</v>
      </c>
      <c r="G2006" s="6">
        <v>0.0</v>
      </c>
      <c r="H2006" s="6">
        <v>246719.0</v>
      </c>
    </row>
    <row r="2007" ht="15.75" customHeight="1">
      <c r="A2007" s="4">
        <v>2004.0</v>
      </c>
      <c r="B2007" s="4" t="s">
        <v>4037</v>
      </c>
      <c r="C2007" s="4" t="s">
        <v>4038</v>
      </c>
      <c r="D2007" s="4" t="s">
        <v>43</v>
      </c>
      <c r="E2007" s="6">
        <v>78995.0</v>
      </c>
      <c r="F2007" s="6">
        <v>349140.0</v>
      </c>
      <c r="G2007" s="6">
        <v>0.0</v>
      </c>
      <c r="H2007" s="6">
        <v>470948.0</v>
      </c>
    </row>
    <row r="2008" ht="15.75" customHeight="1">
      <c r="A2008" s="4">
        <v>2005.0</v>
      </c>
      <c r="B2008" s="4" t="s">
        <v>4039</v>
      </c>
      <c r="C2008" s="4" t="s">
        <v>4040</v>
      </c>
      <c r="D2008" s="4" t="s">
        <v>43</v>
      </c>
      <c r="E2008" s="6">
        <v>98910.0</v>
      </c>
      <c r="F2008" s="6">
        <v>477939.9999999999</v>
      </c>
      <c r="G2008" s="6">
        <v>0.0</v>
      </c>
      <c r="H2008" s="6">
        <v>634535.0</v>
      </c>
    </row>
    <row r="2009" ht="15.75" customHeight="1">
      <c r="A2009" s="4">
        <v>2006.0</v>
      </c>
      <c r="B2009" s="4" t="s">
        <v>4041</v>
      </c>
      <c r="C2009" s="4" t="s">
        <v>4042</v>
      </c>
      <c r="D2009" s="4" t="s">
        <v>43</v>
      </c>
      <c r="E2009" s="6">
        <v>179840.0</v>
      </c>
      <c r="F2009" s="6">
        <v>717600.0</v>
      </c>
      <c r="G2009" s="6">
        <v>0.0</v>
      </c>
      <c r="H2009" s="6">
        <v>987184.0</v>
      </c>
    </row>
    <row r="2010" ht="15.75" customHeight="1">
      <c r="A2010" s="4">
        <v>2007.0</v>
      </c>
      <c r="B2010" s="4" t="s">
        <v>4043</v>
      </c>
      <c r="C2010" s="4" t="s">
        <v>4044</v>
      </c>
      <c r="D2010" s="4" t="s">
        <v>43</v>
      </c>
      <c r="E2010" s="6">
        <v>240705.0</v>
      </c>
      <c r="F2010" s="6">
        <v>1052480.0</v>
      </c>
      <c r="G2010" s="6">
        <v>0.0</v>
      </c>
      <c r="H2010" s="6">
        <v>1422503.0</v>
      </c>
    </row>
    <row r="2011" ht="15.75" customHeight="1">
      <c r="A2011" s="4">
        <v>2008.0</v>
      </c>
      <c r="B2011" s="4" t="s">
        <v>4045</v>
      </c>
      <c r="C2011" s="4" t="s">
        <v>4046</v>
      </c>
      <c r="D2011" s="4" t="s">
        <v>43</v>
      </c>
      <c r="E2011" s="6">
        <v>300520.0</v>
      </c>
      <c r="F2011" s="6">
        <v>1134900.0</v>
      </c>
      <c r="G2011" s="6">
        <v>0.0</v>
      </c>
      <c r="H2011" s="6">
        <v>1578962.0</v>
      </c>
    </row>
    <row r="2012" ht="15.75" customHeight="1">
      <c r="A2012" s="4">
        <v>2009.0</v>
      </c>
      <c r="B2012" s="4" t="s">
        <v>4047</v>
      </c>
      <c r="C2012" s="4" t="s">
        <v>4048</v>
      </c>
      <c r="D2012" s="4" t="s">
        <v>43</v>
      </c>
      <c r="E2012" s="6">
        <v>360505.0</v>
      </c>
      <c r="F2012" s="6">
        <v>1261650.0</v>
      </c>
      <c r="G2012" s="6">
        <v>0.0</v>
      </c>
      <c r="H2012" s="6">
        <v>1784370.0</v>
      </c>
    </row>
    <row r="2013" ht="15.75" customHeight="1">
      <c r="A2013" s="4">
        <v>2010.0</v>
      </c>
      <c r="B2013" s="4" t="s">
        <v>4049</v>
      </c>
      <c r="C2013" s="4" t="s">
        <v>4050</v>
      </c>
      <c r="D2013" s="4" t="s">
        <v>43</v>
      </c>
      <c r="E2013" s="6">
        <v>480285.0000000001</v>
      </c>
      <c r="F2013" s="6">
        <v>1638000.0</v>
      </c>
      <c r="G2013" s="6">
        <v>0.0</v>
      </c>
      <c r="H2013" s="6">
        <v>2330113.0</v>
      </c>
    </row>
    <row r="2014" ht="15.75" customHeight="1">
      <c r="A2014" s="4">
        <v>2011.0</v>
      </c>
      <c r="B2014" s="4" t="s">
        <v>4051</v>
      </c>
      <c r="C2014" s="4" t="s">
        <v>4052</v>
      </c>
      <c r="D2014" s="4" t="s">
        <v>43</v>
      </c>
      <c r="E2014" s="6">
        <v>600285.0</v>
      </c>
      <c r="F2014" s="6">
        <v>2002000.0</v>
      </c>
      <c r="G2014" s="6">
        <v>0.0</v>
      </c>
      <c r="H2014" s="6">
        <v>2862513.0</v>
      </c>
    </row>
    <row r="2015" ht="15.75" customHeight="1">
      <c r="A2015" s="4">
        <v>2012.0</v>
      </c>
      <c r="B2015" s="4" t="s">
        <v>4053</v>
      </c>
      <c r="C2015" s="4" t="s">
        <v>4054</v>
      </c>
      <c r="D2015" s="4" t="s">
        <v>43</v>
      </c>
      <c r="E2015" s="6">
        <v>719130.0</v>
      </c>
      <c r="F2015" s="6">
        <v>2171000.0</v>
      </c>
      <c r="G2015" s="6">
        <v>0.0</v>
      </c>
      <c r="H2015" s="6">
        <v>3179143.0</v>
      </c>
    </row>
    <row r="2016" ht="15.75" customHeight="1">
      <c r="A2016" s="4">
        <v>2013.0</v>
      </c>
      <c r="B2016" s="4" t="s">
        <v>4055</v>
      </c>
      <c r="C2016" s="4" t="s">
        <v>4056</v>
      </c>
      <c r="D2016" s="4" t="s">
        <v>43</v>
      </c>
      <c r="E2016" s="6">
        <v>839910.0</v>
      </c>
      <c r="F2016" s="6">
        <v>2366000.0</v>
      </c>
      <c r="G2016" s="6">
        <v>0.0</v>
      </c>
      <c r="H2016" s="6">
        <v>3526501.0</v>
      </c>
    </row>
    <row r="2017" ht="15.75" customHeight="1">
      <c r="A2017" s="9">
        <v>2014.0</v>
      </c>
      <c r="B2017" s="9" t="s">
        <v>4057</v>
      </c>
      <c r="C2017" s="10" t="s">
        <v>4058</v>
      </c>
      <c r="D2017" s="9"/>
      <c r="E2017" s="11"/>
      <c r="F2017" s="11"/>
      <c r="G2017" s="11"/>
      <c r="H2017" s="11"/>
    </row>
    <row r="2018" ht="15.75" customHeight="1">
      <c r="A2018" s="4">
        <v>2015.0</v>
      </c>
      <c r="B2018" s="4" t="s">
        <v>4059</v>
      </c>
      <c r="C2018" s="4" t="s">
        <v>4060</v>
      </c>
      <c r="D2018" s="4" t="s">
        <v>43</v>
      </c>
      <c r="E2018" s="6">
        <v>19990.0</v>
      </c>
      <c r="F2018" s="6">
        <v>254150.0</v>
      </c>
      <c r="G2018" s="6">
        <v>0.0</v>
      </c>
      <c r="H2018" s="6">
        <v>301554.0</v>
      </c>
    </row>
    <row r="2019" ht="15.75" customHeight="1">
      <c r="A2019" s="4">
        <v>2016.0</v>
      </c>
      <c r="B2019" s="4" t="s">
        <v>4061</v>
      </c>
      <c r="C2019" s="4" t="s">
        <v>4062</v>
      </c>
      <c r="D2019" s="4" t="s">
        <v>43</v>
      </c>
      <c r="E2019" s="6">
        <v>29970.0</v>
      </c>
      <c r="F2019" s="6">
        <v>287500.0</v>
      </c>
      <c r="G2019" s="6">
        <v>0.0</v>
      </c>
      <c r="H2019" s="6">
        <v>349217.0</v>
      </c>
    </row>
    <row r="2020" ht="15.75" customHeight="1">
      <c r="A2020" s="4">
        <v>2017.0</v>
      </c>
      <c r="B2020" s="4" t="s">
        <v>4063</v>
      </c>
      <c r="C2020" s="4" t="s">
        <v>4064</v>
      </c>
      <c r="D2020" s="4" t="s">
        <v>43</v>
      </c>
      <c r="E2020" s="6">
        <v>39850.0</v>
      </c>
      <c r="F2020" s="6">
        <v>431249.9999999999</v>
      </c>
      <c r="G2020" s="6">
        <v>0.0</v>
      </c>
      <c r="H2020" s="6">
        <v>518210.0</v>
      </c>
    </row>
    <row r="2021" ht="15.75" customHeight="1">
      <c r="A2021" s="4">
        <v>2018.0</v>
      </c>
      <c r="B2021" s="4" t="s">
        <v>4065</v>
      </c>
      <c r="C2021" s="4" t="s">
        <v>4066</v>
      </c>
      <c r="D2021" s="4" t="s">
        <v>43</v>
      </c>
      <c r="E2021" s="6">
        <v>56390.0</v>
      </c>
      <c r="F2021" s="6">
        <v>154790.0</v>
      </c>
      <c r="G2021" s="6">
        <v>0.0</v>
      </c>
      <c r="H2021" s="6">
        <v>667370.0</v>
      </c>
    </row>
    <row r="2022" ht="15.75" customHeight="1">
      <c r="A2022" s="4">
        <v>2019.0</v>
      </c>
      <c r="B2022" s="4" t="s">
        <v>4067</v>
      </c>
      <c r="C2022" s="4" t="s">
        <v>4068</v>
      </c>
      <c r="D2022" s="4" t="s">
        <v>43</v>
      </c>
      <c r="E2022" s="6">
        <v>59840.0</v>
      </c>
      <c r="F2022" s="6">
        <v>232300.0</v>
      </c>
      <c r="G2022" s="6">
        <v>0.0</v>
      </c>
      <c r="H2022" s="6">
        <v>862774.0</v>
      </c>
    </row>
    <row r="2023" ht="15.75" customHeight="1">
      <c r="A2023" s="4">
        <v>2020.0</v>
      </c>
      <c r="B2023" s="4" t="s">
        <v>4069</v>
      </c>
      <c r="C2023" s="4" t="s">
        <v>4070</v>
      </c>
      <c r="D2023" s="4" t="s">
        <v>43</v>
      </c>
      <c r="E2023" s="6">
        <v>78995.0</v>
      </c>
      <c r="F2023" s="6">
        <v>1000500.0</v>
      </c>
      <c r="G2023" s="6">
        <v>0.0</v>
      </c>
      <c r="H2023" s="6">
        <v>1187444.0</v>
      </c>
    </row>
    <row r="2024" ht="15.75" customHeight="1">
      <c r="A2024" s="4">
        <v>2021.0</v>
      </c>
      <c r="B2024" s="4" t="s">
        <v>4071</v>
      </c>
      <c r="C2024" s="4" t="s">
        <v>4072</v>
      </c>
      <c r="D2024" s="4" t="s">
        <v>43</v>
      </c>
      <c r="E2024" s="6">
        <v>98910.0</v>
      </c>
      <c r="F2024" s="6">
        <v>1127000.0</v>
      </c>
      <c r="G2024" s="6">
        <v>0.0</v>
      </c>
      <c r="H2024" s="6">
        <v>1348501.0</v>
      </c>
    </row>
    <row r="2025" ht="15.75" customHeight="1">
      <c r="A2025" s="4">
        <v>2022.0</v>
      </c>
      <c r="B2025" s="4" t="s">
        <v>4073</v>
      </c>
      <c r="C2025" s="4" t="s">
        <v>4074</v>
      </c>
      <c r="D2025" s="4" t="s">
        <v>43</v>
      </c>
      <c r="E2025" s="6">
        <v>179840.0</v>
      </c>
      <c r="F2025" s="6">
        <v>1521000.0</v>
      </c>
      <c r="G2025" s="6">
        <v>0.0</v>
      </c>
      <c r="H2025" s="6">
        <v>1870924.0</v>
      </c>
    </row>
    <row r="2026" ht="15.75" customHeight="1">
      <c r="A2026" s="4">
        <v>2023.0</v>
      </c>
      <c r="B2026" s="4" t="s">
        <v>4075</v>
      </c>
      <c r="C2026" s="4" t="s">
        <v>4076</v>
      </c>
      <c r="D2026" s="4" t="s">
        <v>43</v>
      </c>
      <c r="E2026" s="6">
        <v>240705.0</v>
      </c>
      <c r="F2026" s="6">
        <v>1781000.0</v>
      </c>
      <c r="G2026" s="6">
        <v>0.0</v>
      </c>
      <c r="H2026" s="6">
        <v>2223875.0</v>
      </c>
    </row>
    <row r="2027" ht="15.75" customHeight="1">
      <c r="A2027" s="4">
        <v>2024.0</v>
      </c>
      <c r="B2027" s="4" t="s">
        <v>4077</v>
      </c>
      <c r="C2027" s="4" t="s">
        <v>4078</v>
      </c>
      <c r="D2027" s="4" t="s">
        <v>43</v>
      </c>
      <c r="E2027" s="6">
        <v>300520.0</v>
      </c>
      <c r="F2027" s="6">
        <v>1976000.0</v>
      </c>
      <c r="G2027" s="6">
        <v>0.0</v>
      </c>
      <c r="H2027" s="6">
        <v>2504172.0</v>
      </c>
    </row>
    <row r="2028" ht="15.75" customHeight="1">
      <c r="A2028" s="4">
        <v>2025.0</v>
      </c>
      <c r="B2028" s="4" t="s">
        <v>4079</v>
      </c>
      <c r="C2028" s="4" t="s">
        <v>4080</v>
      </c>
      <c r="D2028" s="4" t="s">
        <v>43</v>
      </c>
      <c r="E2028" s="6">
        <v>360505.0</v>
      </c>
      <c r="F2028" s="6">
        <v>2262000.0</v>
      </c>
      <c r="G2028" s="6">
        <v>0.0</v>
      </c>
      <c r="H2028" s="6">
        <v>2884755.0</v>
      </c>
    </row>
    <row r="2029" ht="15.75" customHeight="1">
      <c r="A2029" s="4">
        <v>2026.0</v>
      </c>
      <c r="B2029" s="4" t="s">
        <v>4081</v>
      </c>
      <c r="C2029" s="4" t="s">
        <v>4082</v>
      </c>
      <c r="D2029" s="4" t="s">
        <v>43</v>
      </c>
      <c r="E2029" s="6">
        <v>480285.0000000001</v>
      </c>
      <c r="F2029" s="6">
        <v>2548000.0</v>
      </c>
      <c r="G2029" s="6">
        <v>0.0</v>
      </c>
      <c r="H2029" s="6">
        <v>3331113.0</v>
      </c>
    </row>
    <row r="2030" ht="15.75" customHeight="1">
      <c r="A2030" s="4">
        <v>2027.0</v>
      </c>
      <c r="B2030" s="4" t="s">
        <v>4083</v>
      </c>
      <c r="C2030" s="4" t="s">
        <v>4084</v>
      </c>
      <c r="D2030" s="4" t="s">
        <v>43</v>
      </c>
      <c r="E2030" s="6">
        <v>600285.0</v>
      </c>
      <c r="F2030" s="6">
        <v>2769000.0</v>
      </c>
      <c r="G2030" s="6">
        <v>0.0</v>
      </c>
      <c r="H2030" s="6">
        <v>3706213.0</v>
      </c>
    </row>
    <row r="2031" ht="15.75" customHeight="1">
      <c r="A2031" s="4">
        <v>2028.0</v>
      </c>
      <c r="B2031" s="4" t="s">
        <v>4085</v>
      </c>
      <c r="C2031" s="4" t="s">
        <v>4086</v>
      </c>
      <c r="D2031" s="4" t="s">
        <v>43</v>
      </c>
      <c r="E2031" s="6">
        <v>719130.0</v>
      </c>
      <c r="F2031" s="6">
        <v>3224000.0</v>
      </c>
      <c r="G2031" s="6">
        <v>0.0</v>
      </c>
      <c r="H2031" s="6">
        <v>4337443.0</v>
      </c>
    </row>
    <row r="2032" ht="15.75" customHeight="1">
      <c r="A2032" s="9">
        <v>2029.0</v>
      </c>
      <c r="B2032" s="9" t="s">
        <v>4087</v>
      </c>
      <c r="C2032" s="10" t="s">
        <v>4088</v>
      </c>
      <c r="D2032" s="9"/>
      <c r="E2032" s="11"/>
      <c r="F2032" s="11"/>
      <c r="G2032" s="11"/>
      <c r="H2032" s="11"/>
    </row>
    <row r="2033" ht="15.75" customHeight="1">
      <c r="A2033" s="4">
        <v>2030.0</v>
      </c>
      <c r="B2033" s="4" t="s">
        <v>4089</v>
      </c>
      <c r="C2033" s="4" t="s">
        <v>4090</v>
      </c>
      <c r="D2033" s="4" t="s">
        <v>43</v>
      </c>
      <c r="E2033" s="6">
        <v>19990.0</v>
      </c>
      <c r="F2033" s="6">
        <v>24667.5</v>
      </c>
      <c r="G2033" s="6">
        <v>0.0</v>
      </c>
      <c r="H2033" s="6">
        <v>49123.0</v>
      </c>
    </row>
    <row r="2034" ht="15.75" customHeight="1">
      <c r="A2034" s="4">
        <v>2031.0</v>
      </c>
      <c r="B2034" s="4" t="s">
        <v>4091</v>
      </c>
      <c r="C2034" s="4" t="s">
        <v>4092</v>
      </c>
      <c r="D2034" s="4" t="s">
        <v>43</v>
      </c>
      <c r="E2034" s="6">
        <v>29970.0</v>
      </c>
      <c r="F2034" s="6">
        <v>79810.0</v>
      </c>
      <c r="G2034" s="6">
        <v>0.0</v>
      </c>
      <c r="H2034" s="6">
        <v>120758.0</v>
      </c>
    </row>
    <row r="2035" ht="15.75" customHeight="1">
      <c r="A2035" s="4">
        <v>2032.0</v>
      </c>
      <c r="B2035" s="4" t="s">
        <v>4093</v>
      </c>
      <c r="C2035" s="4" t="s">
        <v>4064</v>
      </c>
      <c r="D2035" s="4" t="s">
        <v>43</v>
      </c>
      <c r="E2035" s="6">
        <v>39850.0</v>
      </c>
      <c r="F2035" s="6">
        <v>431249.9999999999</v>
      </c>
      <c r="G2035" s="6">
        <v>0.0</v>
      </c>
      <c r="H2035" s="6">
        <v>518210.0</v>
      </c>
    </row>
    <row r="2036" ht="15.75" customHeight="1">
      <c r="A2036" s="4">
        <v>2033.0</v>
      </c>
      <c r="B2036" s="4" t="s">
        <v>4065</v>
      </c>
      <c r="C2036" s="4" t="s">
        <v>4066</v>
      </c>
      <c r="D2036" s="4" t="s">
        <v>43</v>
      </c>
      <c r="E2036" s="6">
        <v>56390.0</v>
      </c>
      <c r="F2036" s="6">
        <v>154790.0</v>
      </c>
      <c r="G2036" s="6">
        <v>0.0</v>
      </c>
      <c r="H2036" s="6">
        <v>667370.0</v>
      </c>
    </row>
    <row r="2037" ht="15.75" customHeight="1">
      <c r="A2037" s="4">
        <v>2034.0</v>
      </c>
      <c r="B2037" s="4" t="s">
        <v>4067</v>
      </c>
      <c r="C2037" s="4" t="s">
        <v>4068</v>
      </c>
      <c r="D2037" s="4" t="s">
        <v>43</v>
      </c>
      <c r="E2037" s="6">
        <v>59840.0</v>
      </c>
      <c r="F2037" s="6">
        <v>232300.0</v>
      </c>
      <c r="G2037" s="6">
        <v>0.0</v>
      </c>
      <c r="H2037" s="6">
        <v>862774.0</v>
      </c>
    </row>
    <row r="2038" ht="15.75" customHeight="1">
      <c r="A2038" s="4">
        <v>2035.0</v>
      </c>
      <c r="B2038" s="4" t="s">
        <v>4094</v>
      </c>
      <c r="C2038" s="4" t="s">
        <v>4095</v>
      </c>
      <c r="D2038" s="4" t="s">
        <v>43</v>
      </c>
      <c r="E2038" s="6">
        <v>78995.0</v>
      </c>
      <c r="F2038" s="6">
        <v>380994.9999999999</v>
      </c>
      <c r="G2038" s="6">
        <v>0.0</v>
      </c>
      <c r="H2038" s="6">
        <v>505989.0</v>
      </c>
    </row>
    <row r="2039" ht="15.75" customHeight="1">
      <c r="A2039" s="4">
        <v>2036.0</v>
      </c>
      <c r="B2039" s="4" t="s">
        <v>4096</v>
      </c>
      <c r="C2039" s="4" t="s">
        <v>4097</v>
      </c>
      <c r="D2039" s="4" t="s">
        <v>43</v>
      </c>
      <c r="E2039" s="6">
        <v>98910.0</v>
      </c>
      <c r="F2039" s="6">
        <v>400199.9999999999</v>
      </c>
      <c r="G2039" s="6">
        <v>0.0</v>
      </c>
      <c r="H2039" s="6">
        <v>549021.0</v>
      </c>
    </row>
    <row r="2040" ht="15.75" customHeight="1">
      <c r="A2040" s="4">
        <v>2037.0</v>
      </c>
      <c r="B2040" s="4" t="s">
        <v>4098</v>
      </c>
      <c r="C2040" s="4" t="s">
        <v>4099</v>
      </c>
      <c r="D2040" s="4" t="s">
        <v>43</v>
      </c>
      <c r="E2040" s="6">
        <v>179840.0</v>
      </c>
      <c r="F2040" s="6">
        <v>791700.0</v>
      </c>
      <c r="G2040" s="6">
        <v>0.0</v>
      </c>
      <c r="H2040" s="6">
        <v>1068694.0</v>
      </c>
    </row>
    <row r="2041" ht="15.75" customHeight="1">
      <c r="A2041" s="4">
        <v>2038.0</v>
      </c>
      <c r="B2041" s="4" t="s">
        <v>4100</v>
      </c>
      <c r="C2041" s="4" t="s">
        <v>4101</v>
      </c>
      <c r="D2041" s="4" t="s">
        <v>43</v>
      </c>
      <c r="E2041" s="6">
        <v>240705.0</v>
      </c>
      <c r="F2041" s="6">
        <v>1131000.0</v>
      </c>
      <c r="G2041" s="6">
        <v>0.0</v>
      </c>
      <c r="H2041" s="6">
        <v>1508875.0</v>
      </c>
    </row>
    <row r="2042" ht="15.75" customHeight="1">
      <c r="A2042" s="4">
        <v>2039.0</v>
      </c>
      <c r="B2042" s="4" t="s">
        <v>4102</v>
      </c>
      <c r="C2042" s="4" t="s">
        <v>4103</v>
      </c>
      <c r="D2042" s="4" t="s">
        <v>43</v>
      </c>
      <c r="E2042" s="6">
        <v>300520.0</v>
      </c>
      <c r="F2042" s="6">
        <v>1196650.0</v>
      </c>
      <c r="G2042" s="6">
        <v>0.0</v>
      </c>
      <c r="H2042" s="6">
        <v>1646887.0</v>
      </c>
    </row>
    <row r="2043" ht="15.75" customHeight="1">
      <c r="A2043" s="4">
        <v>2040.0</v>
      </c>
      <c r="B2043" s="4" t="s">
        <v>4104</v>
      </c>
      <c r="C2043" s="4" t="s">
        <v>4105</v>
      </c>
      <c r="D2043" s="4" t="s">
        <v>43</v>
      </c>
      <c r="E2043" s="6">
        <v>360505.0</v>
      </c>
      <c r="F2043" s="6">
        <v>1371500.0</v>
      </c>
      <c r="G2043" s="6">
        <v>0.0</v>
      </c>
      <c r="H2043" s="6">
        <v>1905205.0</v>
      </c>
    </row>
    <row r="2044" ht="15.75" customHeight="1">
      <c r="A2044" s="4">
        <v>2041.0</v>
      </c>
      <c r="B2044" s="4" t="s">
        <v>4106</v>
      </c>
      <c r="C2044" s="4" t="s">
        <v>4082</v>
      </c>
      <c r="D2044" s="4" t="s">
        <v>43</v>
      </c>
      <c r="E2044" s="6">
        <v>480285.0000000001</v>
      </c>
      <c r="F2044" s="6">
        <v>1709500.0</v>
      </c>
      <c r="G2044" s="6">
        <v>0.0</v>
      </c>
      <c r="H2044" s="6">
        <v>3331113.0</v>
      </c>
    </row>
    <row r="2045" ht="15.75" customHeight="1">
      <c r="A2045" s="4">
        <v>2042.0</v>
      </c>
      <c r="B2045" s="4" t="s">
        <v>4107</v>
      </c>
      <c r="C2045" s="4" t="s">
        <v>4108</v>
      </c>
      <c r="D2045" s="4" t="s">
        <v>43</v>
      </c>
      <c r="E2045" s="6">
        <v>600285.0</v>
      </c>
      <c r="F2045" s="6">
        <v>1982500.0</v>
      </c>
      <c r="G2045" s="6">
        <v>0.0</v>
      </c>
      <c r="H2045" s="6">
        <v>2841063.0</v>
      </c>
    </row>
    <row r="2046" ht="15.75" customHeight="1">
      <c r="A2046" s="4">
        <v>2043.0</v>
      </c>
      <c r="B2046" s="4" t="s">
        <v>4109</v>
      </c>
      <c r="C2046" s="4" t="s">
        <v>4110</v>
      </c>
      <c r="D2046" s="4" t="s">
        <v>43</v>
      </c>
      <c r="E2046" s="6">
        <v>719130.0</v>
      </c>
      <c r="F2046" s="6">
        <v>2262000.0</v>
      </c>
      <c r="G2046" s="6">
        <v>0.0</v>
      </c>
      <c r="H2046" s="6">
        <v>3279243.0</v>
      </c>
    </row>
    <row r="2047" ht="15.75" customHeight="1">
      <c r="A2047" s="4">
        <v>2044.0</v>
      </c>
      <c r="B2047" s="4" t="s">
        <v>4111</v>
      </c>
      <c r="C2047" s="4" t="s">
        <v>4112</v>
      </c>
      <c r="D2047" s="4" t="s">
        <v>43</v>
      </c>
      <c r="E2047" s="6">
        <v>839910.0</v>
      </c>
      <c r="F2047" s="6">
        <v>2574000.0</v>
      </c>
      <c r="G2047" s="6">
        <v>0.0</v>
      </c>
      <c r="H2047" s="6">
        <v>3755301.0</v>
      </c>
    </row>
    <row r="2048" ht="15.75" customHeight="1">
      <c r="A2048" s="9">
        <v>2045.0</v>
      </c>
      <c r="B2048" s="9" t="s">
        <v>4113</v>
      </c>
      <c r="C2048" s="10" t="s">
        <v>4114</v>
      </c>
      <c r="D2048" s="9"/>
      <c r="E2048" s="11"/>
      <c r="F2048" s="11"/>
      <c r="G2048" s="11"/>
      <c r="H2048" s="11"/>
    </row>
    <row r="2049" ht="15.75" customHeight="1">
      <c r="A2049" s="4">
        <v>2046.0</v>
      </c>
      <c r="B2049" s="4" t="s">
        <v>4115</v>
      </c>
      <c r="C2049" s="4" t="s">
        <v>4116</v>
      </c>
      <c r="D2049" s="4" t="s">
        <v>43</v>
      </c>
      <c r="E2049" s="6">
        <v>19990.0</v>
      </c>
      <c r="F2049" s="6">
        <v>38640.0</v>
      </c>
      <c r="G2049" s="6">
        <v>0.0</v>
      </c>
      <c r="H2049" s="6">
        <v>64493.0</v>
      </c>
    </row>
    <row r="2050" ht="15.75" customHeight="1">
      <c r="A2050" s="4">
        <v>2047.0</v>
      </c>
      <c r="B2050" s="4" t="s">
        <v>4117</v>
      </c>
      <c r="C2050" s="4" t="s">
        <v>4118</v>
      </c>
      <c r="D2050" s="4" t="s">
        <v>43</v>
      </c>
      <c r="E2050" s="6">
        <v>29970.0</v>
      </c>
      <c r="F2050" s="6">
        <v>53474.99999999999</v>
      </c>
      <c r="G2050" s="6">
        <v>0.0</v>
      </c>
      <c r="H2050" s="6">
        <v>91789.0</v>
      </c>
    </row>
    <row r="2051" ht="15.75" customHeight="1">
      <c r="A2051" s="4">
        <v>2048.0</v>
      </c>
      <c r="B2051" s="4" t="s">
        <v>4119</v>
      </c>
      <c r="C2051" s="4" t="s">
        <v>4120</v>
      </c>
      <c r="D2051" s="4" t="s">
        <v>43</v>
      </c>
      <c r="E2051" s="6">
        <v>39850.0</v>
      </c>
      <c r="F2051" s="6">
        <v>100625.0</v>
      </c>
      <c r="G2051" s="6">
        <v>0.0</v>
      </c>
      <c r="H2051" s="6">
        <v>154522.0</v>
      </c>
    </row>
    <row r="2052" ht="15.75" customHeight="1">
      <c r="A2052" s="4">
        <v>2049.0</v>
      </c>
      <c r="B2052" s="4" t="s">
        <v>4121</v>
      </c>
      <c r="C2052" s="4" t="s">
        <v>4122</v>
      </c>
      <c r="D2052" s="4" t="s">
        <v>43</v>
      </c>
      <c r="E2052" s="6">
        <v>48950.0</v>
      </c>
      <c r="F2052" s="6">
        <v>112470.0</v>
      </c>
      <c r="G2052" s="6">
        <v>0.0</v>
      </c>
      <c r="H2052" s="6">
        <v>177562.0</v>
      </c>
    </row>
    <row r="2053" ht="15.75" customHeight="1">
      <c r="A2053" s="4">
        <v>2050.0</v>
      </c>
      <c r="B2053" s="4" t="s">
        <v>4123</v>
      </c>
      <c r="C2053" s="4" t="s">
        <v>4124</v>
      </c>
      <c r="D2053" s="4" t="s">
        <v>43</v>
      </c>
      <c r="E2053" s="6">
        <v>59840.0</v>
      </c>
      <c r="F2053" s="6">
        <v>121555.0</v>
      </c>
      <c r="G2053" s="6">
        <v>0.0</v>
      </c>
      <c r="H2053" s="6">
        <v>199534.0</v>
      </c>
    </row>
    <row r="2054" ht="15.75" customHeight="1">
      <c r="A2054" s="4">
        <v>2051.0</v>
      </c>
      <c r="B2054" s="4" t="s">
        <v>4125</v>
      </c>
      <c r="C2054" s="4" t="s">
        <v>4126</v>
      </c>
      <c r="D2054" s="4" t="s">
        <v>43</v>
      </c>
      <c r="E2054" s="6">
        <v>78995.0</v>
      </c>
      <c r="F2054" s="6">
        <v>156975.0</v>
      </c>
      <c r="G2054" s="6">
        <v>0.0</v>
      </c>
      <c r="H2054" s="6">
        <v>259567.0</v>
      </c>
    </row>
    <row r="2055" ht="15.75" customHeight="1">
      <c r="A2055" s="4">
        <v>2052.0</v>
      </c>
      <c r="B2055" s="4" t="s">
        <v>4127</v>
      </c>
      <c r="C2055" s="4" t="s">
        <v>4128</v>
      </c>
      <c r="D2055" s="4" t="s">
        <v>43</v>
      </c>
      <c r="E2055" s="6">
        <v>98910.0</v>
      </c>
      <c r="F2055" s="6">
        <v>181585.0</v>
      </c>
      <c r="G2055" s="6">
        <v>0.0</v>
      </c>
      <c r="H2055" s="6">
        <v>308544.0</v>
      </c>
    </row>
    <row r="2056" ht="15.75" customHeight="1">
      <c r="A2056" s="4">
        <v>2053.0</v>
      </c>
      <c r="B2056" s="4" t="s">
        <v>4129</v>
      </c>
      <c r="C2056" s="4" t="s">
        <v>4130</v>
      </c>
      <c r="D2056" s="4" t="s">
        <v>43</v>
      </c>
      <c r="E2056" s="6">
        <v>179840.0</v>
      </c>
      <c r="F2056" s="6">
        <v>215020.0</v>
      </c>
      <c r="G2056" s="6">
        <v>0.0</v>
      </c>
      <c r="H2056" s="6">
        <v>434346.0</v>
      </c>
    </row>
    <row r="2057" ht="15.75" customHeight="1">
      <c r="A2057" s="4">
        <v>2054.0</v>
      </c>
      <c r="B2057" s="4" t="s">
        <v>4131</v>
      </c>
      <c r="C2057" s="4" t="s">
        <v>4132</v>
      </c>
      <c r="D2057" s="4" t="s">
        <v>43</v>
      </c>
      <c r="E2057" s="6">
        <v>240705.0</v>
      </c>
      <c r="F2057" s="6">
        <v>468000.0</v>
      </c>
      <c r="G2057" s="6">
        <v>0.0</v>
      </c>
      <c r="H2057" s="6">
        <v>779575.0</v>
      </c>
    </row>
    <row r="2058" ht="15.75" customHeight="1">
      <c r="A2058" s="4">
        <v>2055.0</v>
      </c>
      <c r="B2058" s="4" t="s">
        <v>4133</v>
      </c>
      <c r="C2058" s="4" t="s">
        <v>4134</v>
      </c>
      <c r="D2058" s="4" t="s">
        <v>43</v>
      </c>
      <c r="E2058" s="6">
        <v>300520.0</v>
      </c>
      <c r="F2058" s="6">
        <v>963170.0</v>
      </c>
      <c r="G2058" s="6">
        <v>0.0</v>
      </c>
      <c r="H2058" s="6">
        <v>1390059.0</v>
      </c>
    </row>
    <row r="2059" ht="15.75" customHeight="1">
      <c r="A2059" s="4">
        <v>2056.0</v>
      </c>
      <c r="B2059" s="4" t="s">
        <v>4135</v>
      </c>
      <c r="C2059" s="4" t="s">
        <v>4136</v>
      </c>
      <c r="D2059" s="4" t="s">
        <v>43</v>
      </c>
      <c r="E2059" s="6">
        <v>360505.0</v>
      </c>
      <c r="F2059" s="6">
        <v>1218750.0</v>
      </c>
      <c r="G2059" s="6">
        <v>0.0</v>
      </c>
      <c r="H2059" s="6">
        <v>1737180.0</v>
      </c>
    </row>
    <row r="2060" ht="15.75" customHeight="1">
      <c r="A2060" s="4">
        <v>2057.0</v>
      </c>
      <c r="B2060" s="4" t="s">
        <v>4137</v>
      </c>
      <c r="C2060" s="4" t="s">
        <v>4138</v>
      </c>
      <c r="D2060" s="4" t="s">
        <v>43</v>
      </c>
      <c r="E2060" s="6">
        <v>480285.0000000001</v>
      </c>
      <c r="F2060" s="6">
        <v>1366170.0</v>
      </c>
      <c r="G2060" s="6">
        <v>0.0</v>
      </c>
      <c r="H2060" s="6">
        <v>2031100.0</v>
      </c>
    </row>
    <row r="2061" ht="15.75" customHeight="1">
      <c r="A2061" s="4">
        <v>2058.0</v>
      </c>
      <c r="B2061" s="4" t="s">
        <v>4139</v>
      </c>
      <c r="C2061" s="4" t="s">
        <v>4140</v>
      </c>
      <c r="D2061" s="4" t="s">
        <v>43</v>
      </c>
      <c r="E2061" s="6">
        <v>600285.0</v>
      </c>
      <c r="F2061" s="6">
        <v>1748500.0</v>
      </c>
      <c r="G2061" s="6">
        <v>0.0</v>
      </c>
      <c r="H2061" s="6">
        <v>2583663.0</v>
      </c>
    </row>
    <row r="2062" ht="15.75" customHeight="1">
      <c r="A2062" s="4">
        <v>2059.0</v>
      </c>
      <c r="B2062" s="4" t="s">
        <v>4141</v>
      </c>
      <c r="C2062" s="4" t="s">
        <v>4142</v>
      </c>
      <c r="D2062" s="4" t="s">
        <v>43</v>
      </c>
      <c r="E2062" s="6">
        <v>629520.0</v>
      </c>
      <c r="F2062" s="6">
        <v>2181400.0</v>
      </c>
      <c r="G2062" s="6">
        <v>0.0</v>
      </c>
      <c r="H2062" s="6">
        <v>3092012.0</v>
      </c>
    </row>
    <row r="2063" ht="15.75" customHeight="1">
      <c r="A2063" s="4">
        <v>2060.0</v>
      </c>
      <c r="B2063" s="4" t="s">
        <v>4143</v>
      </c>
      <c r="C2063" s="4" t="s">
        <v>4144</v>
      </c>
      <c r="D2063" s="4" t="s">
        <v>43</v>
      </c>
      <c r="E2063" s="6">
        <v>719130.0</v>
      </c>
      <c r="F2063" s="6">
        <v>2181400.0</v>
      </c>
      <c r="G2063" s="6">
        <v>0.0</v>
      </c>
      <c r="H2063" s="6">
        <v>3190583.0</v>
      </c>
    </row>
    <row r="2064" ht="15.75" customHeight="1">
      <c r="A2064" s="4">
        <v>2061.0</v>
      </c>
      <c r="B2064" s="4" t="s">
        <v>4145</v>
      </c>
      <c r="C2064" s="4" t="s">
        <v>4146</v>
      </c>
      <c r="D2064" s="4" t="s">
        <v>43</v>
      </c>
      <c r="E2064" s="6">
        <v>839910.0</v>
      </c>
      <c r="F2064" s="6">
        <v>2528500.0</v>
      </c>
      <c r="G2064" s="6">
        <v>0.0</v>
      </c>
      <c r="H2064" s="6">
        <v>3705251.0</v>
      </c>
    </row>
    <row r="2065" ht="15.75" customHeight="1">
      <c r="A2065" s="9">
        <v>2062.0</v>
      </c>
      <c r="B2065" s="9" t="s">
        <v>4147</v>
      </c>
      <c r="C2065" s="10" t="s">
        <v>4148</v>
      </c>
      <c r="D2065" s="9"/>
      <c r="E2065" s="11"/>
      <c r="F2065" s="11"/>
      <c r="G2065" s="11"/>
      <c r="H2065" s="11"/>
    </row>
    <row r="2066" ht="15.75" customHeight="1">
      <c r="A2066" s="4">
        <v>2063.0</v>
      </c>
      <c r="B2066" s="4" t="s">
        <v>4149</v>
      </c>
      <c r="C2066" s="4" t="s">
        <v>4150</v>
      </c>
      <c r="D2066" s="4" t="s">
        <v>43</v>
      </c>
      <c r="E2066" s="6">
        <v>78995.0</v>
      </c>
      <c r="F2066" s="6">
        <v>156515.0</v>
      </c>
      <c r="G2066" s="6">
        <v>0.0</v>
      </c>
      <c r="H2066" s="6">
        <v>259061.0</v>
      </c>
    </row>
    <row r="2067" ht="15.75" customHeight="1">
      <c r="A2067" s="4">
        <v>2064.0</v>
      </c>
      <c r="B2067" s="4" t="s">
        <v>4151</v>
      </c>
      <c r="C2067" s="4" t="s">
        <v>4152</v>
      </c>
      <c r="D2067" s="4" t="s">
        <v>43</v>
      </c>
      <c r="E2067" s="6">
        <v>98910.0</v>
      </c>
      <c r="F2067" s="6">
        <v>196305.0</v>
      </c>
      <c r="G2067" s="6">
        <v>0.0</v>
      </c>
      <c r="H2067" s="6">
        <v>324736.0</v>
      </c>
    </row>
    <row r="2068" ht="15.75" customHeight="1">
      <c r="A2068" s="4">
        <v>2065.0</v>
      </c>
      <c r="B2068" s="4" t="s">
        <v>4153</v>
      </c>
      <c r="C2068" s="4" t="s">
        <v>4154</v>
      </c>
      <c r="D2068" s="4" t="s">
        <v>43</v>
      </c>
      <c r="E2068" s="6">
        <v>179840.0</v>
      </c>
      <c r="F2068" s="6">
        <v>359320.0</v>
      </c>
      <c r="G2068" s="6">
        <v>0.0</v>
      </c>
      <c r="H2068" s="6">
        <v>593076.0</v>
      </c>
    </row>
    <row r="2069" ht="15.75" customHeight="1">
      <c r="A2069" s="4">
        <v>2066.0</v>
      </c>
      <c r="B2069" s="4" t="s">
        <v>4155</v>
      </c>
      <c r="C2069" s="4" t="s">
        <v>4156</v>
      </c>
      <c r="D2069" s="4" t="s">
        <v>43</v>
      </c>
      <c r="E2069" s="6">
        <v>240705.0</v>
      </c>
      <c r="F2069" s="6">
        <v>394680.0</v>
      </c>
      <c r="G2069" s="6">
        <v>0.0</v>
      </c>
      <c r="H2069" s="6">
        <v>698923.0</v>
      </c>
    </row>
    <row r="2070" ht="15.75" customHeight="1">
      <c r="A2070" s="4">
        <v>2067.0</v>
      </c>
      <c r="B2070" s="4" t="s">
        <v>4157</v>
      </c>
      <c r="C2070" s="4" t="s">
        <v>4158</v>
      </c>
      <c r="D2070" s="4" t="s">
        <v>43</v>
      </c>
      <c r="E2070" s="6">
        <v>300520.0</v>
      </c>
      <c r="F2070" s="6">
        <v>669760.0</v>
      </c>
      <c r="G2070" s="6">
        <v>0.0</v>
      </c>
      <c r="H2070" s="6">
        <v>1067308.0</v>
      </c>
    </row>
    <row r="2071" ht="15.75" customHeight="1">
      <c r="A2071" s="4">
        <v>2068.0</v>
      </c>
      <c r="B2071" s="4" t="s">
        <v>4159</v>
      </c>
      <c r="C2071" s="4" t="s">
        <v>4160</v>
      </c>
      <c r="D2071" s="4" t="s">
        <v>43</v>
      </c>
      <c r="E2071" s="6">
        <v>360505.0</v>
      </c>
      <c r="F2071" s="6">
        <v>1078090.0</v>
      </c>
      <c r="G2071" s="6">
        <v>0.0</v>
      </c>
      <c r="H2071" s="6">
        <v>1582454.0</v>
      </c>
    </row>
    <row r="2072" ht="15.75" customHeight="1">
      <c r="A2072" s="4">
        <v>2069.0</v>
      </c>
      <c r="B2072" s="4" t="s">
        <v>4161</v>
      </c>
      <c r="C2072" s="4" t="s">
        <v>4162</v>
      </c>
      <c r="D2072" s="4" t="s">
        <v>43</v>
      </c>
      <c r="E2072" s="6">
        <v>480285.0000000001</v>
      </c>
      <c r="F2072" s="6">
        <v>1773850.0</v>
      </c>
      <c r="G2072" s="6">
        <v>0.0</v>
      </c>
      <c r="H2072" s="6">
        <v>2479548.0</v>
      </c>
    </row>
    <row r="2073" ht="15.75" customHeight="1">
      <c r="A2073" s="4">
        <v>2070.0</v>
      </c>
      <c r="B2073" s="4" t="s">
        <v>4163</v>
      </c>
      <c r="C2073" s="4" t="s">
        <v>4164</v>
      </c>
      <c r="D2073" s="4" t="s">
        <v>43</v>
      </c>
      <c r="E2073" s="6">
        <v>600285.0</v>
      </c>
      <c r="F2073" s="6">
        <v>2351570.0</v>
      </c>
      <c r="G2073" s="6">
        <v>0.0</v>
      </c>
      <c r="H2073" s="6">
        <v>3247040.0</v>
      </c>
    </row>
    <row r="2074" ht="15.75" customHeight="1">
      <c r="A2074" s="4">
        <v>2071.0</v>
      </c>
      <c r="B2074" s="4" t="s">
        <v>4165</v>
      </c>
      <c r="C2074" s="4" t="s">
        <v>4166</v>
      </c>
      <c r="D2074" s="4" t="s">
        <v>43</v>
      </c>
      <c r="E2074" s="6">
        <v>629520.0</v>
      </c>
      <c r="F2074" s="6">
        <v>2822040.0</v>
      </c>
      <c r="G2074" s="6">
        <v>0.0</v>
      </c>
      <c r="H2074" s="6">
        <v>3796716.0</v>
      </c>
    </row>
    <row r="2075" ht="15.75" customHeight="1">
      <c r="A2075" s="4">
        <v>2072.0</v>
      </c>
      <c r="B2075" s="4" t="s">
        <v>4167</v>
      </c>
      <c r="C2075" s="4" t="s">
        <v>4166</v>
      </c>
      <c r="D2075" s="4" t="s">
        <v>43</v>
      </c>
      <c r="E2075" s="6">
        <v>719130.0</v>
      </c>
      <c r="F2075" s="6">
        <v>2822040.0</v>
      </c>
      <c r="G2075" s="6">
        <v>0.0</v>
      </c>
      <c r="H2075" s="6">
        <v>3796716.0</v>
      </c>
    </row>
    <row r="2076" ht="15.75" customHeight="1">
      <c r="A2076" s="9">
        <v>2073.0</v>
      </c>
      <c r="B2076" s="9" t="s">
        <v>4168</v>
      </c>
      <c r="C2076" s="10" t="s">
        <v>4169</v>
      </c>
      <c r="D2076" s="9"/>
      <c r="E2076" s="11"/>
      <c r="F2076" s="11"/>
      <c r="G2076" s="11"/>
      <c r="H2076" s="11"/>
    </row>
    <row r="2077" ht="15.75" customHeight="1">
      <c r="A2077" s="4">
        <v>2074.0</v>
      </c>
      <c r="B2077" s="4" t="s">
        <v>4170</v>
      </c>
      <c r="C2077" s="4" t="s">
        <v>4171</v>
      </c>
      <c r="D2077" s="4" t="s">
        <v>43</v>
      </c>
      <c r="E2077" s="6">
        <v>19990.0</v>
      </c>
      <c r="F2077" s="6">
        <v>120175.0</v>
      </c>
      <c r="G2077" s="6">
        <v>0.0</v>
      </c>
      <c r="H2077" s="6">
        <v>154181.0</v>
      </c>
    </row>
    <row r="2078" ht="15.75" customHeight="1">
      <c r="A2078" s="4">
        <v>2075.0</v>
      </c>
      <c r="B2078" s="4" t="s">
        <v>4172</v>
      </c>
      <c r="C2078" s="4" t="s">
        <v>4173</v>
      </c>
      <c r="D2078" s="4" t="s">
        <v>43</v>
      </c>
      <c r="E2078" s="6">
        <v>29970.0</v>
      </c>
      <c r="F2078" s="6">
        <v>135700.0</v>
      </c>
      <c r="G2078" s="6">
        <v>0.0</v>
      </c>
      <c r="H2078" s="6">
        <v>182237.0</v>
      </c>
    </row>
    <row r="2079" ht="15.75" customHeight="1">
      <c r="A2079" s="4">
        <v>2076.0</v>
      </c>
      <c r="B2079" s="4" t="s">
        <v>4174</v>
      </c>
      <c r="C2079" s="4" t="s">
        <v>4175</v>
      </c>
      <c r="D2079" s="4" t="s">
        <v>43</v>
      </c>
      <c r="E2079" s="6">
        <v>39850.0</v>
      </c>
      <c r="F2079" s="6">
        <v>161575.0</v>
      </c>
      <c r="G2079" s="6">
        <v>0.0</v>
      </c>
      <c r="H2079" s="6">
        <v>221567.0</v>
      </c>
    </row>
    <row r="2080" ht="15.75" customHeight="1">
      <c r="A2080" s="4">
        <v>2077.0</v>
      </c>
      <c r="B2080" s="4" t="s">
        <v>4176</v>
      </c>
      <c r="C2080" s="4" t="s">
        <v>4177</v>
      </c>
      <c r="D2080" s="4" t="s">
        <v>43</v>
      </c>
      <c r="E2080" s="6">
        <v>48950.0</v>
      </c>
      <c r="F2080" s="6">
        <v>218385.0</v>
      </c>
      <c r="G2080" s="6">
        <v>0.0</v>
      </c>
      <c r="H2080" s="6">
        <v>294068.0</v>
      </c>
    </row>
    <row r="2081" ht="15.75" customHeight="1">
      <c r="A2081" s="4">
        <v>2078.0</v>
      </c>
      <c r="B2081" s="4" t="s">
        <v>4178</v>
      </c>
      <c r="C2081" s="4" t="s">
        <v>4179</v>
      </c>
      <c r="D2081" s="4" t="s">
        <v>43</v>
      </c>
      <c r="E2081" s="6">
        <v>59840.0</v>
      </c>
      <c r="F2081" s="6">
        <v>290835.0</v>
      </c>
      <c r="G2081" s="6">
        <v>0.0</v>
      </c>
      <c r="H2081" s="6">
        <v>385742.0</v>
      </c>
    </row>
    <row r="2082" ht="15.75" customHeight="1">
      <c r="A2082" s="4">
        <v>2079.0</v>
      </c>
      <c r="B2082" s="4" t="s">
        <v>4180</v>
      </c>
      <c r="C2082" s="4" t="s">
        <v>4181</v>
      </c>
      <c r="D2082" s="4" t="s">
        <v>43</v>
      </c>
      <c r="E2082" s="6">
        <v>78995.0</v>
      </c>
      <c r="F2082" s="6">
        <v>1111245.0</v>
      </c>
      <c r="G2082" s="6">
        <v>0.0</v>
      </c>
      <c r="H2082" s="6">
        <v>1309264.0</v>
      </c>
    </row>
    <row r="2083" ht="15.75" customHeight="1">
      <c r="A2083" s="4">
        <v>2080.0</v>
      </c>
      <c r="B2083" s="4" t="s">
        <v>4182</v>
      </c>
      <c r="C2083" s="4" t="s">
        <v>4183</v>
      </c>
      <c r="D2083" s="4" t="s">
        <v>43</v>
      </c>
      <c r="E2083" s="6">
        <v>98910.0</v>
      </c>
      <c r="F2083" s="6">
        <v>1396445.0</v>
      </c>
      <c r="G2083" s="6">
        <v>0.0</v>
      </c>
      <c r="H2083" s="6">
        <v>1644890.0</v>
      </c>
    </row>
    <row r="2084" ht="15.75" customHeight="1">
      <c r="A2084" s="4">
        <v>2081.0</v>
      </c>
      <c r="B2084" s="4" t="s">
        <v>4184</v>
      </c>
      <c r="C2084" s="4" t="s">
        <v>4185</v>
      </c>
      <c r="D2084" s="4" t="s">
        <v>43</v>
      </c>
      <c r="E2084" s="6">
        <v>179840.0</v>
      </c>
      <c r="F2084" s="6">
        <v>2045030.0</v>
      </c>
      <c r="G2084" s="6">
        <v>0.0</v>
      </c>
      <c r="H2084" s="6">
        <v>2447357.0</v>
      </c>
    </row>
    <row r="2085" ht="15.75" customHeight="1">
      <c r="A2085" s="4">
        <v>2082.0</v>
      </c>
      <c r="B2085" s="4" t="s">
        <v>4186</v>
      </c>
      <c r="C2085" s="4" t="s">
        <v>4132</v>
      </c>
      <c r="D2085" s="4" t="s">
        <v>43</v>
      </c>
      <c r="E2085" s="6">
        <v>240705.0</v>
      </c>
      <c r="F2085" s="6">
        <v>2757820.0</v>
      </c>
      <c r="G2085" s="6">
        <v>0.0</v>
      </c>
      <c r="H2085" s="6">
        <v>779575.0</v>
      </c>
    </row>
    <row r="2086" ht="15.75" customHeight="1">
      <c r="A2086" s="4">
        <v>2083.0</v>
      </c>
      <c r="B2086" s="4" t="s">
        <v>4187</v>
      </c>
      <c r="C2086" s="4" t="s">
        <v>4134</v>
      </c>
      <c r="D2086" s="4" t="s">
        <v>43</v>
      </c>
      <c r="E2086" s="6">
        <v>300520.0</v>
      </c>
      <c r="F2086" s="6">
        <v>5057000.0</v>
      </c>
      <c r="G2086" s="6">
        <v>0.0</v>
      </c>
      <c r="H2086" s="6">
        <v>1390059.0</v>
      </c>
    </row>
    <row r="2087" ht="15.75" customHeight="1">
      <c r="A2087" s="4">
        <v>2084.0</v>
      </c>
      <c r="B2087" s="4" t="s">
        <v>4188</v>
      </c>
      <c r="C2087" s="4" t="s">
        <v>4189</v>
      </c>
      <c r="D2087" s="4" t="s">
        <v>43</v>
      </c>
      <c r="E2087" s="6">
        <v>360505.0</v>
      </c>
      <c r="F2087" s="6">
        <v>6494800.0</v>
      </c>
      <c r="G2087" s="6">
        <v>0.0</v>
      </c>
      <c r="H2087" s="6">
        <v>7540835.0</v>
      </c>
    </row>
    <row r="2088" ht="15.75" customHeight="1">
      <c r="A2088" s="4">
        <v>2085.0</v>
      </c>
      <c r="B2088" s="4" t="s">
        <v>4190</v>
      </c>
      <c r="C2088" s="4" t="s">
        <v>4191</v>
      </c>
      <c r="D2088" s="4" t="s">
        <v>43</v>
      </c>
      <c r="E2088" s="6">
        <v>480285.0000000001</v>
      </c>
      <c r="F2088" s="6">
        <v>7462000.0</v>
      </c>
      <c r="G2088" s="6">
        <v>0.0</v>
      </c>
      <c r="H2088" s="6">
        <v>8736513.0</v>
      </c>
    </row>
    <row r="2089" ht="15.75" customHeight="1">
      <c r="A2089" s="9">
        <v>2086.0</v>
      </c>
      <c r="B2089" s="9" t="s">
        <v>4192</v>
      </c>
      <c r="C2089" s="10" t="s">
        <v>4193</v>
      </c>
      <c r="D2089" s="9"/>
      <c r="E2089" s="11"/>
      <c r="F2089" s="11"/>
      <c r="G2089" s="11"/>
      <c r="H2089" s="11"/>
    </row>
    <row r="2090" ht="15.75" customHeight="1">
      <c r="A2090" s="4">
        <v>2087.0</v>
      </c>
      <c r="B2090" s="4" t="s">
        <v>4194</v>
      </c>
      <c r="C2090" s="4" t="s">
        <v>4195</v>
      </c>
      <c r="D2090" s="4" t="s">
        <v>43</v>
      </c>
      <c r="E2090" s="6">
        <v>19990.0</v>
      </c>
      <c r="F2090" s="6">
        <v>1566700.0</v>
      </c>
      <c r="G2090" s="6">
        <v>0.0</v>
      </c>
      <c r="H2090" s="6">
        <v>1745359.0</v>
      </c>
    </row>
    <row r="2091" ht="15.75" customHeight="1">
      <c r="A2091" s="4">
        <v>2088.0</v>
      </c>
      <c r="B2091" s="4" t="s">
        <v>4196</v>
      </c>
      <c r="C2091" s="4" t="s">
        <v>4197</v>
      </c>
      <c r="D2091" s="4" t="s">
        <v>43</v>
      </c>
      <c r="E2091" s="6">
        <v>39850.0</v>
      </c>
      <c r="F2091" s="6">
        <v>1991770.0</v>
      </c>
      <c r="G2091" s="6">
        <v>0.0</v>
      </c>
      <c r="H2091" s="6">
        <v>2234782.0</v>
      </c>
    </row>
    <row r="2092" ht="15.75" customHeight="1">
      <c r="A2092" s="4">
        <v>2089.0</v>
      </c>
      <c r="B2092" s="4" t="s">
        <v>4198</v>
      </c>
      <c r="C2092" s="4" t="s">
        <v>4199</v>
      </c>
      <c r="D2092" s="4" t="s">
        <v>43</v>
      </c>
      <c r="E2092" s="6">
        <v>78995.0</v>
      </c>
      <c r="F2092" s="6">
        <v>2456450.0</v>
      </c>
      <c r="G2092" s="6">
        <v>0.0</v>
      </c>
      <c r="H2092" s="6">
        <v>2788989.0</v>
      </c>
    </row>
    <row r="2093" ht="15.75" customHeight="1">
      <c r="A2093" s="4">
        <v>2090.0</v>
      </c>
      <c r="B2093" s="4" t="s">
        <v>4200</v>
      </c>
      <c r="C2093" s="4" t="s">
        <v>4201</v>
      </c>
      <c r="D2093" s="4" t="s">
        <v>43</v>
      </c>
      <c r="E2093" s="6">
        <v>179840.0</v>
      </c>
      <c r="F2093" s="6">
        <v>2965020.0</v>
      </c>
      <c r="G2093" s="6">
        <v>0.0</v>
      </c>
      <c r="H2093" s="6">
        <v>3459346.0</v>
      </c>
    </row>
    <row r="2094" ht="15.75" customHeight="1">
      <c r="A2094" s="4">
        <v>2091.0</v>
      </c>
      <c r="B2094" s="4" t="s">
        <v>4202</v>
      </c>
      <c r="C2094" s="4" t="s">
        <v>4203</v>
      </c>
      <c r="D2094" s="4" t="s">
        <v>43</v>
      </c>
      <c r="E2094" s="6">
        <v>240705.0</v>
      </c>
      <c r="F2094" s="6">
        <v>3279050.0</v>
      </c>
      <c r="G2094" s="6">
        <v>0.0</v>
      </c>
      <c r="H2094" s="6">
        <v>3871730.0</v>
      </c>
    </row>
    <row r="2095" ht="15.75" customHeight="1">
      <c r="A2095" s="4">
        <v>2092.0</v>
      </c>
      <c r="B2095" s="4" t="s">
        <v>4204</v>
      </c>
      <c r="C2095" s="4" t="s">
        <v>4205</v>
      </c>
      <c r="D2095" s="4" t="s">
        <v>43</v>
      </c>
      <c r="E2095" s="6">
        <v>179840.0</v>
      </c>
      <c r="F2095" s="6">
        <v>3279050.0</v>
      </c>
      <c r="G2095" s="6">
        <v>0.0</v>
      </c>
      <c r="H2095" s="6">
        <v>3804779.0</v>
      </c>
    </row>
    <row r="2096" ht="15.75" customHeight="1">
      <c r="A2096" s="4">
        <v>2093.0</v>
      </c>
      <c r="B2096" s="4" t="s">
        <v>4206</v>
      </c>
      <c r="C2096" s="4" t="s">
        <v>4207</v>
      </c>
      <c r="D2096" s="4" t="s">
        <v>43</v>
      </c>
      <c r="E2096" s="6">
        <v>240705.0</v>
      </c>
      <c r="F2096" s="6">
        <v>2965020.0</v>
      </c>
      <c r="G2096" s="6">
        <v>0.0</v>
      </c>
      <c r="H2096" s="6">
        <v>3526297.0</v>
      </c>
    </row>
    <row r="2097" ht="15.75" customHeight="1">
      <c r="A2097" s="9">
        <v>2094.0</v>
      </c>
      <c r="B2097" s="9" t="s">
        <v>4208</v>
      </c>
      <c r="C2097" s="10" t="s">
        <v>4209</v>
      </c>
      <c r="D2097" s="9"/>
      <c r="E2097" s="11"/>
      <c r="F2097" s="11"/>
      <c r="G2097" s="11"/>
      <c r="H2097" s="11"/>
    </row>
    <row r="2098" ht="15.75" customHeight="1">
      <c r="A2098" s="4">
        <v>2095.0</v>
      </c>
      <c r="B2098" s="4" t="s">
        <v>4210</v>
      </c>
      <c r="C2098" s="4" t="s">
        <v>4211</v>
      </c>
      <c r="D2098" s="4" t="s">
        <v>43</v>
      </c>
      <c r="E2098" s="6">
        <v>19990.0</v>
      </c>
      <c r="F2098" s="6">
        <v>311362.5</v>
      </c>
      <c r="G2098" s="6">
        <v>0.0</v>
      </c>
      <c r="H2098" s="6">
        <v>364487.0</v>
      </c>
    </row>
    <row r="2099" ht="15.75" customHeight="1">
      <c r="A2099" s="4">
        <v>2096.0</v>
      </c>
      <c r="B2099" s="4" t="s">
        <v>4212</v>
      </c>
      <c r="C2099" s="4" t="s">
        <v>4213</v>
      </c>
      <c r="D2099" s="4" t="s">
        <v>43</v>
      </c>
      <c r="E2099" s="6">
        <v>29970.0</v>
      </c>
      <c r="F2099" s="6">
        <v>754301.1</v>
      </c>
      <c r="G2099" s="6">
        <v>0.0</v>
      </c>
      <c r="H2099" s="6">
        <v>862698.0</v>
      </c>
    </row>
    <row r="2100" ht="15.75" customHeight="1">
      <c r="A2100" s="4">
        <v>2097.0</v>
      </c>
      <c r="B2100" s="4" t="s">
        <v>4214</v>
      </c>
      <c r="C2100" s="4" t="s">
        <v>4215</v>
      </c>
      <c r="D2100" s="4" t="s">
        <v>43</v>
      </c>
      <c r="E2100" s="6">
        <v>39850.0</v>
      </c>
      <c r="F2100" s="6">
        <v>1629320.0</v>
      </c>
      <c r="G2100" s="6">
        <v>0.0</v>
      </c>
      <c r="H2100" s="6">
        <v>1836087.0</v>
      </c>
    </row>
    <row r="2101" ht="15.75" customHeight="1">
      <c r="A2101" s="4">
        <v>2098.0</v>
      </c>
      <c r="B2101" s="4" t="s">
        <v>4216</v>
      </c>
      <c r="C2101" s="4" t="s">
        <v>4217</v>
      </c>
      <c r="D2101" s="4" t="s">
        <v>43</v>
      </c>
      <c r="E2101" s="6">
        <v>59840.0</v>
      </c>
      <c r="F2101" s="6">
        <v>2001690.0</v>
      </c>
      <c r="G2101" s="6">
        <v>0.0</v>
      </c>
      <c r="H2101" s="6">
        <v>2267683.0</v>
      </c>
    </row>
    <row r="2102" ht="15.75" customHeight="1">
      <c r="A2102" s="4">
        <v>2099.0</v>
      </c>
      <c r="B2102" s="4" t="s">
        <v>4218</v>
      </c>
      <c r="C2102" s="4" t="s">
        <v>4219</v>
      </c>
      <c r="D2102" s="4" t="s">
        <v>43</v>
      </c>
      <c r="E2102" s="6">
        <v>78995.0</v>
      </c>
      <c r="F2102" s="6">
        <v>2750800.0</v>
      </c>
      <c r="G2102" s="6">
        <v>0.0</v>
      </c>
      <c r="H2102" s="6">
        <v>3112774.0</v>
      </c>
    </row>
    <row r="2103" ht="15.75" customHeight="1">
      <c r="A2103" s="4">
        <v>2100.0</v>
      </c>
      <c r="B2103" s="4" t="s">
        <v>4220</v>
      </c>
      <c r="C2103" s="4" t="s">
        <v>4221</v>
      </c>
      <c r="D2103" s="4" t="s">
        <v>43</v>
      </c>
      <c r="E2103" s="6">
        <v>179840.0</v>
      </c>
      <c r="F2103" s="6">
        <v>3510000.0</v>
      </c>
      <c r="G2103" s="6">
        <v>0.0</v>
      </c>
      <c r="H2103" s="6">
        <v>4058824.0</v>
      </c>
    </row>
    <row r="2104" ht="15.75" customHeight="1">
      <c r="A2104" s="4">
        <v>2101.0</v>
      </c>
      <c r="B2104" s="4" t="s">
        <v>4222</v>
      </c>
      <c r="C2104" s="4" t="s">
        <v>4223</v>
      </c>
      <c r="D2104" s="4" t="s">
        <v>43</v>
      </c>
      <c r="E2104" s="6">
        <v>240705.0</v>
      </c>
      <c r="F2104" s="6">
        <v>3874000.0</v>
      </c>
      <c r="G2104" s="6">
        <v>0.0</v>
      </c>
      <c r="H2104" s="6">
        <v>4526175.0</v>
      </c>
    </row>
    <row r="2105" ht="15.75" customHeight="1">
      <c r="A2105" s="4">
        <v>2102.0</v>
      </c>
      <c r="B2105" s="4" t="s">
        <v>4224</v>
      </c>
      <c r="C2105" s="4" t="s">
        <v>4225</v>
      </c>
      <c r="D2105" s="4" t="s">
        <v>43</v>
      </c>
      <c r="E2105" s="6">
        <v>360505.0</v>
      </c>
      <c r="F2105" s="6">
        <v>4603170.0</v>
      </c>
      <c r="G2105" s="6">
        <v>0.0</v>
      </c>
      <c r="H2105" s="6">
        <v>5460042.0</v>
      </c>
    </row>
    <row r="2106" ht="15.75" customHeight="1">
      <c r="A2106" s="4">
        <v>2103.0</v>
      </c>
      <c r="B2106" s="4" t="s">
        <v>4226</v>
      </c>
      <c r="C2106" s="4" t="s">
        <v>4227</v>
      </c>
      <c r="D2106" s="4" t="s">
        <v>43</v>
      </c>
      <c r="E2106" s="6">
        <v>480285.0000000001</v>
      </c>
      <c r="F2106" s="6">
        <v>5131100.0</v>
      </c>
      <c r="G2106" s="6">
        <v>0.0</v>
      </c>
      <c r="H2106" s="6">
        <v>6172523.0</v>
      </c>
    </row>
    <row r="2107" ht="15.75" customHeight="1">
      <c r="A2107" s="4">
        <v>2104.0</v>
      </c>
      <c r="B2107" s="4" t="s">
        <v>4228</v>
      </c>
      <c r="C2107" s="4" t="s">
        <v>4229</v>
      </c>
      <c r="D2107" s="4" t="s">
        <v>43</v>
      </c>
      <c r="E2107" s="6">
        <v>600285.0</v>
      </c>
      <c r="F2107" s="6">
        <v>5500170.0</v>
      </c>
      <c r="G2107" s="6">
        <v>0.0</v>
      </c>
      <c r="H2107" s="6">
        <v>6710500.0</v>
      </c>
    </row>
    <row r="2108" ht="15.75" customHeight="1">
      <c r="A2108" s="4">
        <v>2105.0</v>
      </c>
      <c r="B2108" s="4" t="s">
        <v>4230</v>
      </c>
      <c r="C2108" s="4" t="s">
        <v>4231</v>
      </c>
      <c r="D2108" s="4" t="s">
        <v>43</v>
      </c>
      <c r="E2108" s="6">
        <v>719130.0</v>
      </c>
      <c r="F2108" s="6">
        <v>5928000.0</v>
      </c>
      <c r="G2108" s="6">
        <v>0.0</v>
      </c>
      <c r="H2108" s="6">
        <v>7311843.0</v>
      </c>
    </row>
    <row r="2109" ht="15.75" customHeight="1">
      <c r="A2109" s="4">
        <v>2106.0</v>
      </c>
      <c r="B2109" s="4" t="s">
        <v>4232</v>
      </c>
      <c r="C2109" s="4" t="s">
        <v>4233</v>
      </c>
      <c r="D2109" s="4" t="s">
        <v>43</v>
      </c>
      <c r="E2109" s="6">
        <v>839910.0</v>
      </c>
      <c r="F2109" s="6">
        <v>6189170.0</v>
      </c>
      <c r="G2109" s="6">
        <v>0.0</v>
      </c>
      <c r="H2109" s="6">
        <v>7731988.0</v>
      </c>
    </row>
    <row r="2110" ht="15.75" customHeight="1">
      <c r="A2110" s="4">
        <v>2107.0</v>
      </c>
      <c r="B2110" s="4" t="s">
        <v>4234</v>
      </c>
      <c r="C2110" s="4" t="s">
        <v>4235</v>
      </c>
      <c r="D2110" s="4" t="s">
        <v>43</v>
      </c>
      <c r="E2110" s="6">
        <v>240705.0</v>
      </c>
      <c r="F2110" s="6">
        <v>3183700.0</v>
      </c>
      <c r="G2110" s="6">
        <v>0.0</v>
      </c>
      <c r="H2110" s="6">
        <v>3766845.0</v>
      </c>
    </row>
    <row r="2111" ht="15.75" customHeight="1">
      <c r="A2111" s="9">
        <v>2108.0</v>
      </c>
      <c r="B2111" s="9" t="s">
        <v>4236</v>
      </c>
      <c r="C2111" s="10" t="s">
        <v>4237</v>
      </c>
      <c r="D2111" s="9"/>
      <c r="E2111" s="11"/>
      <c r="F2111" s="11"/>
      <c r="G2111" s="11"/>
      <c r="H2111" s="11"/>
    </row>
    <row r="2112" ht="15.75" customHeight="1">
      <c r="A2112" s="4">
        <v>2109.0</v>
      </c>
      <c r="B2112" s="4" t="s">
        <v>4238</v>
      </c>
      <c r="C2112" s="4" t="s">
        <v>4239</v>
      </c>
      <c r="D2112" s="4" t="s">
        <v>43</v>
      </c>
      <c r="E2112" s="6">
        <v>35965.0</v>
      </c>
      <c r="F2112" s="6">
        <v>52250.00000000001</v>
      </c>
      <c r="G2112" s="6">
        <v>0.0</v>
      </c>
      <c r="H2112" s="6">
        <v>97036.0</v>
      </c>
    </row>
    <row r="2113" ht="15.75" customHeight="1">
      <c r="A2113" s="4">
        <v>2110.0</v>
      </c>
      <c r="B2113" s="4" t="s">
        <v>4240</v>
      </c>
      <c r="C2113" s="4" t="s">
        <v>4241</v>
      </c>
      <c r="D2113" s="4" t="s">
        <v>43</v>
      </c>
      <c r="E2113" s="6">
        <v>44010.0</v>
      </c>
      <c r="F2113" s="6">
        <v>62370.00000000001</v>
      </c>
      <c r="G2113" s="6">
        <v>0.0</v>
      </c>
      <c r="H2113" s="6">
        <v>117018.0</v>
      </c>
    </row>
    <row r="2114" ht="15.75" customHeight="1">
      <c r="A2114" s="4">
        <v>2111.0</v>
      </c>
      <c r="B2114" s="4" t="s">
        <v>4242</v>
      </c>
      <c r="C2114" s="4" t="s">
        <v>4243</v>
      </c>
      <c r="D2114" s="4" t="s">
        <v>43</v>
      </c>
      <c r="E2114" s="6">
        <v>69895.0</v>
      </c>
      <c r="F2114" s="6">
        <v>71500.0</v>
      </c>
      <c r="G2114" s="6">
        <v>0.0</v>
      </c>
      <c r="H2114" s="6">
        <v>155534.0</v>
      </c>
    </row>
    <row r="2115" ht="15.75" customHeight="1">
      <c r="A2115" s="4">
        <v>2112.0</v>
      </c>
      <c r="B2115" s="4" t="s">
        <v>4244</v>
      </c>
      <c r="C2115" s="4" t="s">
        <v>4245</v>
      </c>
      <c r="D2115" s="4" t="s">
        <v>43</v>
      </c>
      <c r="E2115" s="6">
        <v>93135.0</v>
      </c>
      <c r="F2115" s="6">
        <v>79750.0</v>
      </c>
      <c r="G2115" s="6">
        <v>0.0</v>
      </c>
      <c r="H2115" s="6">
        <v>190173.0</v>
      </c>
    </row>
    <row r="2116" ht="15.75" customHeight="1">
      <c r="A2116" s="4">
        <v>2113.0</v>
      </c>
      <c r="B2116" s="4" t="s">
        <v>4246</v>
      </c>
      <c r="C2116" s="4" t="s">
        <v>4247</v>
      </c>
      <c r="D2116" s="4" t="s">
        <v>43</v>
      </c>
      <c r="E2116" s="6">
        <v>116230.0</v>
      </c>
      <c r="F2116" s="6">
        <v>196790.0</v>
      </c>
      <c r="G2116" s="6">
        <v>0.0</v>
      </c>
      <c r="H2116" s="6">
        <v>344322.0</v>
      </c>
    </row>
    <row r="2117" ht="15.75" customHeight="1">
      <c r="A2117" s="4">
        <v>2114.0</v>
      </c>
      <c r="B2117" s="4" t="s">
        <v>4248</v>
      </c>
      <c r="C2117" s="4" t="s">
        <v>4249</v>
      </c>
      <c r="D2117" s="4" t="s">
        <v>43</v>
      </c>
      <c r="E2117" s="6">
        <v>139715.0</v>
      </c>
      <c r="F2117" s="6">
        <v>253968.0</v>
      </c>
      <c r="G2117" s="6">
        <v>0.0</v>
      </c>
      <c r="H2117" s="6">
        <v>433051.0</v>
      </c>
    </row>
    <row r="2118" ht="15.75" customHeight="1">
      <c r="A2118" s="4">
        <v>2115.0</v>
      </c>
      <c r="B2118" s="4" t="s">
        <v>4250</v>
      </c>
      <c r="C2118" s="4" t="s">
        <v>4251</v>
      </c>
      <c r="D2118" s="4" t="s">
        <v>43</v>
      </c>
      <c r="E2118" s="6">
        <v>186125.0</v>
      </c>
      <c r="F2118" s="6">
        <v>407000.0000000001</v>
      </c>
      <c r="G2118" s="6">
        <v>0.0</v>
      </c>
      <c r="H2118" s="6">
        <v>652437.0</v>
      </c>
    </row>
    <row r="2119" ht="15.75" customHeight="1">
      <c r="A2119" s="9">
        <v>2116.0</v>
      </c>
      <c r="B2119" s="9" t="s">
        <v>4252</v>
      </c>
      <c r="C2119" s="10" t="s">
        <v>4253</v>
      </c>
      <c r="D2119" s="9"/>
      <c r="E2119" s="11"/>
      <c r="F2119" s="11"/>
      <c r="G2119" s="11"/>
      <c r="H2119" s="11"/>
    </row>
    <row r="2120" ht="15.75" customHeight="1">
      <c r="A2120" s="4">
        <v>2117.0</v>
      </c>
      <c r="B2120" s="4" t="s">
        <v>4254</v>
      </c>
      <c r="C2120" s="4" t="s">
        <v>4255</v>
      </c>
      <c r="D2120" s="4" t="s">
        <v>43</v>
      </c>
      <c r="E2120" s="6">
        <v>52720.0</v>
      </c>
      <c r="F2120" s="6">
        <v>37250.0</v>
      </c>
      <c r="G2120" s="6">
        <v>0.0</v>
      </c>
      <c r="H2120" s="6">
        <v>98967.0</v>
      </c>
    </row>
    <row r="2121" ht="15.75" customHeight="1">
      <c r="A2121" s="4">
        <v>2118.0</v>
      </c>
      <c r="B2121" s="4" t="s">
        <v>4256</v>
      </c>
      <c r="C2121" s="4" t="s">
        <v>4257</v>
      </c>
      <c r="D2121" s="4" t="s">
        <v>43</v>
      </c>
      <c r="E2121" s="6">
        <v>66080.0</v>
      </c>
      <c r="F2121" s="6">
        <v>42406.25</v>
      </c>
      <c r="G2121" s="6">
        <v>0.0</v>
      </c>
      <c r="H2121" s="6">
        <v>119334.0</v>
      </c>
    </row>
    <row r="2122" ht="15.75" customHeight="1">
      <c r="A2122" s="4">
        <v>2119.0</v>
      </c>
      <c r="B2122" s="4" t="s">
        <v>4258</v>
      </c>
      <c r="C2122" s="4" t="s">
        <v>4259</v>
      </c>
      <c r="D2122" s="4" t="s">
        <v>43</v>
      </c>
      <c r="E2122" s="6">
        <v>79385.0</v>
      </c>
      <c r="F2122" s="6">
        <v>46718.75</v>
      </c>
      <c r="G2122" s="6">
        <v>0.0</v>
      </c>
      <c r="H2122" s="6">
        <v>138714.0</v>
      </c>
    </row>
    <row r="2123" ht="15.75" customHeight="1">
      <c r="A2123" s="4">
        <v>2120.0</v>
      </c>
      <c r="B2123" s="4" t="s">
        <v>4260</v>
      </c>
      <c r="C2123" s="4" t="s">
        <v>4261</v>
      </c>
      <c r="D2123" s="4" t="s">
        <v>43</v>
      </c>
      <c r="E2123" s="6">
        <v>102480.0</v>
      </c>
      <c r="F2123" s="6">
        <v>50312.5</v>
      </c>
      <c r="G2123" s="6">
        <v>0.0</v>
      </c>
      <c r="H2123" s="6">
        <v>168071.0</v>
      </c>
    </row>
    <row r="2124" ht="15.75" customHeight="1">
      <c r="A2124" s="4">
        <v>2121.0</v>
      </c>
      <c r="B2124" s="4" t="s">
        <v>4262</v>
      </c>
      <c r="C2124" s="4" t="s">
        <v>4263</v>
      </c>
      <c r="D2124" s="4" t="s">
        <v>43</v>
      </c>
      <c r="E2124" s="6">
        <v>131150.0</v>
      </c>
      <c r="F2124" s="6">
        <v>64625.0</v>
      </c>
      <c r="G2124" s="6">
        <v>0.0</v>
      </c>
      <c r="H2124" s="6">
        <v>215352.0</v>
      </c>
    </row>
    <row r="2125" ht="15.75" customHeight="1">
      <c r="A2125" s="4">
        <v>2122.0</v>
      </c>
      <c r="B2125" s="4" t="s">
        <v>4264</v>
      </c>
      <c r="C2125" s="4" t="s">
        <v>4265</v>
      </c>
      <c r="D2125" s="4" t="s">
        <v>43</v>
      </c>
      <c r="E2125" s="6">
        <v>157625.0</v>
      </c>
      <c r="F2125" s="6">
        <v>76375.0</v>
      </c>
      <c r="G2125" s="6">
        <v>0.0</v>
      </c>
      <c r="H2125" s="6">
        <v>257400.0</v>
      </c>
    </row>
    <row r="2126" ht="15.75" customHeight="1">
      <c r="A2126" s="4">
        <v>2123.0</v>
      </c>
      <c r="B2126" s="4" t="s">
        <v>4266</v>
      </c>
      <c r="C2126" s="4" t="s">
        <v>4267</v>
      </c>
      <c r="D2126" s="4" t="s">
        <v>43</v>
      </c>
      <c r="E2126" s="6">
        <v>209955.0</v>
      </c>
      <c r="F2126" s="6">
        <v>112812.5</v>
      </c>
      <c r="G2126" s="6">
        <v>0.0</v>
      </c>
      <c r="H2126" s="6">
        <v>355044.0</v>
      </c>
    </row>
    <row r="2127" ht="15.75" customHeight="1">
      <c r="A2127" s="4">
        <v>2124.0</v>
      </c>
      <c r="B2127" s="4" t="s">
        <v>4268</v>
      </c>
      <c r="C2127" s="4" t="s">
        <v>4269</v>
      </c>
      <c r="D2127" s="4" t="s">
        <v>43</v>
      </c>
      <c r="E2127" s="6">
        <v>262330.0</v>
      </c>
      <c r="F2127" s="6">
        <v>178125.0</v>
      </c>
      <c r="G2127" s="6">
        <v>0.0</v>
      </c>
      <c r="H2127" s="6">
        <v>484500.0</v>
      </c>
    </row>
    <row r="2128" ht="15.75" customHeight="1">
      <c r="A2128" s="4">
        <v>2125.0</v>
      </c>
      <c r="B2128" s="4" t="s">
        <v>4270</v>
      </c>
      <c r="C2128" s="4" t="s">
        <v>4271</v>
      </c>
      <c r="D2128" s="4" t="s">
        <v>43</v>
      </c>
      <c r="E2128" s="6">
        <v>314270.0</v>
      </c>
      <c r="F2128" s="6">
        <v>209375.0</v>
      </c>
      <c r="G2128" s="6">
        <v>0.0</v>
      </c>
      <c r="H2128" s="6">
        <v>576009.0</v>
      </c>
    </row>
    <row r="2129" ht="15.75" customHeight="1">
      <c r="A2129" s="9">
        <v>2126.0</v>
      </c>
      <c r="B2129" s="9" t="s">
        <v>4272</v>
      </c>
      <c r="C2129" s="10" t="s">
        <v>4273</v>
      </c>
      <c r="D2129" s="9"/>
      <c r="E2129" s="11"/>
      <c r="F2129" s="11"/>
      <c r="G2129" s="11"/>
      <c r="H2129" s="11"/>
    </row>
    <row r="2130" ht="15.75" customHeight="1">
      <c r="A2130" s="4">
        <v>2127.0</v>
      </c>
      <c r="B2130" s="4" t="s">
        <v>4274</v>
      </c>
      <c r="C2130" s="4" t="s">
        <v>4275</v>
      </c>
      <c r="D2130" s="4" t="s">
        <v>43</v>
      </c>
      <c r="E2130" s="6">
        <v>52720.0</v>
      </c>
      <c r="F2130" s="6">
        <v>157320.0</v>
      </c>
      <c r="G2130" s="6">
        <v>0.0</v>
      </c>
      <c r="H2130" s="6">
        <v>231044.0</v>
      </c>
    </row>
    <row r="2131" ht="15.75" customHeight="1">
      <c r="A2131" s="4">
        <v>2128.0</v>
      </c>
      <c r="B2131" s="4" t="s">
        <v>4276</v>
      </c>
      <c r="C2131" s="4" t="s">
        <v>4277</v>
      </c>
      <c r="D2131" s="4" t="s">
        <v>43</v>
      </c>
      <c r="E2131" s="6">
        <v>66080.0</v>
      </c>
      <c r="F2131" s="6">
        <v>203875.0</v>
      </c>
      <c r="G2131" s="6">
        <v>0.0</v>
      </c>
      <c r="H2131" s="6">
        <v>296950.0</v>
      </c>
    </row>
    <row r="2132" ht="15.75" customHeight="1">
      <c r="A2132" s="4">
        <v>2129.0</v>
      </c>
      <c r="B2132" s="4" t="s">
        <v>4278</v>
      </c>
      <c r="C2132" s="4" t="s">
        <v>4279</v>
      </c>
      <c r="D2132" s="4" t="s">
        <v>43</v>
      </c>
      <c r="E2132" s="6">
        <v>79385.0</v>
      </c>
      <c r="F2132" s="6">
        <v>249375.0</v>
      </c>
      <c r="G2132" s="6">
        <v>0.0</v>
      </c>
      <c r="H2132" s="6">
        <v>361636.0</v>
      </c>
    </row>
    <row r="2133" ht="15.75" customHeight="1">
      <c r="A2133" s="4">
        <v>2130.0</v>
      </c>
      <c r="B2133" s="4" t="s">
        <v>4280</v>
      </c>
      <c r="C2133" s="4" t="s">
        <v>4281</v>
      </c>
      <c r="D2133" s="4" t="s">
        <v>43</v>
      </c>
      <c r="E2133" s="6">
        <v>102480.0</v>
      </c>
      <c r="F2133" s="6">
        <v>375375.0</v>
      </c>
      <c r="G2133" s="6">
        <v>0.0</v>
      </c>
      <c r="H2133" s="6">
        <v>525640.0</v>
      </c>
    </row>
    <row r="2134" ht="15.75" customHeight="1">
      <c r="A2134" s="4">
        <v>2131.0</v>
      </c>
      <c r="B2134" s="4" t="s">
        <v>4282</v>
      </c>
      <c r="C2134" s="4" t="s">
        <v>4283</v>
      </c>
      <c r="D2134" s="4" t="s">
        <v>43</v>
      </c>
      <c r="E2134" s="6">
        <v>157625.0</v>
      </c>
      <c r="F2134" s="6">
        <v>519375.0</v>
      </c>
      <c r="G2134" s="6">
        <v>0.0</v>
      </c>
      <c r="H2134" s="6">
        <v>744700.0</v>
      </c>
    </row>
    <row r="2135" ht="15.75" customHeight="1">
      <c r="A2135" s="4">
        <v>2132.0</v>
      </c>
      <c r="B2135" s="4" t="s">
        <v>4284</v>
      </c>
      <c r="C2135" s="4" t="s">
        <v>4285</v>
      </c>
      <c r="D2135" s="4" t="s">
        <v>43</v>
      </c>
      <c r="E2135" s="6">
        <v>209955.0</v>
      </c>
      <c r="F2135" s="6">
        <v>634500.0</v>
      </c>
      <c r="G2135" s="6">
        <v>0.0</v>
      </c>
      <c r="H2135" s="6">
        <v>928900.0</v>
      </c>
    </row>
    <row r="2136" ht="15.75" customHeight="1">
      <c r="A2136" s="9">
        <v>2133.0</v>
      </c>
      <c r="B2136" s="9" t="s">
        <v>4286</v>
      </c>
      <c r="C2136" s="10" t="s">
        <v>4287</v>
      </c>
      <c r="D2136" s="9"/>
      <c r="E2136" s="11"/>
      <c r="F2136" s="11"/>
      <c r="G2136" s="11"/>
      <c r="H2136" s="11"/>
    </row>
    <row r="2137" ht="15.75" customHeight="1">
      <c r="A2137" s="4">
        <v>2134.0</v>
      </c>
      <c r="B2137" s="4" t="s">
        <v>4288</v>
      </c>
      <c r="C2137" s="4" t="s">
        <v>4289</v>
      </c>
      <c r="D2137" s="4" t="s">
        <v>43</v>
      </c>
      <c r="E2137" s="6">
        <v>35965.0</v>
      </c>
      <c r="F2137" s="6">
        <v>49500.00000000001</v>
      </c>
      <c r="G2137" s="6">
        <v>0.0</v>
      </c>
      <c r="H2137" s="6">
        <v>94011.0</v>
      </c>
    </row>
    <row r="2138" ht="15.75" customHeight="1">
      <c r="A2138" s="4">
        <v>2135.0</v>
      </c>
      <c r="B2138" s="4" t="s">
        <v>4290</v>
      </c>
      <c r="C2138" s="4" t="s">
        <v>4291</v>
      </c>
      <c r="D2138" s="4" t="s">
        <v>43</v>
      </c>
      <c r="E2138" s="6">
        <v>69895.0</v>
      </c>
      <c r="F2138" s="6">
        <v>71500.0</v>
      </c>
      <c r="G2138" s="6">
        <v>0.0</v>
      </c>
      <c r="H2138" s="6">
        <v>155534.0</v>
      </c>
    </row>
    <row r="2139" ht="15.75" customHeight="1">
      <c r="A2139" s="4">
        <v>2136.0</v>
      </c>
      <c r="B2139" s="4" t="s">
        <v>4292</v>
      </c>
      <c r="C2139" s="4" t="s">
        <v>4293</v>
      </c>
      <c r="D2139" s="4" t="s">
        <v>43</v>
      </c>
      <c r="E2139" s="6">
        <v>94935.0</v>
      </c>
      <c r="F2139" s="6">
        <v>88000.0</v>
      </c>
      <c r="G2139" s="6">
        <v>0.0</v>
      </c>
      <c r="H2139" s="6">
        <v>201228.0</v>
      </c>
    </row>
    <row r="2140" ht="15.75" customHeight="1">
      <c r="A2140" s="9">
        <v>2137.0</v>
      </c>
      <c r="B2140" s="9" t="s">
        <v>4294</v>
      </c>
      <c r="C2140" s="10" t="s">
        <v>4295</v>
      </c>
      <c r="D2140" s="9"/>
      <c r="E2140" s="11"/>
      <c r="F2140" s="11"/>
      <c r="G2140" s="11"/>
      <c r="H2140" s="11"/>
    </row>
    <row r="2141" ht="15.75" customHeight="1">
      <c r="A2141" s="4">
        <v>2138.0</v>
      </c>
      <c r="B2141" s="4" t="s">
        <v>4296</v>
      </c>
      <c r="C2141" s="4" t="s">
        <v>4297</v>
      </c>
      <c r="D2141" s="4" t="s">
        <v>43</v>
      </c>
      <c r="E2141" s="6">
        <v>198820.0</v>
      </c>
      <c r="F2141" s="6">
        <v>5635000.0</v>
      </c>
      <c r="G2141" s="6">
        <v>0.0</v>
      </c>
      <c r="H2141" s="6">
        <v>6417202.0</v>
      </c>
    </row>
    <row r="2142" ht="15.75" customHeight="1">
      <c r="A2142" s="4">
        <v>2139.0</v>
      </c>
      <c r="B2142" s="4" t="s">
        <v>4298</v>
      </c>
      <c r="C2142" s="4" t="s">
        <v>4299</v>
      </c>
      <c r="D2142" s="4" t="s">
        <v>43</v>
      </c>
      <c r="E2142" s="6">
        <v>242540.0</v>
      </c>
      <c r="F2142" s="6">
        <v>6152499.999999999</v>
      </c>
      <c r="G2142" s="6">
        <v>0.0</v>
      </c>
      <c r="H2142" s="6">
        <v>7034544.0</v>
      </c>
    </row>
    <row r="2143" ht="15.75" customHeight="1">
      <c r="A2143" s="4">
        <v>2140.0</v>
      </c>
      <c r="B2143" s="4" t="s">
        <v>4300</v>
      </c>
      <c r="C2143" s="4" t="s">
        <v>4301</v>
      </c>
      <c r="D2143" s="4" t="s">
        <v>43</v>
      </c>
      <c r="E2143" s="6">
        <v>291420.0</v>
      </c>
      <c r="F2143" s="6">
        <v>9750000.0</v>
      </c>
      <c r="G2143" s="6">
        <v>0.0</v>
      </c>
      <c r="H2143" s="6">
        <v>1.1045562E7</v>
      </c>
    </row>
    <row r="2144" ht="15.75" customHeight="1">
      <c r="A2144" s="4">
        <v>2141.0</v>
      </c>
      <c r="B2144" s="4" t="s">
        <v>4302</v>
      </c>
      <c r="C2144" s="4" t="s">
        <v>4303</v>
      </c>
      <c r="D2144" s="4" t="s">
        <v>43</v>
      </c>
      <c r="E2144" s="6">
        <v>389595.0</v>
      </c>
      <c r="F2144" s="6">
        <v>1.0985E7</v>
      </c>
      <c r="G2144" s="6">
        <v>0.0</v>
      </c>
      <c r="H2144" s="6">
        <v>1.2512054E7</v>
      </c>
    </row>
    <row r="2145" ht="15.75" customHeight="1">
      <c r="A2145" s="4">
        <v>2142.0</v>
      </c>
      <c r="B2145" s="4" t="s">
        <v>4304</v>
      </c>
      <c r="C2145" s="4" t="s">
        <v>4305</v>
      </c>
      <c r="D2145" s="4" t="s">
        <v>43</v>
      </c>
      <c r="E2145" s="6">
        <v>587950.0</v>
      </c>
      <c r="F2145" s="6">
        <v>1.1609E7</v>
      </c>
      <c r="G2145" s="6">
        <v>0.0</v>
      </c>
      <c r="H2145" s="6">
        <v>1.3416645E7</v>
      </c>
    </row>
    <row r="2146" ht="15.75" customHeight="1">
      <c r="A2146" s="4">
        <v>2143.0</v>
      </c>
      <c r="B2146" s="4" t="s">
        <v>4306</v>
      </c>
      <c r="C2146" s="4" t="s">
        <v>4307</v>
      </c>
      <c r="D2146" s="4" t="s">
        <v>43</v>
      </c>
      <c r="E2146" s="6">
        <v>774665.0</v>
      </c>
      <c r="F2146" s="6">
        <v>1.2259E7</v>
      </c>
      <c r="G2146" s="6">
        <v>0.0</v>
      </c>
      <c r="H2146" s="6">
        <v>1.4337031E7</v>
      </c>
    </row>
    <row r="2147" ht="15.75" customHeight="1">
      <c r="A2147" s="9">
        <v>2144.0</v>
      </c>
      <c r="B2147" s="9" t="s">
        <v>4308</v>
      </c>
      <c r="C2147" s="10" t="s">
        <v>4309</v>
      </c>
      <c r="D2147" s="9"/>
      <c r="E2147" s="11"/>
      <c r="F2147" s="11"/>
      <c r="G2147" s="11"/>
      <c r="H2147" s="11"/>
    </row>
    <row r="2148" ht="15.75" customHeight="1">
      <c r="A2148" s="4">
        <v>2145.0</v>
      </c>
      <c r="B2148" s="4" t="s">
        <v>4310</v>
      </c>
      <c r="C2148" s="4" t="s">
        <v>4311</v>
      </c>
      <c r="D2148" s="4" t="s">
        <v>43</v>
      </c>
      <c r="E2148" s="6">
        <v>9100.0</v>
      </c>
      <c r="F2148" s="6">
        <v>287500.0</v>
      </c>
      <c r="G2148" s="6">
        <v>0.0</v>
      </c>
      <c r="H2148" s="6">
        <v>326260.0</v>
      </c>
    </row>
    <row r="2149" ht="15.75" customHeight="1">
      <c r="A2149" s="4">
        <v>2146.0</v>
      </c>
      <c r="B2149" s="4" t="s">
        <v>4312</v>
      </c>
      <c r="C2149" s="4" t="s">
        <v>4313</v>
      </c>
      <c r="D2149" s="4" t="s">
        <v>43</v>
      </c>
      <c r="E2149" s="6">
        <v>18200.0</v>
      </c>
      <c r="F2149" s="6">
        <v>977499.9999999999</v>
      </c>
      <c r="G2149" s="6">
        <v>0.0</v>
      </c>
      <c r="H2149" s="6">
        <v>1095270.0</v>
      </c>
    </row>
    <row r="2150" ht="15.75" customHeight="1">
      <c r="A2150" s="4">
        <v>2147.0</v>
      </c>
      <c r="B2150" s="4" t="s">
        <v>4314</v>
      </c>
      <c r="C2150" s="4" t="s">
        <v>4315</v>
      </c>
      <c r="D2150" s="4" t="s">
        <v>43</v>
      </c>
      <c r="E2150" s="6">
        <v>35965.0</v>
      </c>
      <c r="F2150" s="6">
        <v>1207500.0</v>
      </c>
      <c r="G2150" s="6">
        <v>0.0</v>
      </c>
      <c r="H2150" s="6">
        <v>1367811.0</v>
      </c>
    </row>
    <row r="2151" ht="15.75" customHeight="1">
      <c r="A2151" s="4">
        <v>2148.0</v>
      </c>
      <c r="B2151" s="4" t="s">
        <v>4316</v>
      </c>
      <c r="C2151" s="4" t="s">
        <v>4317</v>
      </c>
      <c r="D2151" s="4" t="s">
        <v>43</v>
      </c>
      <c r="E2151" s="6">
        <v>69895.0</v>
      </c>
      <c r="F2151" s="6">
        <v>1415420.0</v>
      </c>
      <c r="G2151" s="6">
        <v>0.0</v>
      </c>
      <c r="H2151" s="6">
        <v>1633846.0</v>
      </c>
    </row>
    <row r="2152" ht="15.75" customHeight="1">
      <c r="A2152" s="4">
        <v>2149.0</v>
      </c>
      <c r="B2152" s="4" t="s">
        <v>4318</v>
      </c>
      <c r="C2152" s="4" t="s">
        <v>4319</v>
      </c>
      <c r="D2152" s="4" t="s">
        <v>43</v>
      </c>
      <c r="E2152" s="6">
        <v>93135.0</v>
      </c>
      <c r="F2152" s="6">
        <v>1646800.0</v>
      </c>
      <c r="G2152" s="6">
        <v>0.0</v>
      </c>
      <c r="H2152" s="6">
        <v>1913928.0</v>
      </c>
    </row>
    <row r="2153" ht="15.75" customHeight="1">
      <c r="A2153" s="4">
        <v>2150.0</v>
      </c>
      <c r="B2153" s="4" t="s">
        <v>4320</v>
      </c>
      <c r="C2153" s="4" t="s">
        <v>4321</v>
      </c>
      <c r="D2153" s="4" t="s">
        <v>43</v>
      </c>
      <c r="E2153" s="6">
        <v>139225.0</v>
      </c>
      <c r="F2153" s="6">
        <v>1900950.0</v>
      </c>
      <c r="G2153" s="6">
        <v>0.0</v>
      </c>
      <c r="H2153" s="6">
        <v>2244192.0</v>
      </c>
    </row>
    <row r="2154" ht="15.75" customHeight="1">
      <c r="A2154" s="9">
        <v>2151.0</v>
      </c>
      <c r="B2154" s="9" t="s">
        <v>4322</v>
      </c>
      <c r="C2154" s="10" t="s">
        <v>4323</v>
      </c>
      <c r="D2154" s="9"/>
      <c r="E2154" s="11"/>
      <c r="F2154" s="11"/>
      <c r="G2154" s="11"/>
      <c r="H2154" s="11"/>
    </row>
    <row r="2155" ht="15.75" customHeight="1">
      <c r="A2155" s="4">
        <v>2152.0</v>
      </c>
      <c r="B2155" s="4" t="s">
        <v>4324</v>
      </c>
      <c r="C2155" s="4" t="s">
        <v>4325</v>
      </c>
      <c r="D2155" s="4" t="s">
        <v>43</v>
      </c>
      <c r="E2155" s="6">
        <v>44965.0</v>
      </c>
      <c r="F2155" s="6">
        <v>258500.0</v>
      </c>
      <c r="G2155" s="6">
        <v>0.0</v>
      </c>
      <c r="H2155" s="6">
        <v>333811.0</v>
      </c>
    </row>
    <row r="2156" ht="15.75" customHeight="1">
      <c r="A2156" s="9">
        <v>2153.0</v>
      </c>
      <c r="B2156" s="9" t="s">
        <v>4326</v>
      </c>
      <c r="C2156" s="10" t="s">
        <v>4327</v>
      </c>
      <c r="D2156" s="9"/>
      <c r="E2156" s="11"/>
      <c r="F2156" s="11"/>
      <c r="G2156" s="11"/>
      <c r="H2156" s="11"/>
    </row>
    <row r="2157" ht="15.75" customHeight="1">
      <c r="A2157" s="4">
        <v>2154.0</v>
      </c>
      <c r="B2157" s="4" t="s">
        <v>4328</v>
      </c>
      <c r="C2157" s="4" t="s">
        <v>4329</v>
      </c>
      <c r="D2157" s="4" t="s">
        <v>4330</v>
      </c>
      <c r="E2157" s="6">
        <v>73200.0</v>
      </c>
      <c r="F2157" s="6">
        <v>85155.0</v>
      </c>
      <c r="G2157" s="6">
        <v>0.0</v>
      </c>
      <c r="H2157" s="6">
        <v>174190.0</v>
      </c>
    </row>
    <row r="2158" ht="15.75" customHeight="1">
      <c r="A2158" s="9">
        <v>2155.0</v>
      </c>
      <c r="B2158" s="9" t="s">
        <v>4331</v>
      </c>
      <c r="C2158" s="10" t="s">
        <v>4332</v>
      </c>
      <c r="D2158" s="9"/>
      <c r="E2158" s="11"/>
      <c r="F2158" s="11"/>
      <c r="G2158" s="11"/>
      <c r="H2158" s="11"/>
    </row>
    <row r="2159" ht="15.75" customHeight="1">
      <c r="A2159" s="4">
        <v>2156.0</v>
      </c>
      <c r="B2159" s="4" t="s">
        <v>4333</v>
      </c>
      <c r="C2159" s="4" t="s">
        <v>4334</v>
      </c>
      <c r="D2159" s="4" t="s">
        <v>43</v>
      </c>
      <c r="E2159" s="6">
        <v>48950.0</v>
      </c>
      <c r="F2159" s="6">
        <v>231840.0</v>
      </c>
      <c r="G2159" s="6">
        <v>0.0</v>
      </c>
      <c r="H2159" s="6">
        <v>308869.0</v>
      </c>
    </row>
    <row r="2160" ht="15.75" customHeight="1">
      <c r="A2160" s="9">
        <v>2157.0</v>
      </c>
      <c r="B2160" s="9" t="s">
        <v>4335</v>
      </c>
      <c r="C2160" s="10" t="s">
        <v>4336</v>
      </c>
      <c r="D2160" s="9"/>
      <c r="E2160" s="11"/>
      <c r="F2160" s="11"/>
      <c r="G2160" s="11"/>
      <c r="H2160" s="11"/>
    </row>
    <row r="2161" ht="15.75" customHeight="1">
      <c r="A2161" s="4">
        <v>2158.0</v>
      </c>
      <c r="B2161" s="4" t="s">
        <v>4337</v>
      </c>
      <c r="C2161" s="4" t="s">
        <v>4338</v>
      </c>
      <c r="D2161" s="4" t="s">
        <v>27</v>
      </c>
      <c r="E2161" s="6">
        <v>93135.0</v>
      </c>
      <c r="F2161" s="6">
        <v>1722500.0</v>
      </c>
      <c r="G2161" s="6">
        <v>0.0</v>
      </c>
      <c r="H2161" s="6">
        <v>1997198.0</v>
      </c>
    </row>
    <row r="2162" ht="15.75" customHeight="1">
      <c r="A2162" s="9">
        <v>2159.0</v>
      </c>
      <c r="B2162" s="9" t="s">
        <v>4339</v>
      </c>
      <c r="C2162" s="10" t="s">
        <v>4340</v>
      </c>
      <c r="D2162" s="9"/>
      <c r="E2162" s="11"/>
      <c r="F2162" s="11"/>
      <c r="G2162" s="11"/>
      <c r="H2162" s="11"/>
    </row>
    <row r="2163" ht="15.75" customHeight="1">
      <c r="A2163" s="4">
        <v>2160.0</v>
      </c>
      <c r="B2163" s="4" t="s">
        <v>4341</v>
      </c>
      <c r="C2163" s="4" t="s">
        <v>4342</v>
      </c>
      <c r="D2163" s="4" t="s">
        <v>27</v>
      </c>
      <c r="E2163" s="6">
        <v>239425.0</v>
      </c>
      <c r="F2163" s="6">
        <v>7839999.999999999</v>
      </c>
      <c r="G2163" s="6">
        <v>0.0</v>
      </c>
      <c r="H2163" s="6">
        <v>8887367.0</v>
      </c>
    </row>
    <row r="2164" ht="15.75" customHeight="1">
      <c r="A2164" s="9">
        <v>2161.0</v>
      </c>
      <c r="B2164" s="9" t="s">
        <v>4343</v>
      </c>
      <c r="C2164" s="10" t="s">
        <v>4344</v>
      </c>
      <c r="D2164" s="9"/>
      <c r="E2164" s="11"/>
      <c r="F2164" s="11"/>
      <c r="G2164" s="11"/>
      <c r="H2164" s="11"/>
    </row>
    <row r="2165" ht="15.75" customHeight="1">
      <c r="A2165" s="4">
        <v>2162.0</v>
      </c>
      <c r="B2165" s="4" t="s">
        <v>4345</v>
      </c>
      <c r="C2165" s="4" t="s">
        <v>4346</v>
      </c>
      <c r="D2165" s="4" t="s">
        <v>27</v>
      </c>
      <c r="E2165" s="6">
        <v>479110.0</v>
      </c>
      <c r="F2165" s="6">
        <v>4900000.0</v>
      </c>
      <c r="G2165" s="6">
        <v>0.0</v>
      </c>
      <c r="H2165" s="6">
        <v>5917021.0</v>
      </c>
    </row>
    <row r="2166" ht="15.75" customHeight="1">
      <c r="A2166" s="4">
        <v>2163.0</v>
      </c>
      <c r="B2166" s="4" t="s">
        <v>4347</v>
      </c>
      <c r="C2166" s="4" t="s">
        <v>4348</v>
      </c>
      <c r="D2166" s="4" t="s">
        <v>27</v>
      </c>
      <c r="E2166" s="6">
        <v>600975.0</v>
      </c>
      <c r="F2166" s="6">
        <v>6440000.0</v>
      </c>
      <c r="G2166" s="6">
        <v>0.0</v>
      </c>
      <c r="H2166" s="6">
        <v>7745072.0</v>
      </c>
    </row>
    <row r="2167" ht="15.75" customHeight="1">
      <c r="A2167" s="9">
        <v>2164.0</v>
      </c>
      <c r="B2167" s="9" t="s">
        <v>4349</v>
      </c>
      <c r="C2167" s="10" t="s">
        <v>4350</v>
      </c>
      <c r="D2167" s="9"/>
      <c r="E2167" s="11"/>
      <c r="F2167" s="11"/>
      <c r="G2167" s="11"/>
      <c r="H2167" s="11"/>
    </row>
    <row r="2168" ht="15.75" customHeight="1">
      <c r="A2168" s="4">
        <v>2165.0</v>
      </c>
      <c r="B2168" s="4" t="s">
        <v>4351</v>
      </c>
      <c r="C2168" s="4" t="s">
        <v>4352</v>
      </c>
      <c r="D2168" s="4" t="s">
        <v>43</v>
      </c>
      <c r="E2168" s="6">
        <v>18200.0</v>
      </c>
      <c r="F2168" s="6">
        <v>10945.0</v>
      </c>
      <c r="G2168" s="6">
        <v>0.0</v>
      </c>
      <c r="H2168" s="6">
        <v>32059.0</v>
      </c>
    </row>
    <row r="2169" ht="15.75" customHeight="1">
      <c r="A2169" s="4">
        <v>2166.0</v>
      </c>
      <c r="B2169" s="4" t="s">
        <v>4353</v>
      </c>
      <c r="C2169" s="4" t="s">
        <v>4354</v>
      </c>
      <c r="D2169" s="4" t="s">
        <v>43</v>
      </c>
      <c r="E2169" s="6">
        <v>23485.0</v>
      </c>
      <c r="F2169" s="6">
        <v>21450.0</v>
      </c>
      <c r="G2169" s="6">
        <v>0.0</v>
      </c>
      <c r="H2169" s="6">
        <v>49428.0</v>
      </c>
    </row>
    <row r="2170" ht="15.75" customHeight="1">
      <c r="A2170" s="4">
        <v>2167.0</v>
      </c>
      <c r="B2170" s="4" t="s">
        <v>4355</v>
      </c>
      <c r="C2170" s="4" t="s">
        <v>4356</v>
      </c>
      <c r="D2170" s="4" t="s">
        <v>43</v>
      </c>
      <c r="E2170" s="6">
        <v>36355.0</v>
      </c>
      <c r="F2170" s="6">
        <v>30800.0</v>
      </c>
      <c r="G2170" s="6">
        <v>0.0</v>
      </c>
      <c r="H2170" s="6">
        <v>73870.0</v>
      </c>
    </row>
    <row r="2171" ht="15.75" customHeight="1">
      <c r="A2171" s="9">
        <v>2168.0</v>
      </c>
      <c r="B2171" s="9" t="s">
        <v>4357</v>
      </c>
      <c r="C2171" s="10" t="s">
        <v>4358</v>
      </c>
      <c r="D2171" s="9"/>
      <c r="E2171" s="11"/>
      <c r="F2171" s="11"/>
      <c r="G2171" s="11"/>
      <c r="H2171" s="11"/>
    </row>
    <row r="2172" ht="15.75" customHeight="1">
      <c r="A2172" s="9">
        <v>2169.0</v>
      </c>
      <c r="B2172" s="9" t="s">
        <v>4359</v>
      </c>
      <c r="C2172" s="10" t="s">
        <v>3683</v>
      </c>
      <c r="D2172" s="9"/>
      <c r="E2172" s="11"/>
      <c r="F2172" s="11"/>
      <c r="G2172" s="11"/>
      <c r="H2172" s="11"/>
    </row>
    <row r="2173" ht="15.75" customHeight="1">
      <c r="A2173" s="4">
        <v>2170.0</v>
      </c>
      <c r="B2173" s="4" t="s">
        <v>4360</v>
      </c>
      <c r="C2173" s="4" t="s">
        <v>4361</v>
      </c>
      <c r="D2173" s="4" t="s">
        <v>43</v>
      </c>
      <c r="E2173" s="6">
        <v>32585.0</v>
      </c>
      <c r="F2173" s="6">
        <v>426977.7</v>
      </c>
      <c r="G2173" s="6">
        <v>0.0</v>
      </c>
      <c r="H2173" s="6">
        <v>505518.0</v>
      </c>
    </row>
    <row r="2174" ht="15.75" customHeight="1">
      <c r="A2174" s="9">
        <v>2171.0</v>
      </c>
      <c r="B2174" s="9" t="s">
        <v>4362</v>
      </c>
      <c r="C2174" s="10" t="s">
        <v>4363</v>
      </c>
      <c r="D2174" s="9"/>
      <c r="E2174" s="11"/>
      <c r="F2174" s="11"/>
      <c r="G2174" s="11"/>
      <c r="H2174" s="11"/>
    </row>
    <row r="2175" ht="15.75" customHeight="1">
      <c r="A2175" s="9">
        <v>2172.0</v>
      </c>
      <c r="B2175" s="9" t="s">
        <v>4364</v>
      </c>
      <c r="C2175" s="10" t="s">
        <v>4365</v>
      </c>
      <c r="D2175" s="9"/>
      <c r="E2175" s="11"/>
      <c r="F2175" s="11"/>
      <c r="G2175" s="11"/>
      <c r="H2175" s="11"/>
    </row>
    <row r="2176" ht="15.75" customHeight="1">
      <c r="A2176" s="9">
        <v>2173.0</v>
      </c>
      <c r="B2176" s="9" t="s">
        <v>4366</v>
      </c>
      <c r="C2176" s="10" t="s">
        <v>4367</v>
      </c>
      <c r="D2176" s="9"/>
      <c r="E2176" s="11"/>
      <c r="F2176" s="11"/>
      <c r="G2176" s="11"/>
      <c r="H2176" s="11"/>
    </row>
    <row r="2177" ht="15.75" customHeight="1">
      <c r="A2177" s="4">
        <v>2174.0</v>
      </c>
      <c r="B2177" s="4" t="s">
        <v>4368</v>
      </c>
      <c r="C2177" s="4" t="s">
        <v>4369</v>
      </c>
      <c r="D2177" s="4" t="s">
        <v>36</v>
      </c>
      <c r="E2177" s="6">
        <v>36850.0</v>
      </c>
      <c r="F2177" s="6">
        <v>96612.0</v>
      </c>
      <c r="G2177" s="6">
        <v>0.0</v>
      </c>
      <c r="H2177" s="6">
        <v>146808.0</v>
      </c>
    </row>
    <row r="2178" ht="15.75" customHeight="1">
      <c r="A2178" s="4">
        <v>2175.0</v>
      </c>
      <c r="B2178" s="4" t="s">
        <v>4370</v>
      </c>
      <c r="C2178" s="4" t="s">
        <v>4371</v>
      </c>
      <c r="D2178" s="4" t="s">
        <v>36</v>
      </c>
      <c r="E2178" s="6">
        <v>36850.0</v>
      </c>
      <c r="F2178" s="6">
        <v>109212.0</v>
      </c>
      <c r="G2178" s="6">
        <v>0.0</v>
      </c>
      <c r="H2178" s="6">
        <v>160668.0</v>
      </c>
    </row>
    <row r="2179" ht="15.75" customHeight="1">
      <c r="A2179" s="4">
        <v>2176.0</v>
      </c>
      <c r="B2179" s="4" t="s">
        <v>4372</v>
      </c>
      <c r="C2179" s="4" t="s">
        <v>4373</v>
      </c>
      <c r="D2179" s="4" t="s">
        <v>36</v>
      </c>
      <c r="E2179" s="6">
        <v>18525.0</v>
      </c>
      <c r="F2179" s="6">
        <v>96612.0</v>
      </c>
      <c r="G2179" s="6">
        <v>4112.5</v>
      </c>
      <c r="H2179" s="6">
        <v>131174.0</v>
      </c>
    </row>
    <row r="2180" ht="15.75" customHeight="1">
      <c r="A2180" s="4">
        <v>2177.0</v>
      </c>
      <c r="B2180" s="4" t="s">
        <v>4374</v>
      </c>
      <c r="C2180" s="4" t="s">
        <v>4375</v>
      </c>
      <c r="D2180" s="4" t="s">
        <v>36</v>
      </c>
      <c r="E2180" s="6">
        <v>18525.0</v>
      </c>
      <c r="F2180" s="6">
        <v>109212.0</v>
      </c>
      <c r="G2180" s="6">
        <v>4112.5</v>
      </c>
      <c r="H2180" s="6">
        <v>145034.0</v>
      </c>
    </row>
    <row r="2181" ht="15.75" customHeight="1">
      <c r="A2181" s="4">
        <v>2178.0</v>
      </c>
      <c r="B2181" s="4" t="s">
        <v>4376</v>
      </c>
      <c r="C2181" s="4" t="s">
        <v>4377</v>
      </c>
      <c r="D2181" s="4" t="s">
        <v>36</v>
      </c>
      <c r="E2181" s="6">
        <v>36850.0</v>
      </c>
      <c r="F2181" s="6">
        <v>125989.2</v>
      </c>
      <c r="G2181" s="6">
        <v>0.0</v>
      </c>
      <c r="H2181" s="6">
        <v>179123.0</v>
      </c>
    </row>
    <row r="2182" ht="15.75" customHeight="1">
      <c r="A2182" s="4">
        <v>2179.0</v>
      </c>
      <c r="B2182" s="4" t="s">
        <v>4378</v>
      </c>
      <c r="C2182" s="4" t="s">
        <v>4379</v>
      </c>
      <c r="D2182" s="4" t="s">
        <v>36</v>
      </c>
      <c r="E2182" s="6">
        <v>36850.0</v>
      </c>
      <c r="F2182" s="6">
        <v>138589.2</v>
      </c>
      <c r="G2182" s="6">
        <v>0.0</v>
      </c>
      <c r="H2182" s="6">
        <v>192983.0</v>
      </c>
    </row>
    <row r="2183" ht="15.75" customHeight="1">
      <c r="A2183" s="4">
        <v>2180.0</v>
      </c>
      <c r="B2183" s="4" t="s">
        <v>4380</v>
      </c>
      <c r="C2183" s="4" t="s">
        <v>4381</v>
      </c>
      <c r="D2183" s="4" t="s">
        <v>36</v>
      </c>
      <c r="E2183" s="6">
        <v>18525.0</v>
      </c>
      <c r="F2183" s="6">
        <v>136789.2</v>
      </c>
      <c r="G2183" s="6">
        <v>4501.0</v>
      </c>
      <c r="H2183" s="6">
        <v>175796.0</v>
      </c>
    </row>
    <row r="2184" ht="15.75" customHeight="1">
      <c r="A2184" s="4">
        <v>2181.0</v>
      </c>
      <c r="B2184" s="4" t="s">
        <v>4382</v>
      </c>
      <c r="C2184" s="4" t="s">
        <v>4383</v>
      </c>
      <c r="D2184" s="4" t="s">
        <v>36</v>
      </c>
      <c r="E2184" s="6">
        <v>18525.0</v>
      </c>
      <c r="F2184" s="6">
        <v>138589.2</v>
      </c>
      <c r="G2184" s="6">
        <v>4501.0</v>
      </c>
      <c r="H2184" s="6">
        <v>177776.0</v>
      </c>
    </row>
    <row r="2185" ht="15.75" customHeight="1">
      <c r="A2185" s="9">
        <v>2182.0</v>
      </c>
      <c r="B2185" s="9" t="s">
        <v>4384</v>
      </c>
      <c r="C2185" s="10" t="s">
        <v>4385</v>
      </c>
      <c r="D2185" s="9"/>
      <c r="E2185" s="11"/>
      <c r="F2185" s="11"/>
      <c r="G2185" s="11"/>
      <c r="H2185" s="11"/>
    </row>
    <row r="2186" ht="15.75" customHeight="1">
      <c r="A2186" s="4">
        <v>2183.0</v>
      </c>
      <c r="B2186" s="4" t="s">
        <v>4386</v>
      </c>
      <c r="C2186" s="4" t="s">
        <v>4387</v>
      </c>
      <c r="D2186" s="4" t="s">
        <v>27</v>
      </c>
      <c r="E2186" s="6">
        <v>6091.5</v>
      </c>
      <c r="F2186" s="6">
        <v>72295.84000000001</v>
      </c>
      <c r="G2186" s="6">
        <v>0.0</v>
      </c>
      <c r="H2186" s="6">
        <v>86226.0</v>
      </c>
    </row>
    <row r="2187" ht="15.75" customHeight="1">
      <c r="A2187" s="4">
        <v>2184.0</v>
      </c>
      <c r="B2187" s="4" t="s">
        <v>4388</v>
      </c>
      <c r="C2187" s="4" t="s">
        <v>4389</v>
      </c>
      <c r="D2187" s="4" t="s">
        <v>27</v>
      </c>
      <c r="E2187" s="6">
        <v>6091.5</v>
      </c>
      <c r="F2187" s="6">
        <v>160760.74</v>
      </c>
      <c r="G2187" s="6">
        <v>0.0</v>
      </c>
      <c r="H2187" s="6">
        <v>183537.0</v>
      </c>
    </row>
    <row r="2188" ht="15.75" customHeight="1">
      <c r="A2188" s="4">
        <v>2185.0</v>
      </c>
      <c r="B2188" s="4" t="s">
        <v>4390</v>
      </c>
      <c r="C2188" s="4" t="s">
        <v>4391</v>
      </c>
      <c r="D2188" s="4" t="s">
        <v>27</v>
      </c>
      <c r="E2188" s="6">
        <v>6091.5</v>
      </c>
      <c r="F2188" s="6">
        <v>70581.13</v>
      </c>
      <c r="G2188" s="6">
        <v>0.0</v>
      </c>
      <c r="H2188" s="6">
        <v>84339.0</v>
      </c>
    </row>
    <row r="2189" ht="15.75" customHeight="1">
      <c r="A2189" s="4">
        <v>2186.0</v>
      </c>
      <c r="B2189" s="4" t="s">
        <v>4392</v>
      </c>
      <c r="C2189" s="4" t="s">
        <v>4393</v>
      </c>
      <c r="D2189" s="4" t="s">
        <v>27</v>
      </c>
      <c r="E2189" s="6">
        <v>6091.5</v>
      </c>
      <c r="F2189" s="6">
        <v>159189.81</v>
      </c>
      <c r="G2189" s="6">
        <v>0.0</v>
      </c>
      <c r="H2189" s="6">
        <v>181809.0</v>
      </c>
    </row>
    <row r="2190" ht="15.75" customHeight="1">
      <c r="A2190" s="9">
        <v>2187.0</v>
      </c>
      <c r="B2190" s="9" t="s">
        <v>4394</v>
      </c>
      <c r="C2190" s="10" t="s">
        <v>4395</v>
      </c>
      <c r="D2190" s="9"/>
      <c r="E2190" s="11"/>
      <c r="F2190" s="11"/>
      <c r="G2190" s="11"/>
      <c r="H2190" s="11"/>
    </row>
    <row r="2191" ht="15.75" customHeight="1">
      <c r="A2191" s="9">
        <v>2188.0</v>
      </c>
      <c r="B2191" s="9" t="s">
        <v>4396</v>
      </c>
      <c r="C2191" s="10" t="s">
        <v>4397</v>
      </c>
      <c r="D2191" s="9"/>
      <c r="E2191" s="11"/>
      <c r="F2191" s="11"/>
      <c r="G2191" s="11"/>
      <c r="H2191" s="11"/>
    </row>
    <row r="2192" ht="15.75" customHeight="1">
      <c r="A2192" s="4">
        <v>2189.0</v>
      </c>
      <c r="B2192" s="4" t="s">
        <v>4398</v>
      </c>
      <c r="C2192" s="4" t="s">
        <v>4399</v>
      </c>
      <c r="D2192" s="4" t="s">
        <v>116</v>
      </c>
      <c r="E2192" s="6">
        <v>168665.0</v>
      </c>
      <c r="F2192" s="6">
        <v>1395676.824705882</v>
      </c>
      <c r="G2192" s="6">
        <v>63135.0</v>
      </c>
      <c r="H2192" s="6">
        <v>1790224.0</v>
      </c>
    </row>
    <row r="2193" ht="15.75" customHeight="1">
      <c r="A2193" s="4">
        <v>2190.0</v>
      </c>
      <c r="B2193" s="4" t="s">
        <v>4400</v>
      </c>
      <c r="C2193" s="4" t="s">
        <v>4401</v>
      </c>
      <c r="D2193" s="4" t="s">
        <v>116</v>
      </c>
      <c r="E2193" s="6">
        <v>176687.5</v>
      </c>
      <c r="F2193" s="6">
        <v>1091544.064705882</v>
      </c>
      <c r="G2193" s="6">
        <v>132015.0</v>
      </c>
      <c r="H2193" s="6">
        <v>1540271.0</v>
      </c>
    </row>
    <row r="2194" ht="15.75" customHeight="1">
      <c r="A2194" s="4">
        <v>2191.0</v>
      </c>
      <c r="B2194" s="4" t="s">
        <v>4402</v>
      </c>
      <c r="C2194" s="4" t="s">
        <v>4403</v>
      </c>
      <c r="D2194" s="4" t="s">
        <v>116</v>
      </c>
      <c r="E2194" s="6">
        <v>67462.5</v>
      </c>
      <c r="F2194" s="6">
        <v>1330077.06</v>
      </c>
      <c r="G2194" s="6">
        <v>0.0</v>
      </c>
      <c r="H2194" s="6">
        <v>1537293.0</v>
      </c>
    </row>
    <row r="2195" ht="15.75" customHeight="1">
      <c r="A2195" s="4">
        <v>2192.0</v>
      </c>
      <c r="B2195" s="4" t="s">
        <v>4404</v>
      </c>
      <c r="C2195" s="4" t="s">
        <v>4405</v>
      </c>
      <c r="D2195" s="4" t="s">
        <v>116</v>
      </c>
      <c r="E2195" s="6">
        <v>70675.0</v>
      </c>
      <c r="F2195" s="6">
        <v>1368929.02</v>
      </c>
      <c r="G2195" s="6">
        <v>68880.0</v>
      </c>
      <c r="H2195" s="6">
        <v>1659332.0</v>
      </c>
    </row>
    <row r="2196" ht="15.75" customHeight="1">
      <c r="A2196" s="9">
        <v>2193.0</v>
      </c>
      <c r="B2196" s="9" t="s">
        <v>4406</v>
      </c>
      <c r="C2196" s="10" t="s">
        <v>4407</v>
      </c>
      <c r="D2196" s="9"/>
      <c r="E2196" s="11"/>
      <c r="F2196" s="11"/>
      <c r="G2196" s="11"/>
      <c r="H2196" s="11"/>
    </row>
    <row r="2197" ht="15.75" customHeight="1">
      <c r="A2197" s="4">
        <v>2194.0</v>
      </c>
      <c r="B2197" s="4" t="s">
        <v>4408</v>
      </c>
      <c r="C2197" s="4" t="s">
        <v>4409</v>
      </c>
      <c r="D2197" s="4" t="s">
        <v>116</v>
      </c>
      <c r="E2197" s="6">
        <v>194327.5</v>
      </c>
      <c r="F2197" s="6">
        <v>1478196.499411765</v>
      </c>
      <c r="G2197" s="6">
        <v>137490.0</v>
      </c>
      <c r="H2197" s="6">
        <v>1991015.0</v>
      </c>
    </row>
    <row r="2198" ht="15.75" customHeight="1">
      <c r="A2198" s="4">
        <v>2195.0</v>
      </c>
      <c r="B2198" s="4" t="s">
        <v>4410</v>
      </c>
      <c r="C2198" s="4" t="s">
        <v>4411</v>
      </c>
      <c r="D2198" s="4" t="s">
        <v>116</v>
      </c>
      <c r="E2198" s="6">
        <v>202350.0</v>
      </c>
      <c r="F2198" s="6">
        <v>2144172.818070934</v>
      </c>
      <c r="G2198" s="6">
        <v>142510.0</v>
      </c>
      <c r="H2198" s="6">
        <v>2737936.0</v>
      </c>
    </row>
    <row r="2199" ht="15.75" customHeight="1">
      <c r="A2199" s="4">
        <v>2196.0</v>
      </c>
      <c r="B2199" s="4" t="s">
        <v>4412</v>
      </c>
      <c r="C2199" s="4" t="s">
        <v>4413</v>
      </c>
      <c r="D2199" s="4" t="s">
        <v>116</v>
      </c>
      <c r="E2199" s="6">
        <v>73887.5</v>
      </c>
      <c r="F2199" s="6">
        <v>1450996.97</v>
      </c>
      <c r="G2199" s="6">
        <v>74320.0</v>
      </c>
      <c r="H2199" s="6">
        <v>1759124.0</v>
      </c>
    </row>
    <row r="2200" ht="15.75" customHeight="1">
      <c r="A2200" s="4">
        <v>2197.0</v>
      </c>
      <c r="B2200" s="4" t="s">
        <v>4414</v>
      </c>
      <c r="C2200" s="4" t="s">
        <v>4415</v>
      </c>
      <c r="D2200" s="4" t="s">
        <v>116</v>
      </c>
      <c r="E2200" s="6">
        <v>77100.0</v>
      </c>
      <c r="F2200" s="6">
        <v>2110793.17101211</v>
      </c>
      <c r="G2200" s="6">
        <v>74640.0</v>
      </c>
      <c r="H2200" s="6">
        <v>2488786.0</v>
      </c>
    </row>
    <row r="2201" ht="15.75" customHeight="1">
      <c r="A2201" s="9">
        <v>2198.0</v>
      </c>
      <c r="B2201" s="9" t="s">
        <v>4416</v>
      </c>
      <c r="C2201" s="10" t="s">
        <v>4417</v>
      </c>
      <c r="D2201" s="9"/>
      <c r="E2201" s="11"/>
      <c r="F2201" s="11"/>
      <c r="G2201" s="11"/>
      <c r="H2201" s="11"/>
    </row>
    <row r="2202" ht="15.75" customHeight="1">
      <c r="A2202" s="4">
        <v>2199.0</v>
      </c>
      <c r="B2202" s="4" t="s">
        <v>4418</v>
      </c>
      <c r="C2202" s="4" t="s">
        <v>4419</v>
      </c>
      <c r="D2202" s="4" t="s">
        <v>4420</v>
      </c>
      <c r="E2202" s="6">
        <v>0.0</v>
      </c>
      <c r="F2202" s="6">
        <v>0.0</v>
      </c>
      <c r="G2202" s="6">
        <v>0.0</v>
      </c>
      <c r="H2202" s="6">
        <v>1572465.0</v>
      </c>
    </row>
    <row r="2203" ht="15.75" customHeight="1">
      <c r="A2203" s="4">
        <v>2200.0</v>
      </c>
      <c r="B2203" s="4" t="s">
        <v>4421</v>
      </c>
      <c r="C2203" s="4" t="s">
        <v>4422</v>
      </c>
      <c r="D2203" s="4" t="s">
        <v>4420</v>
      </c>
      <c r="E2203" s="6">
        <v>0.0</v>
      </c>
      <c r="F2203" s="6">
        <v>0.0</v>
      </c>
      <c r="G2203" s="6">
        <v>0.0</v>
      </c>
      <c r="H2203" s="6">
        <v>1819013.0</v>
      </c>
    </row>
    <row r="2204" ht="15.75" customHeight="1">
      <c r="A2204" s="9">
        <v>2201.0</v>
      </c>
      <c r="B2204" s="9" t="s">
        <v>4423</v>
      </c>
      <c r="C2204" s="10" t="s">
        <v>4424</v>
      </c>
      <c r="D2204" s="9"/>
      <c r="E2204" s="11"/>
      <c r="F2204" s="11"/>
      <c r="G2204" s="11"/>
      <c r="H2204" s="11"/>
    </row>
    <row r="2205" ht="15.75" customHeight="1">
      <c r="A2205" s="9">
        <v>2202.0</v>
      </c>
      <c r="B2205" s="9" t="s">
        <v>4425</v>
      </c>
      <c r="C2205" s="10" t="s">
        <v>4426</v>
      </c>
      <c r="D2205" s="9"/>
      <c r="E2205" s="11"/>
      <c r="F2205" s="11"/>
      <c r="G2205" s="11"/>
      <c r="H2205" s="11"/>
    </row>
    <row r="2206" ht="15.75" customHeight="1">
      <c r="A2206" s="9">
        <v>2203.0</v>
      </c>
      <c r="B2206" s="9" t="s">
        <v>4427</v>
      </c>
      <c r="C2206" s="10" t="s">
        <v>4428</v>
      </c>
      <c r="D2206" s="9"/>
      <c r="E2206" s="11"/>
      <c r="F2206" s="11"/>
      <c r="G2206" s="11"/>
      <c r="H2206" s="11"/>
    </row>
    <row r="2207" ht="15.75" customHeight="1">
      <c r="A2207" s="4">
        <v>2204.0</v>
      </c>
      <c r="B2207" s="4" t="s">
        <v>4429</v>
      </c>
      <c r="C2207" s="4" t="s">
        <v>4430</v>
      </c>
      <c r="D2207" s="4" t="s">
        <v>27</v>
      </c>
      <c r="E2207" s="6">
        <v>24892.0</v>
      </c>
      <c r="F2207" s="6">
        <v>238635.0</v>
      </c>
      <c r="G2207" s="6">
        <v>141520.0</v>
      </c>
      <c r="H2207" s="6">
        <v>445551.0</v>
      </c>
    </row>
    <row r="2208" ht="15.75" customHeight="1">
      <c r="A2208" s="4">
        <v>2205.0</v>
      </c>
      <c r="B2208" s="4" t="s">
        <v>4431</v>
      </c>
      <c r="C2208" s="4" t="s">
        <v>4432</v>
      </c>
      <c r="D2208" s="4" t="s">
        <v>27</v>
      </c>
      <c r="E2208" s="6">
        <v>28849.5</v>
      </c>
      <c r="F2208" s="6">
        <v>255301.0</v>
      </c>
      <c r="G2208" s="6">
        <v>163995.0</v>
      </c>
      <c r="H2208" s="6">
        <v>492960.0</v>
      </c>
    </row>
    <row r="2209" ht="15.75" customHeight="1">
      <c r="A2209" s="4">
        <v>2206.0</v>
      </c>
      <c r="B2209" s="4" t="s">
        <v>4433</v>
      </c>
      <c r="C2209" s="4" t="s">
        <v>4434</v>
      </c>
      <c r="D2209" s="4" t="s">
        <v>27</v>
      </c>
      <c r="E2209" s="6">
        <v>31909.5</v>
      </c>
      <c r="F2209" s="6">
        <v>296892.7</v>
      </c>
      <c r="G2209" s="6">
        <v>181395.0</v>
      </c>
      <c r="H2209" s="6">
        <v>561216.0</v>
      </c>
    </row>
    <row r="2210" ht="15.75" customHeight="1">
      <c r="A2210" s="4">
        <v>2207.0</v>
      </c>
      <c r="B2210" s="4" t="s">
        <v>4435</v>
      </c>
      <c r="C2210" s="4" t="s">
        <v>4436</v>
      </c>
      <c r="D2210" s="4" t="s">
        <v>27</v>
      </c>
      <c r="E2210" s="6">
        <v>34655.5</v>
      </c>
      <c r="F2210" s="6">
        <v>313558.7</v>
      </c>
      <c r="G2210" s="6">
        <v>197055.0</v>
      </c>
      <c r="H2210" s="6">
        <v>599796.0</v>
      </c>
    </row>
    <row r="2211" ht="15.75" customHeight="1">
      <c r="A2211" s="4">
        <v>2208.0</v>
      </c>
      <c r="B2211" s="4" t="s">
        <v>4437</v>
      </c>
      <c r="C2211" s="4" t="s">
        <v>4438</v>
      </c>
      <c r="D2211" s="4" t="s">
        <v>27</v>
      </c>
      <c r="E2211" s="6">
        <v>36308.0</v>
      </c>
      <c r="F2211" s="6">
        <v>338557.7</v>
      </c>
      <c r="G2211" s="6">
        <v>206480.0</v>
      </c>
      <c r="H2211" s="6">
        <v>639480.0</v>
      </c>
    </row>
    <row r="2212" ht="15.75" customHeight="1">
      <c r="A2212" s="4">
        <v>2209.0</v>
      </c>
      <c r="B2212" s="4" t="s">
        <v>4439</v>
      </c>
      <c r="C2212" s="4" t="s">
        <v>4436</v>
      </c>
      <c r="D2212" s="4" t="s">
        <v>27</v>
      </c>
      <c r="E2212" s="6">
        <v>37764.5</v>
      </c>
      <c r="F2212" s="6">
        <v>370710.22</v>
      </c>
      <c r="G2212" s="6">
        <v>214745.0</v>
      </c>
      <c r="H2212" s="6">
        <v>599796.0</v>
      </c>
    </row>
    <row r="2213" ht="15.75" customHeight="1">
      <c r="A2213" s="4">
        <v>2210.0</v>
      </c>
      <c r="B2213" s="4" t="s">
        <v>4440</v>
      </c>
      <c r="C2213" s="4" t="s">
        <v>4441</v>
      </c>
      <c r="D2213" s="4" t="s">
        <v>27</v>
      </c>
      <c r="E2213" s="6">
        <v>50457.0</v>
      </c>
      <c r="F2213" s="6">
        <v>395709.22</v>
      </c>
      <c r="G2213" s="6">
        <v>287970.0</v>
      </c>
      <c r="H2213" s="6">
        <v>807549.0</v>
      </c>
    </row>
    <row r="2214" ht="15.75" customHeight="1">
      <c r="A2214" s="4">
        <v>2211.0</v>
      </c>
      <c r="B2214" s="4" t="s">
        <v>4442</v>
      </c>
      <c r="C2214" s="4" t="s">
        <v>4443</v>
      </c>
      <c r="D2214" s="4" t="s">
        <v>27</v>
      </c>
      <c r="E2214" s="6">
        <v>51897.5</v>
      </c>
      <c r="F2214" s="6">
        <v>412375.22</v>
      </c>
      <c r="G2214" s="6">
        <v>295075.0</v>
      </c>
      <c r="H2214" s="6">
        <v>835282.0</v>
      </c>
    </row>
    <row r="2215" ht="15.75" customHeight="1">
      <c r="A2215" s="4">
        <v>2212.0</v>
      </c>
      <c r="B2215" s="4" t="s">
        <v>4444</v>
      </c>
      <c r="C2215" s="4" t="s">
        <v>4445</v>
      </c>
      <c r="D2215" s="4" t="s">
        <v>27</v>
      </c>
      <c r="E2215" s="6">
        <v>55031.0</v>
      </c>
      <c r="F2215" s="6">
        <v>448436.02</v>
      </c>
      <c r="G2215" s="6">
        <v>312910.0</v>
      </c>
      <c r="H2215" s="6">
        <v>898014.0</v>
      </c>
    </row>
    <row r="2216" ht="15.75" customHeight="1">
      <c r="A2216" s="4">
        <v>2213.0</v>
      </c>
      <c r="B2216" s="4" t="s">
        <v>4446</v>
      </c>
      <c r="C2216" s="4" t="s">
        <v>4447</v>
      </c>
      <c r="D2216" s="4" t="s">
        <v>27</v>
      </c>
      <c r="E2216" s="6">
        <v>55080.0</v>
      </c>
      <c r="F2216" s="6">
        <v>465102.02</v>
      </c>
      <c r="G2216" s="6">
        <v>313200.0</v>
      </c>
      <c r="H2216" s="6">
        <v>916720.0</v>
      </c>
    </row>
    <row r="2217" ht="15.75" customHeight="1">
      <c r="A2217" s="4">
        <v>2214.0</v>
      </c>
      <c r="B2217" s="4" t="s">
        <v>4448</v>
      </c>
      <c r="C2217" s="4" t="s">
        <v>4449</v>
      </c>
      <c r="D2217" s="4" t="s">
        <v>27</v>
      </c>
      <c r="E2217" s="6">
        <v>55688.0</v>
      </c>
      <c r="F2217" s="6">
        <v>490101.02</v>
      </c>
      <c r="G2217" s="6">
        <v>316680.0</v>
      </c>
      <c r="H2217" s="6">
        <v>948715.0</v>
      </c>
    </row>
    <row r="2218" ht="15.75" customHeight="1">
      <c r="A2218" s="4">
        <v>2215.0</v>
      </c>
      <c r="B2218" s="4" t="s">
        <v>4450</v>
      </c>
      <c r="C2218" s="4" t="s">
        <v>4451</v>
      </c>
      <c r="D2218" s="4" t="s">
        <v>27</v>
      </c>
      <c r="E2218" s="6">
        <v>56149.0</v>
      </c>
      <c r="F2218" s="6">
        <v>529996.8</v>
      </c>
      <c r="G2218" s="6">
        <v>319290.0</v>
      </c>
      <c r="H2218" s="6">
        <v>995979.0</v>
      </c>
    </row>
    <row r="2219" ht="15.75" customHeight="1">
      <c r="A2219" s="4">
        <v>2216.0</v>
      </c>
      <c r="B2219" s="4" t="s">
        <v>4452</v>
      </c>
      <c r="C2219" s="4" t="s">
        <v>4453</v>
      </c>
      <c r="D2219" s="4" t="s">
        <v>27</v>
      </c>
      <c r="E2219" s="6">
        <v>132274.5</v>
      </c>
      <c r="F2219" s="6">
        <v>553889.62</v>
      </c>
      <c r="G2219" s="6">
        <v>327845.0</v>
      </c>
      <c r="H2219" s="6">
        <v>1115410.0</v>
      </c>
    </row>
    <row r="2220" ht="15.75" customHeight="1">
      <c r="A2220" s="4">
        <v>2217.0</v>
      </c>
      <c r="B2220" s="4" t="s">
        <v>4454</v>
      </c>
      <c r="C2220" s="4" t="s">
        <v>4455</v>
      </c>
      <c r="D2220" s="4" t="s">
        <v>27</v>
      </c>
      <c r="E2220" s="6">
        <v>139294.5</v>
      </c>
      <c r="F2220" s="6">
        <v>570555.62</v>
      </c>
      <c r="G2220" s="6">
        <v>345245.0</v>
      </c>
      <c r="H2220" s="6">
        <v>1160604.0</v>
      </c>
    </row>
    <row r="2221" ht="15.75" customHeight="1">
      <c r="A2221" s="4">
        <v>2218.0</v>
      </c>
      <c r="B2221" s="4" t="s">
        <v>4456</v>
      </c>
      <c r="C2221" s="4" t="s">
        <v>4457</v>
      </c>
      <c r="D2221" s="4" t="s">
        <v>27</v>
      </c>
      <c r="E2221" s="6">
        <v>141158.5</v>
      </c>
      <c r="F2221" s="6">
        <v>622102.94</v>
      </c>
      <c r="G2221" s="6">
        <v>349885.0</v>
      </c>
      <c r="H2221" s="6">
        <v>1224461.0</v>
      </c>
    </row>
    <row r="2222" ht="15.75" customHeight="1">
      <c r="A2222" s="4">
        <v>2219.0</v>
      </c>
      <c r="B2222" s="4" t="s">
        <v>4458</v>
      </c>
      <c r="C2222" s="4" t="s">
        <v>4459</v>
      </c>
      <c r="D2222" s="4" t="s">
        <v>27</v>
      </c>
      <c r="E2222" s="6">
        <v>143920.0</v>
      </c>
      <c r="F2222" s="6">
        <v>638768.94</v>
      </c>
      <c r="G2222" s="6">
        <v>356700.0</v>
      </c>
      <c r="H2222" s="6">
        <v>1253327.0</v>
      </c>
    </row>
    <row r="2223" ht="15.75" customHeight="1">
      <c r="A2223" s="4">
        <v>2220.0</v>
      </c>
      <c r="B2223" s="4" t="s">
        <v>4460</v>
      </c>
      <c r="C2223" s="4" t="s">
        <v>4461</v>
      </c>
      <c r="D2223" s="4" t="s">
        <v>27</v>
      </c>
      <c r="E2223" s="6">
        <v>161371.0</v>
      </c>
      <c r="F2223" s="6">
        <v>686997.72</v>
      </c>
      <c r="G2223" s="6">
        <v>399910.0</v>
      </c>
      <c r="H2223" s="6">
        <v>1373106.0</v>
      </c>
    </row>
    <row r="2224" ht="15.75" customHeight="1">
      <c r="A2224" s="4">
        <v>2221.0</v>
      </c>
      <c r="B2224" s="4" t="s">
        <v>4462</v>
      </c>
      <c r="C2224" s="4" t="s">
        <v>4463</v>
      </c>
      <c r="D2224" s="4" t="s">
        <v>27</v>
      </c>
      <c r="E2224" s="6">
        <v>164667.5</v>
      </c>
      <c r="F2224" s="6">
        <v>703663.72</v>
      </c>
      <c r="G2224" s="6">
        <v>408174.9999999999</v>
      </c>
      <c r="H2224" s="6">
        <v>1404156.0</v>
      </c>
    </row>
    <row r="2225" ht="15.75" customHeight="1">
      <c r="A2225" s="4">
        <v>2222.0</v>
      </c>
      <c r="B2225" s="4" t="s">
        <v>4464</v>
      </c>
      <c r="C2225" s="4" t="s">
        <v>4465</v>
      </c>
      <c r="D2225" s="4" t="s">
        <v>27</v>
      </c>
      <c r="E2225" s="6">
        <v>187135.5</v>
      </c>
      <c r="F2225" s="6">
        <v>754544.2220000001</v>
      </c>
      <c r="G2225" s="6">
        <v>463855.0</v>
      </c>
      <c r="H2225" s="6">
        <v>1546088.0</v>
      </c>
    </row>
    <row r="2226" ht="15.75" customHeight="1">
      <c r="A2226" s="4">
        <v>2223.0</v>
      </c>
      <c r="B2226" s="4" t="s">
        <v>4466</v>
      </c>
      <c r="C2226" s="4" t="s">
        <v>4467</v>
      </c>
      <c r="D2226" s="4" t="s">
        <v>27</v>
      </c>
      <c r="E2226" s="6">
        <v>166834.0</v>
      </c>
      <c r="F2226" s="6">
        <v>779030.56</v>
      </c>
      <c r="G2226" s="6">
        <v>413540.0</v>
      </c>
      <c r="H2226" s="6">
        <v>1495345.0</v>
      </c>
    </row>
    <row r="2227" ht="15.75" customHeight="1">
      <c r="A2227" s="4">
        <v>2224.0</v>
      </c>
      <c r="B2227" s="4" t="s">
        <v>4468</v>
      </c>
      <c r="C2227" s="4" t="s">
        <v>4469</v>
      </c>
      <c r="D2227" s="4" t="s">
        <v>27</v>
      </c>
      <c r="E2227" s="6">
        <v>188945.0</v>
      </c>
      <c r="F2227" s="6">
        <v>802923.38</v>
      </c>
      <c r="G2227" s="6">
        <v>468350.0</v>
      </c>
      <c r="H2227" s="6">
        <v>1606240.0</v>
      </c>
    </row>
    <row r="2228" ht="15.75" customHeight="1">
      <c r="A2228" s="4">
        <v>2225.0</v>
      </c>
      <c r="B2228" s="4" t="s">
        <v>4470</v>
      </c>
      <c r="C2228" s="4" t="s">
        <v>4471</v>
      </c>
      <c r="D2228" s="4" t="s">
        <v>27</v>
      </c>
      <c r="E2228" s="6">
        <v>189485.5</v>
      </c>
      <c r="F2228" s="6">
        <v>819589.38</v>
      </c>
      <c r="G2228" s="6">
        <v>469655.0000000001</v>
      </c>
      <c r="H2228" s="6">
        <v>1626602.0</v>
      </c>
    </row>
    <row r="2229" ht="15.75" customHeight="1">
      <c r="A2229" s="4">
        <v>2226.0</v>
      </c>
      <c r="B2229" s="4" t="s">
        <v>4472</v>
      </c>
      <c r="C2229" s="4" t="s">
        <v>4473</v>
      </c>
      <c r="D2229" s="4" t="s">
        <v>27</v>
      </c>
      <c r="E2229" s="6">
        <v>194026.5</v>
      </c>
      <c r="F2229" s="6">
        <v>845104.8200000001</v>
      </c>
      <c r="G2229" s="6">
        <v>480965.0</v>
      </c>
      <c r="H2229" s="6">
        <v>1672105.0</v>
      </c>
    </row>
    <row r="2230" ht="15.75" customHeight="1">
      <c r="A2230" s="4">
        <v>2227.0</v>
      </c>
      <c r="B2230" s="4" t="s">
        <v>4474</v>
      </c>
      <c r="C2230" s="4" t="s">
        <v>4475</v>
      </c>
      <c r="D2230" s="4" t="s">
        <v>27</v>
      </c>
      <c r="E2230" s="6">
        <v>196971.5</v>
      </c>
      <c r="F2230" s="6">
        <v>867891.46</v>
      </c>
      <c r="G2230" s="6">
        <v>488215.0</v>
      </c>
      <c r="H2230" s="6">
        <v>1708385.0</v>
      </c>
    </row>
    <row r="2231" ht="15.75" customHeight="1">
      <c r="A2231" s="4">
        <v>2228.0</v>
      </c>
      <c r="B2231" s="4" t="s">
        <v>4476</v>
      </c>
      <c r="C2231" s="4" t="s">
        <v>4477</v>
      </c>
      <c r="D2231" s="4" t="s">
        <v>27</v>
      </c>
      <c r="E2231" s="6">
        <v>197254.0</v>
      </c>
      <c r="F2231" s="6">
        <v>915530.5</v>
      </c>
      <c r="G2231" s="6">
        <v>488940.0</v>
      </c>
      <c r="H2231" s="6">
        <v>1761896.0</v>
      </c>
    </row>
    <row r="2232" ht="15.75" customHeight="1">
      <c r="A2232" s="4">
        <v>2229.0</v>
      </c>
      <c r="B2232" s="4" t="s">
        <v>4478</v>
      </c>
      <c r="C2232" s="4" t="s">
        <v>4479</v>
      </c>
      <c r="D2232" s="4" t="s">
        <v>27</v>
      </c>
      <c r="E2232" s="6">
        <v>199604.0</v>
      </c>
      <c r="F2232" s="6">
        <v>940529.5</v>
      </c>
      <c r="G2232" s="6">
        <v>494740.0</v>
      </c>
      <c r="H2232" s="6">
        <v>1798360.0</v>
      </c>
    </row>
    <row r="2233" ht="15.75" customHeight="1">
      <c r="A2233" s="4">
        <v>2230.0</v>
      </c>
      <c r="B2233" s="4" t="s">
        <v>4480</v>
      </c>
      <c r="C2233" s="4" t="s">
        <v>4481</v>
      </c>
      <c r="D2233" s="4" t="s">
        <v>27</v>
      </c>
      <c r="E2233" s="6">
        <v>201641.5</v>
      </c>
      <c r="F2233" s="6">
        <v>1089937.1</v>
      </c>
      <c r="G2233" s="6">
        <v>499815.0</v>
      </c>
      <c r="H2233" s="6">
        <v>1970532.0</v>
      </c>
    </row>
    <row r="2234" ht="15.75" customHeight="1">
      <c r="A2234" s="9">
        <v>2231.0</v>
      </c>
      <c r="B2234" s="9" t="s">
        <v>4482</v>
      </c>
      <c r="C2234" s="10" t="s">
        <v>4483</v>
      </c>
      <c r="D2234" s="9"/>
      <c r="E2234" s="11"/>
      <c r="F2234" s="11"/>
      <c r="G2234" s="11"/>
      <c r="H2234" s="11"/>
    </row>
    <row r="2235" ht="15.75" customHeight="1">
      <c r="A2235" s="4">
        <v>2232.0</v>
      </c>
      <c r="B2235" s="4" t="s">
        <v>4484</v>
      </c>
      <c r="C2235" s="4" t="s">
        <v>4485</v>
      </c>
      <c r="D2235" s="4" t="s">
        <v>27</v>
      </c>
      <c r="E2235" s="6">
        <v>24892.0</v>
      </c>
      <c r="F2235" s="6">
        <v>230935.0</v>
      </c>
      <c r="G2235" s="6">
        <v>141520.0</v>
      </c>
      <c r="H2235" s="6">
        <v>437081.0</v>
      </c>
    </row>
    <row r="2236" ht="15.75" customHeight="1">
      <c r="A2236" s="4">
        <v>2233.0</v>
      </c>
      <c r="B2236" s="4" t="s">
        <v>4486</v>
      </c>
      <c r="C2236" s="4" t="s">
        <v>4487</v>
      </c>
      <c r="D2236" s="4" t="s">
        <v>27</v>
      </c>
      <c r="E2236" s="6">
        <v>28849.5</v>
      </c>
      <c r="F2236" s="6">
        <v>247601.0</v>
      </c>
      <c r="G2236" s="6">
        <v>163995.0</v>
      </c>
      <c r="H2236" s="6">
        <v>484490.0</v>
      </c>
    </row>
    <row r="2237" ht="15.75" customHeight="1">
      <c r="A2237" s="4">
        <v>2234.0</v>
      </c>
      <c r="B2237" s="4" t="s">
        <v>4488</v>
      </c>
      <c r="C2237" s="4" t="s">
        <v>4489</v>
      </c>
      <c r="D2237" s="4" t="s">
        <v>27</v>
      </c>
      <c r="E2237" s="6">
        <v>31909.5</v>
      </c>
      <c r="F2237" s="6">
        <v>286882.7</v>
      </c>
      <c r="G2237" s="6">
        <v>181395.0</v>
      </c>
      <c r="H2237" s="6">
        <v>550205.0</v>
      </c>
    </row>
    <row r="2238" ht="15.75" customHeight="1">
      <c r="A2238" s="4">
        <v>2235.0</v>
      </c>
      <c r="B2238" s="4" t="s">
        <v>4490</v>
      </c>
      <c r="C2238" s="4" t="s">
        <v>4491</v>
      </c>
      <c r="D2238" s="4" t="s">
        <v>27</v>
      </c>
      <c r="E2238" s="6">
        <v>34655.5</v>
      </c>
      <c r="F2238" s="6">
        <v>303548.7</v>
      </c>
      <c r="G2238" s="6">
        <v>197055.0</v>
      </c>
      <c r="H2238" s="6">
        <v>588785.0</v>
      </c>
    </row>
    <row r="2239" ht="15.75" customHeight="1">
      <c r="A2239" s="4">
        <v>2236.0</v>
      </c>
      <c r="B2239" s="4" t="s">
        <v>4492</v>
      </c>
      <c r="C2239" s="4" t="s">
        <v>4493</v>
      </c>
      <c r="D2239" s="4" t="s">
        <v>27</v>
      </c>
      <c r="E2239" s="6">
        <v>36308.0</v>
      </c>
      <c r="F2239" s="6">
        <v>328547.7</v>
      </c>
      <c r="G2239" s="6">
        <v>206480.0</v>
      </c>
      <c r="H2239" s="6">
        <v>628469.0</v>
      </c>
    </row>
    <row r="2240" ht="15.75" customHeight="1">
      <c r="A2240" s="4">
        <v>2237.0</v>
      </c>
      <c r="B2240" s="4" t="s">
        <v>4494</v>
      </c>
      <c r="C2240" s="4" t="s">
        <v>4495</v>
      </c>
      <c r="D2240" s="4" t="s">
        <v>27</v>
      </c>
      <c r="E2240" s="6">
        <v>37764.5</v>
      </c>
      <c r="F2240" s="6">
        <v>358544.22</v>
      </c>
      <c r="G2240" s="6">
        <v>214745.0</v>
      </c>
      <c r="H2240" s="6">
        <v>672159.0</v>
      </c>
    </row>
    <row r="2241" ht="15.75" customHeight="1">
      <c r="A2241" s="4">
        <v>2238.0</v>
      </c>
      <c r="B2241" s="4" t="s">
        <v>4496</v>
      </c>
      <c r="C2241" s="4" t="s">
        <v>4497</v>
      </c>
      <c r="D2241" s="4" t="s">
        <v>27</v>
      </c>
      <c r="E2241" s="6">
        <v>50637.0</v>
      </c>
      <c r="F2241" s="6">
        <v>383543.22</v>
      </c>
      <c r="G2241" s="6">
        <v>287970.0</v>
      </c>
      <c r="H2241" s="6">
        <v>794365.0</v>
      </c>
    </row>
    <row r="2242" ht="15.75" customHeight="1">
      <c r="A2242" s="4">
        <v>2239.0</v>
      </c>
      <c r="B2242" s="4" t="s">
        <v>4498</v>
      </c>
      <c r="C2242" s="4" t="s">
        <v>4499</v>
      </c>
      <c r="D2242" s="4" t="s">
        <v>27</v>
      </c>
      <c r="E2242" s="6">
        <v>51897.5</v>
      </c>
      <c r="F2242" s="6">
        <v>400209.22</v>
      </c>
      <c r="G2242" s="6">
        <v>295075.0</v>
      </c>
      <c r="H2242" s="6">
        <v>821899.0</v>
      </c>
    </row>
    <row r="2243" ht="15.75" customHeight="1">
      <c r="A2243" s="4">
        <v>2240.0</v>
      </c>
      <c r="B2243" s="4" t="s">
        <v>4500</v>
      </c>
      <c r="C2243" s="4" t="s">
        <v>4501</v>
      </c>
      <c r="D2243" s="4" t="s">
        <v>27</v>
      </c>
      <c r="E2243" s="6">
        <v>55031.0</v>
      </c>
      <c r="F2243" s="6">
        <v>434730.02</v>
      </c>
      <c r="G2243" s="6">
        <v>312910.0</v>
      </c>
      <c r="H2243" s="6">
        <v>882938.0</v>
      </c>
    </row>
    <row r="2244" ht="15.75" customHeight="1">
      <c r="A2244" s="4">
        <v>2241.0</v>
      </c>
      <c r="B2244" s="4" t="s">
        <v>4502</v>
      </c>
      <c r="C2244" s="4" t="s">
        <v>4503</v>
      </c>
      <c r="D2244" s="4" t="s">
        <v>27</v>
      </c>
      <c r="E2244" s="6">
        <v>55080.0</v>
      </c>
      <c r="F2244" s="6">
        <v>451396.02</v>
      </c>
      <c r="G2244" s="6">
        <v>313200.0</v>
      </c>
      <c r="H2244" s="6">
        <v>901643.0</v>
      </c>
    </row>
    <row r="2245" ht="15.75" customHeight="1">
      <c r="A2245" s="4">
        <v>2242.0</v>
      </c>
      <c r="B2245" s="4" t="s">
        <v>4504</v>
      </c>
      <c r="C2245" s="4" t="s">
        <v>4505</v>
      </c>
      <c r="D2245" s="4" t="s">
        <v>27</v>
      </c>
      <c r="E2245" s="6">
        <v>55688.0</v>
      </c>
      <c r="F2245" s="6">
        <v>476395.02</v>
      </c>
      <c r="G2245" s="6">
        <v>316680.0</v>
      </c>
      <c r="H2245" s="6">
        <v>933639.0</v>
      </c>
    </row>
    <row r="2246" ht="15.75" customHeight="1">
      <c r="A2246" s="4">
        <v>2243.0</v>
      </c>
      <c r="B2246" s="4" t="s">
        <v>4506</v>
      </c>
      <c r="C2246" s="4" t="s">
        <v>4507</v>
      </c>
      <c r="D2246" s="4" t="s">
        <v>27</v>
      </c>
      <c r="E2246" s="6">
        <v>56149.0</v>
      </c>
      <c r="F2246" s="6">
        <v>513056.8</v>
      </c>
      <c r="G2246" s="6">
        <v>319290.0</v>
      </c>
      <c r="H2246" s="6">
        <v>977345.0</v>
      </c>
    </row>
    <row r="2247" ht="15.75" customHeight="1">
      <c r="A2247" s="4">
        <v>2244.0</v>
      </c>
      <c r="B2247" s="4" t="s">
        <v>4508</v>
      </c>
      <c r="C2247" s="4" t="s">
        <v>4509</v>
      </c>
      <c r="D2247" s="4" t="s">
        <v>27</v>
      </c>
      <c r="E2247" s="6">
        <v>132274.5</v>
      </c>
      <c r="F2247" s="6">
        <v>537103.62</v>
      </c>
      <c r="G2247" s="6">
        <v>327845.0</v>
      </c>
      <c r="H2247" s="6">
        <v>1096945.0</v>
      </c>
    </row>
    <row r="2248" ht="15.75" customHeight="1">
      <c r="A2248" s="4">
        <v>2245.0</v>
      </c>
      <c r="B2248" s="4" t="s">
        <v>4510</v>
      </c>
      <c r="C2248" s="4" t="s">
        <v>4511</v>
      </c>
      <c r="D2248" s="4" t="s">
        <v>27</v>
      </c>
      <c r="E2248" s="6">
        <v>139294.5</v>
      </c>
      <c r="F2248" s="6">
        <v>553769.62</v>
      </c>
      <c r="G2248" s="6">
        <v>345245.0</v>
      </c>
      <c r="H2248" s="6">
        <v>1142140.0</v>
      </c>
    </row>
    <row r="2249" ht="15.75" customHeight="1">
      <c r="A2249" s="4">
        <v>2246.0</v>
      </c>
      <c r="B2249" s="4" t="s">
        <v>4512</v>
      </c>
      <c r="C2249" s="4" t="s">
        <v>4513</v>
      </c>
      <c r="D2249" s="4" t="s">
        <v>27</v>
      </c>
      <c r="E2249" s="6">
        <v>141158.5</v>
      </c>
      <c r="F2249" s="6">
        <v>601620.94</v>
      </c>
      <c r="G2249" s="6">
        <v>349885.0</v>
      </c>
      <c r="H2249" s="6">
        <v>1201930.0</v>
      </c>
    </row>
    <row r="2250" ht="15.75" customHeight="1">
      <c r="A2250" s="4">
        <v>2247.0</v>
      </c>
      <c r="B2250" s="4" t="s">
        <v>4514</v>
      </c>
      <c r="C2250" s="4" t="s">
        <v>4515</v>
      </c>
      <c r="D2250" s="4" t="s">
        <v>27</v>
      </c>
      <c r="E2250" s="6">
        <v>143920.0</v>
      </c>
      <c r="F2250" s="6">
        <v>618286.94</v>
      </c>
      <c r="G2250" s="6">
        <v>356700.0</v>
      </c>
      <c r="H2250" s="6">
        <v>1230797.0</v>
      </c>
    </row>
    <row r="2251" ht="15.75" customHeight="1">
      <c r="A2251" s="4">
        <v>2248.0</v>
      </c>
      <c r="B2251" s="4" t="s">
        <v>4516</v>
      </c>
      <c r="C2251" s="4" t="s">
        <v>4517</v>
      </c>
      <c r="D2251" s="4" t="s">
        <v>27</v>
      </c>
      <c r="E2251" s="6">
        <v>161371.0</v>
      </c>
      <c r="F2251" s="6">
        <v>663281.72</v>
      </c>
      <c r="G2251" s="6">
        <v>399910.0</v>
      </c>
      <c r="H2251" s="6">
        <v>1347018.0</v>
      </c>
    </row>
    <row r="2252" ht="15.75" customHeight="1">
      <c r="A2252" s="4">
        <v>2249.0</v>
      </c>
      <c r="B2252" s="4" t="s">
        <v>4518</v>
      </c>
      <c r="C2252" s="4" t="s">
        <v>4519</v>
      </c>
      <c r="D2252" s="4" t="s">
        <v>27</v>
      </c>
      <c r="E2252" s="6">
        <v>164667.5</v>
      </c>
      <c r="F2252" s="6">
        <v>679947.72</v>
      </c>
      <c r="G2252" s="6">
        <v>408174.9999999999</v>
      </c>
      <c r="H2252" s="6">
        <v>1378069.0</v>
      </c>
    </row>
    <row r="2253" ht="15.75" customHeight="1">
      <c r="A2253" s="4">
        <v>2250.0</v>
      </c>
      <c r="B2253" s="4" t="s">
        <v>4520</v>
      </c>
      <c r="C2253" s="4" t="s">
        <v>4521</v>
      </c>
      <c r="D2253" s="4" t="s">
        <v>27</v>
      </c>
      <c r="E2253" s="6">
        <v>187135.5</v>
      </c>
      <c r="F2253" s="6">
        <v>726846.86</v>
      </c>
      <c r="G2253" s="6">
        <v>463855.0</v>
      </c>
      <c r="H2253" s="6">
        <v>1515621.0</v>
      </c>
    </row>
    <row r="2254" ht="15.75" customHeight="1">
      <c r="A2254" s="4">
        <v>2251.0</v>
      </c>
      <c r="B2254" s="4" t="s">
        <v>4522</v>
      </c>
      <c r="C2254" s="4" t="s">
        <v>4523</v>
      </c>
      <c r="D2254" s="4" t="s">
        <v>27</v>
      </c>
      <c r="E2254" s="6">
        <v>166834.0</v>
      </c>
      <c r="F2254" s="6">
        <v>749462.56</v>
      </c>
      <c r="G2254" s="6">
        <v>413540.0</v>
      </c>
      <c r="H2254" s="6">
        <v>1462820.0</v>
      </c>
    </row>
    <row r="2255" ht="15.75" customHeight="1">
      <c r="A2255" s="4">
        <v>2252.0</v>
      </c>
      <c r="B2255" s="4" t="s">
        <v>4524</v>
      </c>
      <c r="C2255" s="4" t="s">
        <v>4525</v>
      </c>
      <c r="D2255" s="4" t="s">
        <v>27</v>
      </c>
      <c r="E2255" s="6">
        <v>188945.0</v>
      </c>
      <c r="F2255" s="6">
        <v>773509.38</v>
      </c>
      <c r="G2255" s="6">
        <v>468350.0</v>
      </c>
      <c r="H2255" s="6">
        <v>1573884.0</v>
      </c>
    </row>
    <row r="2256" ht="15.75" customHeight="1">
      <c r="A2256" s="4">
        <v>2253.0</v>
      </c>
      <c r="B2256" s="4" t="s">
        <v>4526</v>
      </c>
      <c r="C2256" s="4" t="s">
        <v>4527</v>
      </c>
      <c r="D2256" s="4" t="s">
        <v>27</v>
      </c>
      <c r="E2256" s="6">
        <v>189485.5</v>
      </c>
      <c r="F2256" s="6">
        <v>790175.38</v>
      </c>
      <c r="G2256" s="6">
        <v>469655.0000000001</v>
      </c>
      <c r="H2256" s="6">
        <v>1594247.0</v>
      </c>
    </row>
    <row r="2257" ht="15.75" customHeight="1">
      <c r="A2257" s="4">
        <v>2254.0</v>
      </c>
      <c r="B2257" s="4" t="s">
        <v>4528</v>
      </c>
      <c r="C2257" s="4" t="s">
        <v>4529</v>
      </c>
      <c r="D2257" s="4" t="s">
        <v>27</v>
      </c>
      <c r="E2257" s="6">
        <v>194026.5</v>
      </c>
      <c r="F2257" s="6">
        <v>814458.8200000001</v>
      </c>
      <c r="G2257" s="6">
        <v>480965.0</v>
      </c>
      <c r="H2257" s="6">
        <v>1638395.0</v>
      </c>
    </row>
    <row r="2258" ht="15.75" customHeight="1">
      <c r="A2258" s="4">
        <v>2255.0</v>
      </c>
      <c r="B2258" s="4" t="s">
        <v>4530</v>
      </c>
      <c r="C2258" s="4" t="s">
        <v>4531</v>
      </c>
      <c r="D2258" s="4" t="s">
        <v>27</v>
      </c>
      <c r="E2258" s="6">
        <v>196971.5</v>
      </c>
      <c r="F2258" s="6">
        <v>837553.46</v>
      </c>
      <c r="G2258" s="6">
        <v>488215.0</v>
      </c>
      <c r="H2258" s="6">
        <v>1675013.0</v>
      </c>
    </row>
    <row r="2259" ht="15.75" customHeight="1">
      <c r="A2259" s="4">
        <v>2256.0</v>
      </c>
      <c r="B2259" s="4" t="s">
        <v>4532</v>
      </c>
      <c r="C2259" s="4" t="s">
        <v>4533</v>
      </c>
      <c r="D2259" s="4" t="s">
        <v>27</v>
      </c>
      <c r="E2259" s="6">
        <v>197254.0</v>
      </c>
      <c r="F2259" s="6">
        <v>880880.5</v>
      </c>
      <c r="G2259" s="6">
        <v>488940.0</v>
      </c>
      <c r="H2259" s="6">
        <v>1723781.0</v>
      </c>
    </row>
    <row r="2260" ht="15.75" customHeight="1">
      <c r="A2260" s="4">
        <v>2257.0</v>
      </c>
      <c r="B2260" s="4" t="s">
        <v>4534</v>
      </c>
      <c r="C2260" s="4" t="s">
        <v>4535</v>
      </c>
      <c r="D2260" s="4" t="s">
        <v>27</v>
      </c>
      <c r="E2260" s="6">
        <v>199604.0</v>
      </c>
      <c r="F2260" s="6">
        <v>905879.5</v>
      </c>
      <c r="G2260" s="6">
        <v>494740.0</v>
      </c>
      <c r="H2260" s="6">
        <v>1760245.0</v>
      </c>
    </row>
    <row r="2261" ht="15.75" customHeight="1">
      <c r="A2261" s="4">
        <v>2258.0</v>
      </c>
      <c r="B2261" s="4" t="s">
        <v>4536</v>
      </c>
      <c r="C2261" s="4" t="s">
        <v>4537</v>
      </c>
      <c r="D2261" s="4" t="s">
        <v>27</v>
      </c>
      <c r="E2261" s="6">
        <v>201641.5</v>
      </c>
      <c r="F2261" s="6">
        <v>1036807.1</v>
      </c>
      <c r="G2261" s="6">
        <v>499815.0</v>
      </c>
      <c r="H2261" s="6">
        <v>1912089.0</v>
      </c>
    </row>
    <row r="2262" ht="15.75" customHeight="1">
      <c r="A2262" s="9">
        <v>2259.0</v>
      </c>
      <c r="B2262" s="9" t="s">
        <v>4538</v>
      </c>
      <c r="C2262" s="10" t="s">
        <v>4539</v>
      </c>
      <c r="D2262" s="9"/>
      <c r="E2262" s="11"/>
      <c r="F2262" s="11"/>
      <c r="G2262" s="11"/>
      <c r="H2262" s="11"/>
    </row>
    <row r="2263" ht="15.75" customHeight="1">
      <c r="A2263" s="4">
        <v>2260.0</v>
      </c>
      <c r="B2263" s="4" t="s">
        <v>4540</v>
      </c>
      <c r="C2263" s="4" t="s">
        <v>4541</v>
      </c>
      <c r="D2263" s="4" t="s">
        <v>27</v>
      </c>
      <c r="E2263" s="6">
        <v>9106.5</v>
      </c>
      <c r="F2263" s="6">
        <v>116669.0</v>
      </c>
      <c r="G2263" s="6">
        <v>0.0</v>
      </c>
      <c r="H2263" s="6">
        <v>138353.0</v>
      </c>
    </row>
    <row r="2264" ht="15.75" customHeight="1">
      <c r="A2264" s="4">
        <v>2261.0</v>
      </c>
      <c r="B2264" s="4" t="s">
        <v>4542</v>
      </c>
      <c r="C2264" s="4" t="s">
        <v>4543</v>
      </c>
      <c r="D2264" s="4" t="s">
        <v>27</v>
      </c>
      <c r="E2264" s="6">
        <v>14496.5</v>
      </c>
      <c r="F2264" s="6">
        <v>166670.0</v>
      </c>
      <c r="G2264" s="6">
        <v>0.0</v>
      </c>
      <c r="H2264" s="6">
        <v>199283.0</v>
      </c>
    </row>
    <row r="2265" ht="15.75" customHeight="1">
      <c r="A2265" s="4">
        <v>2262.0</v>
      </c>
      <c r="B2265" s="4" t="s">
        <v>4544</v>
      </c>
      <c r="C2265" s="4" t="s">
        <v>4545</v>
      </c>
      <c r="D2265" s="4" t="s">
        <v>27</v>
      </c>
      <c r="E2265" s="6">
        <v>15946.5</v>
      </c>
      <c r="F2265" s="6">
        <v>208337.5</v>
      </c>
      <c r="G2265" s="6">
        <v>0.0</v>
      </c>
      <c r="H2265" s="6">
        <v>246712.0</v>
      </c>
    </row>
    <row r="2266" ht="15.75" customHeight="1">
      <c r="A2266" s="4">
        <v>2263.0</v>
      </c>
      <c r="B2266" s="4" t="s">
        <v>4546</v>
      </c>
      <c r="C2266" s="4" t="s">
        <v>4547</v>
      </c>
      <c r="D2266" s="4" t="s">
        <v>27</v>
      </c>
      <c r="E2266" s="6">
        <v>18842.0</v>
      </c>
      <c r="F2266" s="6">
        <v>275005.5</v>
      </c>
      <c r="G2266" s="6">
        <v>0.0</v>
      </c>
      <c r="H2266" s="6">
        <v>323232.0</v>
      </c>
    </row>
    <row r="2267" ht="15.75" customHeight="1">
      <c r="A2267" s="4">
        <v>2264.0</v>
      </c>
      <c r="B2267" s="4" t="s">
        <v>4548</v>
      </c>
      <c r="C2267" s="4" t="s">
        <v>4549</v>
      </c>
      <c r="D2267" s="4" t="s">
        <v>27</v>
      </c>
      <c r="E2267" s="6">
        <v>18409.0</v>
      </c>
      <c r="F2267" s="6">
        <v>325006.5</v>
      </c>
      <c r="G2267" s="6">
        <v>0.0</v>
      </c>
      <c r="H2267" s="6">
        <v>377757.0</v>
      </c>
    </row>
    <row r="2268" ht="15.75" customHeight="1">
      <c r="A2268" s="4">
        <v>2265.0</v>
      </c>
      <c r="B2268" s="4" t="s">
        <v>4550</v>
      </c>
      <c r="C2268" s="4" t="s">
        <v>4551</v>
      </c>
      <c r="D2268" s="4" t="s">
        <v>27</v>
      </c>
      <c r="E2268" s="6">
        <v>13036.5</v>
      </c>
      <c r="F2268" s="6">
        <v>208337.5</v>
      </c>
      <c r="G2268" s="6">
        <v>0.0</v>
      </c>
      <c r="H2268" s="6">
        <v>243511.0</v>
      </c>
    </row>
    <row r="2269" ht="15.75" customHeight="1">
      <c r="A2269" s="4">
        <v>2266.0</v>
      </c>
      <c r="B2269" s="4" t="s">
        <v>4552</v>
      </c>
      <c r="C2269" s="4" t="s">
        <v>4553</v>
      </c>
      <c r="D2269" s="4" t="s">
        <v>27</v>
      </c>
      <c r="E2269" s="6">
        <v>17382.0</v>
      </c>
      <c r="F2269" s="6">
        <v>293339.2</v>
      </c>
      <c r="G2269" s="6">
        <v>0.0</v>
      </c>
      <c r="H2269" s="6">
        <v>341793.0</v>
      </c>
    </row>
    <row r="2270" ht="15.75" customHeight="1">
      <c r="A2270" s="4">
        <v>2267.0</v>
      </c>
      <c r="B2270" s="4" t="s">
        <v>4554</v>
      </c>
      <c r="C2270" s="4" t="s">
        <v>4555</v>
      </c>
      <c r="D2270" s="4" t="s">
        <v>27</v>
      </c>
      <c r="E2270" s="6">
        <v>16683.0</v>
      </c>
      <c r="F2270" s="6">
        <v>293339.2</v>
      </c>
      <c r="G2270" s="6">
        <v>31392.0</v>
      </c>
      <c r="H2270" s="6">
        <v>375555.0</v>
      </c>
    </row>
    <row r="2271" ht="15.75" customHeight="1">
      <c r="A2271" s="4">
        <v>2268.0</v>
      </c>
      <c r="B2271" s="4" t="s">
        <v>4556</v>
      </c>
      <c r="C2271" s="4" t="s">
        <v>4557</v>
      </c>
      <c r="D2271" s="4" t="s">
        <v>27</v>
      </c>
      <c r="E2271" s="6">
        <v>18674.0</v>
      </c>
      <c r="F2271" s="6">
        <v>391674.5</v>
      </c>
      <c r="G2271" s="6">
        <v>35136.0</v>
      </c>
      <c r="H2271" s="6">
        <v>490032.0</v>
      </c>
    </row>
    <row r="2272" ht="15.75" customHeight="1">
      <c r="A2272" s="4">
        <v>2269.0</v>
      </c>
      <c r="B2272" s="4" t="s">
        <v>4558</v>
      </c>
      <c r="C2272" s="4" t="s">
        <v>4559</v>
      </c>
      <c r="D2272" s="4" t="s">
        <v>27</v>
      </c>
      <c r="E2272" s="6">
        <v>21371.0</v>
      </c>
      <c r="F2272" s="6">
        <v>625012.5</v>
      </c>
      <c r="G2272" s="6">
        <v>40224.0</v>
      </c>
      <c r="H2272" s="6">
        <v>755268.0</v>
      </c>
    </row>
    <row r="2273" ht="15.75" customHeight="1">
      <c r="A2273" s="4">
        <v>2270.0</v>
      </c>
      <c r="B2273" s="4" t="s">
        <v>4560</v>
      </c>
      <c r="C2273" s="4" t="s">
        <v>4561</v>
      </c>
      <c r="D2273" s="4" t="s">
        <v>27</v>
      </c>
      <c r="E2273" s="6">
        <v>91205.0</v>
      </c>
      <c r="F2273" s="6">
        <v>153145.0</v>
      </c>
      <c r="G2273" s="6">
        <v>0.0</v>
      </c>
      <c r="H2273" s="6">
        <v>268785.0</v>
      </c>
    </row>
    <row r="2274" ht="15.75" customHeight="1">
      <c r="A2274" s="9">
        <v>2271.0</v>
      </c>
      <c r="B2274" s="9" t="s">
        <v>4562</v>
      </c>
      <c r="C2274" s="10" t="s">
        <v>4563</v>
      </c>
      <c r="D2274" s="9"/>
      <c r="E2274" s="11"/>
      <c r="F2274" s="11"/>
      <c r="G2274" s="11"/>
      <c r="H2274" s="11"/>
    </row>
    <row r="2275" ht="15.75" customHeight="1">
      <c r="A2275" s="4">
        <v>2272.0</v>
      </c>
      <c r="B2275" s="4" t="s">
        <v>4564</v>
      </c>
      <c r="C2275" s="4" t="s">
        <v>4565</v>
      </c>
      <c r="D2275" s="4" t="s">
        <v>27</v>
      </c>
      <c r="E2275" s="6">
        <v>0.0</v>
      </c>
      <c r="F2275" s="6">
        <v>0.0</v>
      </c>
      <c r="G2275" s="6">
        <v>0.0</v>
      </c>
      <c r="H2275" s="6">
        <v>124192.0</v>
      </c>
    </row>
    <row r="2276" ht="15.75" customHeight="1">
      <c r="A2276" s="4">
        <v>2273.0</v>
      </c>
      <c r="B2276" s="4" t="s">
        <v>4566</v>
      </c>
      <c r="C2276" s="4" t="s">
        <v>4567</v>
      </c>
      <c r="D2276" s="4" t="s">
        <v>27</v>
      </c>
      <c r="E2276" s="6">
        <v>0.0</v>
      </c>
      <c r="F2276" s="6">
        <v>0.0</v>
      </c>
      <c r="G2276" s="6">
        <v>0.0</v>
      </c>
      <c r="H2276" s="6">
        <v>151919.0</v>
      </c>
    </row>
    <row r="2277" ht="15.75" customHeight="1">
      <c r="A2277" s="4">
        <v>2274.0</v>
      </c>
      <c r="B2277" s="4" t="s">
        <v>4568</v>
      </c>
      <c r="C2277" s="4" t="s">
        <v>4569</v>
      </c>
      <c r="D2277" s="4" t="s">
        <v>27</v>
      </c>
      <c r="E2277" s="6">
        <v>0.0</v>
      </c>
      <c r="F2277" s="6">
        <v>0.0</v>
      </c>
      <c r="G2277" s="6">
        <v>0.0</v>
      </c>
      <c r="H2277" s="6">
        <v>162309.0</v>
      </c>
    </row>
    <row r="2278" ht="15.75" customHeight="1">
      <c r="A2278" s="4">
        <v>2275.0</v>
      </c>
      <c r="B2278" s="4" t="s">
        <v>4570</v>
      </c>
      <c r="C2278" s="4" t="s">
        <v>4571</v>
      </c>
      <c r="D2278" s="4" t="s">
        <v>27</v>
      </c>
      <c r="E2278" s="6">
        <v>0.0</v>
      </c>
      <c r="F2278" s="6">
        <v>0.0</v>
      </c>
      <c r="G2278" s="6">
        <v>0.0</v>
      </c>
      <c r="H2278" s="6">
        <v>210202.0</v>
      </c>
    </row>
    <row r="2279" ht="15.75" customHeight="1">
      <c r="A2279" s="4">
        <v>2276.0</v>
      </c>
      <c r="B2279" s="4" t="s">
        <v>4572</v>
      </c>
      <c r="C2279" s="4" t="s">
        <v>4573</v>
      </c>
      <c r="D2279" s="4" t="s">
        <v>27</v>
      </c>
      <c r="E2279" s="6">
        <v>0.0</v>
      </c>
      <c r="F2279" s="6">
        <v>0.0</v>
      </c>
      <c r="G2279" s="6">
        <v>0.0</v>
      </c>
      <c r="H2279" s="6">
        <v>432014.0</v>
      </c>
    </row>
    <row r="2280" ht="15.75" customHeight="1">
      <c r="A2280" s="4">
        <v>2277.0</v>
      </c>
      <c r="B2280" s="4" t="s">
        <v>4574</v>
      </c>
      <c r="C2280" s="4" t="s">
        <v>4575</v>
      </c>
      <c r="D2280" s="4" t="s">
        <v>27</v>
      </c>
      <c r="E2280" s="6">
        <v>0.0</v>
      </c>
      <c r="F2280" s="6">
        <v>0.0</v>
      </c>
      <c r="G2280" s="6">
        <v>0.0</v>
      </c>
      <c r="H2280" s="6">
        <v>540611.0</v>
      </c>
    </row>
    <row r="2281" ht="15.75" customHeight="1">
      <c r="A2281" s="4">
        <v>2278.0</v>
      </c>
      <c r="B2281" s="4" t="s">
        <v>4576</v>
      </c>
      <c r="C2281" s="4" t="s">
        <v>4577</v>
      </c>
      <c r="D2281" s="4" t="s">
        <v>27</v>
      </c>
      <c r="E2281" s="6">
        <v>0.0</v>
      </c>
      <c r="F2281" s="6">
        <v>0.0</v>
      </c>
      <c r="G2281" s="6">
        <v>0.0</v>
      </c>
      <c r="H2281" s="6">
        <v>117369.0</v>
      </c>
    </row>
    <row r="2282" ht="15.75" customHeight="1">
      <c r="A2282" s="4">
        <v>2279.0</v>
      </c>
      <c r="B2282" s="4" t="s">
        <v>4578</v>
      </c>
      <c r="C2282" s="4" t="s">
        <v>4579</v>
      </c>
      <c r="D2282" s="4" t="s">
        <v>27</v>
      </c>
      <c r="E2282" s="6">
        <v>0.0</v>
      </c>
      <c r="F2282" s="6">
        <v>0.0</v>
      </c>
      <c r="G2282" s="6">
        <v>0.0</v>
      </c>
      <c r="H2282" s="6">
        <v>200806.0</v>
      </c>
    </row>
    <row r="2283" ht="15.75" customHeight="1">
      <c r="A2283" s="4">
        <v>2280.0</v>
      </c>
      <c r="B2283" s="4" t="s">
        <v>4580</v>
      </c>
      <c r="C2283" s="4" t="s">
        <v>4581</v>
      </c>
      <c r="D2283" s="4" t="s">
        <v>27</v>
      </c>
      <c r="E2283" s="6">
        <v>0.0</v>
      </c>
      <c r="F2283" s="6">
        <v>0.0</v>
      </c>
      <c r="G2283" s="6">
        <v>0.0</v>
      </c>
      <c r="H2283" s="6">
        <v>222806.0</v>
      </c>
    </row>
    <row r="2284" ht="15.75" customHeight="1">
      <c r="A2284" s="4">
        <v>2281.0</v>
      </c>
      <c r="B2284" s="4" t="s">
        <v>4582</v>
      </c>
      <c r="C2284" s="4" t="s">
        <v>4583</v>
      </c>
      <c r="D2284" s="4" t="s">
        <v>27</v>
      </c>
      <c r="E2284" s="6">
        <v>0.0</v>
      </c>
      <c r="F2284" s="6">
        <v>0.0</v>
      </c>
      <c r="G2284" s="6">
        <v>0.0</v>
      </c>
      <c r="H2284" s="6">
        <v>379631.0</v>
      </c>
    </row>
    <row r="2285" ht="15.75" customHeight="1">
      <c r="A2285" s="4">
        <v>2282.0</v>
      </c>
      <c r="B2285" s="4" t="s">
        <v>4584</v>
      </c>
      <c r="C2285" s="4" t="s">
        <v>4585</v>
      </c>
      <c r="D2285" s="4" t="s">
        <v>27</v>
      </c>
      <c r="E2285" s="6">
        <v>0.0</v>
      </c>
      <c r="F2285" s="6">
        <v>0.0</v>
      </c>
      <c r="G2285" s="6">
        <v>0.0</v>
      </c>
      <c r="H2285" s="6">
        <v>696858.0</v>
      </c>
    </row>
    <row r="2286" ht="15.75" customHeight="1">
      <c r="A2286" s="4">
        <v>2283.0</v>
      </c>
      <c r="B2286" s="4" t="s">
        <v>4586</v>
      </c>
      <c r="C2286" s="4" t="s">
        <v>4587</v>
      </c>
      <c r="D2286" s="4" t="s">
        <v>27</v>
      </c>
      <c r="E2286" s="6">
        <v>0.0</v>
      </c>
      <c r="F2286" s="6">
        <v>0.0</v>
      </c>
      <c r="G2286" s="6">
        <v>0.0</v>
      </c>
      <c r="H2286" s="6">
        <v>750885.0</v>
      </c>
    </row>
    <row r="2287" ht="15.75" customHeight="1">
      <c r="A2287" s="9">
        <v>2284.0</v>
      </c>
      <c r="B2287" s="9" t="s">
        <v>4588</v>
      </c>
      <c r="C2287" s="10" t="s">
        <v>4589</v>
      </c>
      <c r="D2287" s="9"/>
      <c r="E2287" s="11"/>
      <c r="F2287" s="11"/>
      <c r="G2287" s="11"/>
      <c r="H2287" s="11"/>
    </row>
    <row r="2288" ht="15.75" customHeight="1">
      <c r="A2288" s="9">
        <v>2285.0</v>
      </c>
      <c r="B2288" s="9" t="s">
        <v>4590</v>
      </c>
      <c r="C2288" s="10" t="s">
        <v>4591</v>
      </c>
      <c r="D2288" s="9"/>
      <c r="E2288" s="11"/>
      <c r="F2288" s="11"/>
      <c r="G2288" s="11"/>
      <c r="H2288" s="11"/>
    </row>
    <row r="2289" ht="15.75" customHeight="1">
      <c r="A2289" s="4">
        <v>2286.0</v>
      </c>
      <c r="B2289" s="4" t="s">
        <v>4592</v>
      </c>
      <c r="C2289" s="4" t="s">
        <v>4593</v>
      </c>
      <c r="D2289" s="4" t="s">
        <v>27</v>
      </c>
      <c r="E2289" s="6">
        <v>56899.5</v>
      </c>
      <c r="F2289" s="6">
        <v>935751.14</v>
      </c>
      <c r="G2289" s="6">
        <v>113245.0</v>
      </c>
      <c r="H2289" s="6">
        <v>1216485.0</v>
      </c>
    </row>
    <row r="2290" ht="15.75" customHeight="1">
      <c r="A2290" s="4">
        <v>2287.0</v>
      </c>
      <c r="B2290" s="4" t="s">
        <v>4594</v>
      </c>
      <c r="C2290" s="4" t="s">
        <v>4595</v>
      </c>
      <c r="D2290" s="4" t="s">
        <v>27</v>
      </c>
      <c r="E2290" s="6">
        <v>59645.5</v>
      </c>
      <c r="F2290" s="6">
        <v>1213025.3</v>
      </c>
      <c r="G2290" s="6">
        <v>339155.0</v>
      </c>
      <c r="H2290" s="6">
        <v>1773008.0</v>
      </c>
    </row>
    <row r="2291" ht="15.75" customHeight="1">
      <c r="A2291" s="4">
        <v>2288.0</v>
      </c>
      <c r="B2291" s="4" t="s">
        <v>4596</v>
      </c>
      <c r="C2291" s="4" t="s">
        <v>4597</v>
      </c>
      <c r="D2291" s="4" t="s">
        <v>27</v>
      </c>
      <c r="E2291" s="6">
        <v>64358.0</v>
      </c>
      <c r="F2291" s="6">
        <v>1613511.82</v>
      </c>
      <c r="G2291" s="6">
        <v>365980.0</v>
      </c>
      <c r="H2291" s="6">
        <v>2248234.0</v>
      </c>
    </row>
    <row r="2292" ht="15.75" customHeight="1">
      <c r="A2292" s="4">
        <v>2289.0</v>
      </c>
      <c r="B2292" s="4" t="s">
        <v>4598</v>
      </c>
      <c r="C2292" s="4" t="s">
        <v>4599</v>
      </c>
      <c r="D2292" s="4" t="s">
        <v>27</v>
      </c>
      <c r="E2292" s="6">
        <v>118388.0</v>
      </c>
      <c r="F2292" s="6">
        <v>2698272.5</v>
      </c>
      <c r="G2292" s="6">
        <v>470380.0000000001</v>
      </c>
      <c r="H2292" s="6">
        <v>3615744.0</v>
      </c>
    </row>
    <row r="2293" ht="15.75" customHeight="1">
      <c r="A2293" s="4">
        <v>2290.0</v>
      </c>
      <c r="B2293" s="4" t="s">
        <v>4600</v>
      </c>
      <c r="C2293" s="4" t="s">
        <v>4601</v>
      </c>
      <c r="D2293" s="4" t="s">
        <v>27</v>
      </c>
      <c r="E2293" s="6">
        <v>167900.0</v>
      </c>
      <c r="F2293" s="6">
        <v>3212396.1</v>
      </c>
      <c r="G2293" s="6">
        <v>667000.0</v>
      </c>
      <c r="H2293" s="6">
        <v>4452025.0</v>
      </c>
    </row>
    <row r="2294" ht="15.75" customHeight="1">
      <c r="A2294" s="4">
        <v>2291.0</v>
      </c>
      <c r="B2294" s="4" t="s">
        <v>4602</v>
      </c>
      <c r="C2294" s="4" t="s">
        <v>4603</v>
      </c>
      <c r="D2294" s="4" t="s">
        <v>27</v>
      </c>
      <c r="E2294" s="6">
        <v>0.0</v>
      </c>
      <c r="F2294" s="6">
        <v>0.0</v>
      </c>
      <c r="G2294" s="6">
        <v>0.0</v>
      </c>
      <c r="H2294" s="6">
        <v>5209175.0</v>
      </c>
    </row>
    <row r="2295" ht="15.75" customHeight="1">
      <c r="A2295" s="4">
        <v>2292.0</v>
      </c>
      <c r="B2295" s="4" t="s">
        <v>4604</v>
      </c>
      <c r="C2295" s="4" t="s">
        <v>4605</v>
      </c>
      <c r="D2295" s="4" t="s">
        <v>27</v>
      </c>
      <c r="E2295" s="6">
        <v>359874.0</v>
      </c>
      <c r="F2295" s="6">
        <v>4212075.9</v>
      </c>
      <c r="G2295" s="6">
        <v>892040.0</v>
      </c>
      <c r="H2295" s="6">
        <v>6010388.0</v>
      </c>
    </row>
    <row r="2296" ht="15.75" customHeight="1">
      <c r="A2296" s="4">
        <v>2293.0</v>
      </c>
      <c r="B2296" s="4" t="s">
        <v>4606</v>
      </c>
      <c r="C2296" s="4" t="s">
        <v>4607</v>
      </c>
      <c r="D2296" s="4" t="s">
        <v>27</v>
      </c>
      <c r="E2296" s="6">
        <v>0.0</v>
      </c>
      <c r="F2296" s="6">
        <v>0.0</v>
      </c>
      <c r="G2296" s="6">
        <v>0.0</v>
      </c>
      <c r="H2296" s="6">
        <v>7019480.0</v>
      </c>
    </row>
    <row r="2297" ht="15.75" customHeight="1">
      <c r="A2297" s="9">
        <v>2294.0</v>
      </c>
      <c r="B2297" s="9" t="s">
        <v>4608</v>
      </c>
      <c r="C2297" s="10" t="s">
        <v>4609</v>
      </c>
      <c r="D2297" s="9"/>
      <c r="E2297" s="11"/>
      <c r="F2297" s="11"/>
      <c r="G2297" s="11"/>
      <c r="H2297" s="11"/>
    </row>
    <row r="2298" ht="15.75" customHeight="1">
      <c r="A2298" s="4">
        <v>2295.0</v>
      </c>
      <c r="B2298" s="4" t="s">
        <v>4610</v>
      </c>
      <c r="C2298" s="4" t="s">
        <v>4611</v>
      </c>
      <c r="D2298" s="4" t="s">
        <v>27</v>
      </c>
      <c r="E2298" s="6">
        <v>56899.5</v>
      </c>
      <c r="F2298" s="6">
        <v>924509.14</v>
      </c>
      <c r="G2298" s="6">
        <v>323495.0</v>
      </c>
      <c r="H2298" s="6">
        <v>1435394.0</v>
      </c>
    </row>
    <row r="2299" ht="15.75" customHeight="1">
      <c r="A2299" s="4">
        <v>2296.0</v>
      </c>
      <c r="B2299" s="4" t="s">
        <v>4612</v>
      </c>
      <c r="C2299" s="4" t="s">
        <v>4613</v>
      </c>
      <c r="D2299" s="4" t="s">
        <v>27</v>
      </c>
      <c r="E2299" s="6">
        <v>59645.5</v>
      </c>
      <c r="F2299" s="6">
        <v>1199935.3</v>
      </c>
      <c r="G2299" s="6">
        <v>339155.0</v>
      </c>
      <c r="H2299" s="6">
        <v>1758609.0</v>
      </c>
    </row>
    <row r="2300" ht="15.75" customHeight="1">
      <c r="A2300" s="4">
        <v>2297.0</v>
      </c>
      <c r="B2300" s="4" t="s">
        <v>4614</v>
      </c>
      <c r="C2300" s="4" t="s">
        <v>4615</v>
      </c>
      <c r="D2300" s="4" t="s">
        <v>27</v>
      </c>
      <c r="E2300" s="6">
        <v>64358.0</v>
      </c>
      <c r="F2300" s="6">
        <v>1213265.82</v>
      </c>
      <c r="G2300" s="6">
        <v>365980.0</v>
      </c>
      <c r="H2300" s="6">
        <v>1807964.0</v>
      </c>
    </row>
    <row r="2301" ht="15.75" customHeight="1">
      <c r="A2301" s="4">
        <v>2298.0</v>
      </c>
      <c r="B2301" s="4" t="s">
        <v>4616</v>
      </c>
      <c r="C2301" s="4" t="s">
        <v>4617</v>
      </c>
      <c r="D2301" s="4" t="s">
        <v>27</v>
      </c>
      <c r="E2301" s="6">
        <v>118388.0</v>
      </c>
      <c r="F2301" s="6">
        <v>2679022.5</v>
      </c>
      <c r="G2301" s="6">
        <v>470380.0000000001</v>
      </c>
      <c r="H2301" s="6">
        <v>3594569.0</v>
      </c>
    </row>
    <row r="2302" ht="15.75" customHeight="1">
      <c r="A2302" s="4">
        <v>2299.0</v>
      </c>
      <c r="B2302" s="4" t="s">
        <v>4618</v>
      </c>
      <c r="C2302" s="4" t="s">
        <v>4619</v>
      </c>
      <c r="D2302" s="4" t="s">
        <v>27</v>
      </c>
      <c r="E2302" s="6">
        <v>167900.0</v>
      </c>
      <c r="F2302" s="6">
        <v>3190066.1</v>
      </c>
      <c r="G2302" s="6">
        <v>667000.0</v>
      </c>
      <c r="H2302" s="6">
        <v>4427462.0</v>
      </c>
    </row>
    <row r="2303" ht="15.75" customHeight="1">
      <c r="A2303" s="4">
        <v>2300.0</v>
      </c>
      <c r="B2303" s="4" t="s">
        <v>4620</v>
      </c>
      <c r="C2303" s="4" t="s">
        <v>4621</v>
      </c>
      <c r="D2303" s="4" t="s">
        <v>27</v>
      </c>
      <c r="E2303" s="6">
        <v>189706.5</v>
      </c>
      <c r="F2303" s="6">
        <v>3761388.18</v>
      </c>
      <c r="G2303" s="6">
        <v>753565.0000000001</v>
      </c>
      <c r="H2303" s="6">
        <v>5175125.0</v>
      </c>
    </row>
    <row r="2304" ht="15.75" customHeight="1">
      <c r="A2304" s="4">
        <v>2301.0</v>
      </c>
      <c r="B2304" s="4" t="s">
        <v>4622</v>
      </c>
      <c r="C2304" s="4" t="s">
        <v>4623</v>
      </c>
      <c r="D2304" s="4" t="s">
        <v>27</v>
      </c>
      <c r="E2304" s="6">
        <v>359874.0</v>
      </c>
      <c r="F2304" s="6">
        <v>4172805.9</v>
      </c>
      <c r="G2304" s="6">
        <v>892040.0</v>
      </c>
      <c r="H2304" s="6">
        <v>5967191.0</v>
      </c>
    </row>
    <row r="2305" ht="15.75" customHeight="1">
      <c r="A2305" s="4">
        <v>2302.0</v>
      </c>
      <c r="B2305" s="4" t="s">
        <v>4624</v>
      </c>
      <c r="C2305" s="4" t="s">
        <v>4625</v>
      </c>
      <c r="D2305" s="4" t="s">
        <v>27</v>
      </c>
      <c r="E2305" s="6">
        <v>533693.5</v>
      </c>
      <c r="F2305" s="6">
        <v>4467067.5</v>
      </c>
      <c r="G2305" s="6">
        <v>1322835.0</v>
      </c>
      <c r="H2305" s="6">
        <v>6955955.0</v>
      </c>
    </row>
    <row r="2306" ht="15.75" customHeight="1">
      <c r="A2306" s="9">
        <v>2303.0</v>
      </c>
      <c r="B2306" s="9" t="s">
        <v>4626</v>
      </c>
      <c r="C2306" s="10" t="s">
        <v>4627</v>
      </c>
      <c r="D2306" s="9"/>
      <c r="E2306" s="11"/>
      <c r="F2306" s="11"/>
      <c r="G2306" s="11"/>
      <c r="H2306" s="11"/>
    </row>
    <row r="2307" ht="15.75" customHeight="1">
      <c r="A2307" s="9">
        <v>2304.0</v>
      </c>
      <c r="B2307" s="9" t="s">
        <v>4628</v>
      </c>
      <c r="C2307" s="10" t="s">
        <v>3698</v>
      </c>
      <c r="D2307" s="9"/>
      <c r="E2307" s="11"/>
      <c r="F2307" s="11"/>
      <c r="G2307" s="11"/>
      <c r="H2307" s="11"/>
    </row>
    <row r="2308" ht="15.75" customHeight="1">
      <c r="A2308" s="9">
        <v>2305.0</v>
      </c>
      <c r="B2308" s="9" t="s">
        <v>4629</v>
      </c>
      <c r="C2308" s="10" t="s">
        <v>4630</v>
      </c>
      <c r="D2308" s="9"/>
      <c r="E2308" s="11"/>
      <c r="F2308" s="11"/>
      <c r="G2308" s="11"/>
      <c r="H2308" s="11"/>
    </row>
    <row r="2309" ht="15.75" customHeight="1">
      <c r="A2309" s="4">
        <v>2306.0</v>
      </c>
      <c r="B2309" s="4" t="s">
        <v>4631</v>
      </c>
      <c r="C2309" s="4" t="s">
        <v>4632</v>
      </c>
      <c r="D2309" s="4" t="s">
        <v>419</v>
      </c>
      <c r="E2309" s="6">
        <v>15645.0</v>
      </c>
      <c r="F2309" s="6">
        <v>15000.0</v>
      </c>
      <c r="G2309" s="6">
        <v>0.0</v>
      </c>
      <c r="H2309" s="6">
        <v>33709.0</v>
      </c>
    </row>
    <row r="2310" ht="15.75" customHeight="1">
      <c r="A2310" s="4">
        <v>2307.0</v>
      </c>
      <c r="B2310" s="4" t="s">
        <v>4633</v>
      </c>
      <c r="C2310" s="4" t="s">
        <v>4634</v>
      </c>
      <c r="D2310" s="4" t="s">
        <v>419</v>
      </c>
      <c r="E2310" s="6">
        <v>18015.0</v>
      </c>
      <c r="F2310" s="6">
        <v>29000.0</v>
      </c>
      <c r="G2310" s="6">
        <v>0.0</v>
      </c>
      <c r="H2310" s="6">
        <v>51716.0</v>
      </c>
    </row>
    <row r="2311" ht="15.75" customHeight="1">
      <c r="A2311" s="4">
        <v>2308.0</v>
      </c>
      <c r="B2311" s="4" t="s">
        <v>4635</v>
      </c>
      <c r="C2311" s="4" t="s">
        <v>4636</v>
      </c>
      <c r="D2311" s="4" t="s">
        <v>419</v>
      </c>
      <c r="E2311" s="6">
        <v>20385.0</v>
      </c>
      <c r="F2311" s="6">
        <v>40000.0</v>
      </c>
      <c r="G2311" s="6">
        <v>0.0</v>
      </c>
      <c r="H2311" s="6">
        <v>66423.0</v>
      </c>
    </row>
    <row r="2312" ht="15.75" customHeight="1">
      <c r="A2312" s="4">
        <v>2309.0</v>
      </c>
      <c r="B2312" s="4" t="s">
        <v>4637</v>
      </c>
      <c r="C2312" s="4" t="s">
        <v>4638</v>
      </c>
      <c r="D2312" s="4" t="s">
        <v>419</v>
      </c>
      <c r="E2312" s="6">
        <v>22755.0</v>
      </c>
      <c r="F2312" s="6">
        <v>64000.0</v>
      </c>
      <c r="G2312" s="6">
        <v>0.0</v>
      </c>
      <c r="H2312" s="6">
        <v>95430.0</v>
      </c>
    </row>
    <row r="2313" ht="15.75" customHeight="1">
      <c r="A2313" s="4">
        <v>2310.0</v>
      </c>
      <c r="B2313" s="4" t="s">
        <v>4639</v>
      </c>
      <c r="C2313" s="4" t="s">
        <v>4640</v>
      </c>
      <c r="D2313" s="4" t="s">
        <v>419</v>
      </c>
      <c r="E2313" s="6">
        <v>36475.0</v>
      </c>
      <c r="F2313" s="6">
        <v>140000.0</v>
      </c>
      <c r="G2313" s="6">
        <v>0.0</v>
      </c>
      <c r="H2313" s="6">
        <v>194122.0</v>
      </c>
    </row>
    <row r="2314" ht="15.75" customHeight="1">
      <c r="A2314" s="4">
        <v>2311.0</v>
      </c>
      <c r="B2314" s="4" t="s">
        <v>4641</v>
      </c>
      <c r="C2314" s="4" t="s">
        <v>4642</v>
      </c>
      <c r="D2314" s="4" t="s">
        <v>419</v>
      </c>
      <c r="E2314" s="6">
        <v>49360.0</v>
      </c>
      <c r="F2314" s="6">
        <v>288000.0</v>
      </c>
      <c r="G2314" s="6">
        <v>3672.0</v>
      </c>
      <c r="H2314" s="6">
        <v>375135.0</v>
      </c>
    </row>
    <row r="2315" ht="15.75" customHeight="1">
      <c r="A2315" s="4">
        <v>2312.0</v>
      </c>
      <c r="B2315" s="4" t="s">
        <v>4643</v>
      </c>
      <c r="C2315" s="4" t="s">
        <v>4644</v>
      </c>
      <c r="D2315" s="4" t="s">
        <v>419</v>
      </c>
      <c r="E2315" s="6">
        <v>56515.0</v>
      </c>
      <c r="F2315" s="6">
        <v>306000.0</v>
      </c>
      <c r="G2315" s="6">
        <v>4320.0</v>
      </c>
      <c r="H2315" s="6">
        <v>403518.0</v>
      </c>
    </row>
    <row r="2316" ht="15.75" customHeight="1">
      <c r="A2316" s="4">
        <v>2313.0</v>
      </c>
      <c r="B2316" s="4" t="s">
        <v>4645</v>
      </c>
      <c r="C2316" s="4" t="s">
        <v>4646</v>
      </c>
      <c r="D2316" s="4" t="s">
        <v>419</v>
      </c>
      <c r="E2316" s="6">
        <v>69144.0</v>
      </c>
      <c r="F2316" s="6">
        <v>337000.0</v>
      </c>
      <c r="G2316" s="6">
        <v>8640.0</v>
      </c>
      <c r="H2316" s="6">
        <v>456262.0</v>
      </c>
    </row>
    <row r="2317" ht="15.75" customHeight="1">
      <c r="A2317" s="4">
        <v>2314.0</v>
      </c>
      <c r="B2317" s="4" t="s">
        <v>4647</v>
      </c>
      <c r="C2317" s="4" t="s">
        <v>4648</v>
      </c>
      <c r="D2317" s="4" t="s">
        <v>419</v>
      </c>
      <c r="E2317" s="6">
        <v>128875.0</v>
      </c>
      <c r="F2317" s="6">
        <v>369000.0</v>
      </c>
      <c r="G2317" s="6">
        <v>10800.0</v>
      </c>
      <c r="H2317" s="6">
        <v>559542.0</v>
      </c>
    </row>
    <row r="2318" ht="15.75" customHeight="1">
      <c r="A2318" s="4">
        <v>2315.0</v>
      </c>
      <c r="B2318" s="4" t="s">
        <v>4649</v>
      </c>
      <c r="C2318" s="4" t="s">
        <v>4650</v>
      </c>
      <c r="D2318" s="4" t="s">
        <v>419</v>
      </c>
      <c r="E2318" s="6">
        <v>155825.0</v>
      </c>
      <c r="F2318" s="6">
        <v>399000.0</v>
      </c>
      <c r="G2318" s="6">
        <v>13176.0</v>
      </c>
      <c r="H2318" s="6">
        <v>624801.0</v>
      </c>
    </row>
    <row r="2319" ht="15.75" customHeight="1">
      <c r="A2319" s="4">
        <v>2316.0</v>
      </c>
      <c r="B2319" s="4" t="s">
        <v>4651</v>
      </c>
      <c r="C2319" s="4" t="s">
        <v>4652</v>
      </c>
      <c r="D2319" s="4" t="s">
        <v>419</v>
      </c>
      <c r="E2319" s="6">
        <v>184355.0</v>
      </c>
      <c r="F2319" s="6">
        <v>426000.0</v>
      </c>
      <c r="G2319" s="6">
        <v>15660.0</v>
      </c>
      <c r="H2319" s="6">
        <v>688616.0</v>
      </c>
    </row>
    <row r="2320" ht="15.75" customHeight="1">
      <c r="A2320" s="4">
        <v>2317.0</v>
      </c>
      <c r="B2320" s="4" t="s">
        <v>4653</v>
      </c>
      <c r="C2320" s="4" t="s">
        <v>4654</v>
      </c>
      <c r="D2320" s="4" t="s">
        <v>419</v>
      </c>
      <c r="E2320" s="6">
        <v>311505.0</v>
      </c>
      <c r="F2320" s="6">
        <v>488000.0</v>
      </c>
      <c r="G2320" s="6">
        <v>27000.0</v>
      </c>
      <c r="H2320" s="6">
        <v>909155.0</v>
      </c>
    </row>
    <row r="2321" ht="15.75" customHeight="1">
      <c r="A2321" s="4">
        <v>2318.0</v>
      </c>
      <c r="B2321" s="4" t="s">
        <v>4655</v>
      </c>
      <c r="C2321" s="4" t="s">
        <v>4656</v>
      </c>
      <c r="D2321" s="4" t="s">
        <v>419</v>
      </c>
      <c r="E2321" s="6">
        <v>325570.0</v>
      </c>
      <c r="F2321" s="6">
        <v>516000.0</v>
      </c>
      <c r="G2321" s="6">
        <v>28296.0</v>
      </c>
      <c r="H2321" s="6">
        <v>956852.0</v>
      </c>
    </row>
    <row r="2322" ht="15.75" customHeight="1">
      <c r="A2322" s="4">
        <v>2319.0</v>
      </c>
      <c r="B2322" s="4" t="s">
        <v>4657</v>
      </c>
      <c r="C2322" s="4" t="s">
        <v>4658</v>
      </c>
      <c r="D2322" s="4" t="s">
        <v>419</v>
      </c>
      <c r="E2322" s="6">
        <v>364960.0</v>
      </c>
      <c r="F2322" s="6">
        <v>548000.0</v>
      </c>
      <c r="G2322" s="6">
        <v>31752.0</v>
      </c>
      <c r="H2322" s="6">
        <v>1039183.0</v>
      </c>
    </row>
    <row r="2323" ht="15.75" customHeight="1">
      <c r="A2323" s="4">
        <v>2320.0</v>
      </c>
      <c r="B2323" s="4" t="s">
        <v>4659</v>
      </c>
      <c r="C2323" s="4" t="s">
        <v>4660</v>
      </c>
      <c r="D2323" s="4" t="s">
        <v>419</v>
      </c>
      <c r="E2323" s="6">
        <v>404150.0</v>
      </c>
      <c r="F2323" s="6">
        <v>590000.0</v>
      </c>
      <c r="G2323" s="6">
        <v>35316.0</v>
      </c>
      <c r="H2323" s="6">
        <v>1132412.0</v>
      </c>
    </row>
    <row r="2324" ht="15.75" customHeight="1">
      <c r="A2324" s="4">
        <v>2321.0</v>
      </c>
      <c r="B2324" s="4" t="s">
        <v>4661</v>
      </c>
      <c r="C2324" s="4" t="s">
        <v>4662</v>
      </c>
      <c r="D2324" s="4" t="s">
        <v>419</v>
      </c>
      <c r="E2324" s="6">
        <v>443340.0</v>
      </c>
      <c r="F2324" s="6">
        <v>618000.0</v>
      </c>
      <c r="G2324" s="6">
        <v>27972.0</v>
      </c>
      <c r="H2324" s="6">
        <v>1198243.0</v>
      </c>
    </row>
    <row r="2325" ht="15.75" customHeight="1">
      <c r="A2325" s="4">
        <v>2322.0</v>
      </c>
      <c r="B2325" s="4" t="s">
        <v>4663</v>
      </c>
      <c r="C2325" s="4" t="s">
        <v>4664</v>
      </c>
      <c r="D2325" s="4" t="s">
        <v>419</v>
      </c>
      <c r="E2325" s="6">
        <v>9970.0</v>
      </c>
      <c r="F2325" s="6">
        <v>5300.0</v>
      </c>
      <c r="G2325" s="6">
        <v>0.0</v>
      </c>
      <c r="H2325" s="6">
        <v>16797.0</v>
      </c>
    </row>
    <row r="2326" ht="15.75" customHeight="1">
      <c r="A2326" s="4">
        <v>2323.0</v>
      </c>
      <c r="B2326" s="4" t="s">
        <v>4665</v>
      </c>
      <c r="C2326" s="4" t="s">
        <v>4666</v>
      </c>
      <c r="D2326" s="4" t="s">
        <v>419</v>
      </c>
      <c r="E2326" s="6">
        <v>9970.0</v>
      </c>
      <c r="F2326" s="6">
        <v>7600.0</v>
      </c>
      <c r="G2326" s="6">
        <v>0.0</v>
      </c>
      <c r="H2326" s="6">
        <v>19327.0</v>
      </c>
    </row>
    <row r="2327" ht="15.75" customHeight="1">
      <c r="A2327" s="4">
        <v>2324.0</v>
      </c>
      <c r="B2327" s="4" t="s">
        <v>4667</v>
      </c>
      <c r="C2327" s="4" t="s">
        <v>4668</v>
      </c>
      <c r="D2327" s="4" t="s">
        <v>419</v>
      </c>
      <c r="E2327" s="6">
        <v>12685.0</v>
      </c>
      <c r="F2327" s="6">
        <v>8400.0</v>
      </c>
      <c r="G2327" s="6">
        <v>0.0</v>
      </c>
      <c r="H2327" s="6">
        <v>23193.0</v>
      </c>
    </row>
    <row r="2328" ht="15.75" customHeight="1">
      <c r="A2328" s="4">
        <v>2325.0</v>
      </c>
      <c r="B2328" s="4" t="s">
        <v>4669</v>
      </c>
      <c r="C2328" s="4" t="s">
        <v>4670</v>
      </c>
      <c r="D2328" s="4" t="s">
        <v>419</v>
      </c>
      <c r="E2328" s="6">
        <v>12685.0</v>
      </c>
      <c r="F2328" s="6">
        <v>10000.0</v>
      </c>
      <c r="G2328" s="6">
        <v>0.0</v>
      </c>
      <c r="H2328" s="6">
        <v>24953.0</v>
      </c>
    </row>
    <row r="2329" ht="15.75" customHeight="1">
      <c r="A2329" s="4">
        <v>2326.0</v>
      </c>
      <c r="B2329" s="4" t="s">
        <v>4671</v>
      </c>
      <c r="C2329" s="4" t="s">
        <v>4672</v>
      </c>
      <c r="D2329" s="4" t="s">
        <v>419</v>
      </c>
      <c r="E2329" s="6">
        <v>12685.0</v>
      </c>
      <c r="F2329" s="6">
        <v>10600.0</v>
      </c>
      <c r="G2329" s="6">
        <v>0.0</v>
      </c>
      <c r="H2329" s="6">
        <v>25613.0</v>
      </c>
    </row>
    <row r="2330" ht="15.75" customHeight="1">
      <c r="A2330" s="4">
        <v>2327.0</v>
      </c>
      <c r="B2330" s="4" t="s">
        <v>4673</v>
      </c>
      <c r="C2330" s="4" t="s">
        <v>4674</v>
      </c>
      <c r="D2330" s="4" t="s">
        <v>419</v>
      </c>
      <c r="E2330" s="6">
        <v>15645.0</v>
      </c>
      <c r="F2330" s="6">
        <v>13800.0</v>
      </c>
      <c r="G2330" s="6">
        <v>0.0</v>
      </c>
      <c r="H2330" s="6">
        <v>32389.0</v>
      </c>
    </row>
    <row r="2331" ht="15.75" customHeight="1">
      <c r="A2331" s="9">
        <v>2328.0</v>
      </c>
      <c r="B2331" s="9" t="s">
        <v>4675</v>
      </c>
      <c r="C2331" s="10" t="s">
        <v>4676</v>
      </c>
      <c r="D2331" s="9"/>
      <c r="E2331" s="11"/>
      <c r="F2331" s="11"/>
      <c r="G2331" s="11"/>
      <c r="H2331" s="11"/>
    </row>
    <row r="2332" ht="15.75" customHeight="1">
      <c r="A2332" s="4">
        <v>2329.0</v>
      </c>
      <c r="B2332" s="4" t="s">
        <v>4677</v>
      </c>
      <c r="C2332" s="4" t="s">
        <v>4678</v>
      </c>
      <c r="D2332" s="4" t="s">
        <v>43</v>
      </c>
      <c r="E2332" s="6">
        <v>890.0</v>
      </c>
      <c r="F2332" s="6">
        <v>0.0</v>
      </c>
      <c r="G2332" s="6">
        <v>105.0</v>
      </c>
      <c r="H2332" s="6">
        <v>1094.0</v>
      </c>
    </row>
    <row r="2333" ht="15.75" customHeight="1">
      <c r="A2333" s="4">
        <v>2330.0</v>
      </c>
      <c r="B2333" s="4" t="s">
        <v>4679</v>
      </c>
      <c r="C2333" s="4" t="s">
        <v>4680</v>
      </c>
      <c r="D2333" s="4" t="s">
        <v>43</v>
      </c>
      <c r="E2333" s="6">
        <v>2615.0</v>
      </c>
      <c r="F2333" s="6">
        <v>0.0</v>
      </c>
      <c r="G2333" s="6">
        <v>105.0</v>
      </c>
      <c r="H2333" s="6">
        <v>2992.0</v>
      </c>
    </row>
    <row r="2334" ht="15.75" customHeight="1">
      <c r="A2334" s="4">
        <v>2331.0</v>
      </c>
      <c r="B2334" s="4" t="s">
        <v>4681</v>
      </c>
      <c r="C2334" s="4" t="s">
        <v>4682</v>
      </c>
      <c r="D2334" s="4" t="s">
        <v>43</v>
      </c>
      <c r="E2334" s="6">
        <v>4195.0</v>
      </c>
      <c r="F2334" s="6">
        <v>0.0</v>
      </c>
      <c r="G2334" s="6">
        <v>105.0</v>
      </c>
      <c r="H2334" s="6">
        <v>4730.0</v>
      </c>
    </row>
    <row r="2335" ht="15.75" customHeight="1">
      <c r="A2335" s="4">
        <v>2332.0</v>
      </c>
      <c r="B2335" s="4" t="s">
        <v>4683</v>
      </c>
      <c r="C2335" s="4" t="s">
        <v>4684</v>
      </c>
      <c r="D2335" s="4" t="s">
        <v>43</v>
      </c>
      <c r="E2335" s="6">
        <v>5875.0</v>
      </c>
      <c r="F2335" s="6">
        <v>0.0</v>
      </c>
      <c r="G2335" s="6">
        <v>105.0</v>
      </c>
      <c r="H2335" s="6">
        <v>6578.0</v>
      </c>
    </row>
    <row r="2336" ht="15.75" customHeight="1">
      <c r="A2336" s="4">
        <v>2333.0</v>
      </c>
      <c r="B2336" s="4" t="s">
        <v>4685</v>
      </c>
      <c r="C2336" s="4" t="s">
        <v>4686</v>
      </c>
      <c r="D2336" s="4" t="s">
        <v>43</v>
      </c>
      <c r="E2336" s="6">
        <v>15500.0</v>
      </c>
      <c r="F2336" s="6">
        <v>0.0</v>
      </c>
      <c r="G2336" s="6">
        <v>595.0</v>
      </c>
      <c r="H2336" s="6">
        <v>17704.0</v>
      </c>
    </row>
    <row r="2337" ht="15.75" customHeight="1">
      <c r="A2337" s="4">
        <v>2334.0</v>
      </c>
      <c r="B2337" s="4" t="s">
        <v>4687</v>
      </c>
      <c r="C2337" s="4" t="s">
        <v>4688</v>
      </c>
      <c r="D2337" s="4" t="s">
        <v>43</v>
      </c>
      <c r="E2337" s="6">
        <v>24680.0</v>
      </c>
      <c r="F2337" s="6">
        <v>0.0</v>
      </c>
      <c r="G2337" s="6">
        <v>1050.0</v>
      </c>
      <c r="H2337" s="6">
        <v>28303.0</v>
      </c>
    </row>
    <row r="2338" ht="15.75" customHeight="1">
      <c r="A2338" s="4">
        <v>2335.0</v>
      </c>
      <c r="B2338" s="4" t="s">
        <v>4689</v>
      </c>
      <c r="C2338" s="4" t="s">
        <v>4690</v>
      </c>
      <c r="D2338" s="4" t="s">
        <v>43</v>
      </c>
      <c r="E2338" s="6">
        <v>29665.0</v>
      </c>
      <c r="F2338" s="6">
        <v>0.0</v>
      </c>
      <c r="G2338" s="6">
        <v>1295.0</v>
      </c>
      <c r="H2338" s="6">
        <v>34056.0</v>
      </c>
    </row>
    <row r="2339" ht="15.75" customHeight="1">
      <c r="A2339" s="4">
        <v>2336.0</v>
      </c>
      <c r="B2339" s="4" t="s">
        <v>4691</v>
      </c>
      <c r="C2339" s="4" t="s">
        <v>4692</v>
      </c>
      <c r="D2339" s="4" t="s">
        <v>43</v>
      </c>
      <c r="E2339" s="6">
        <v>63770.0</v>
      </c>
      <c r="F2339" s="6">
        <v>0.0</v>
      </c>
      <c r="G2339" s="6">
        <v>1680.0</v>
      </c>
      <c r="H2339" s="6">
        <v>71995.0</v>
      </c>
    </row>
    <row r="2340" ht="15.75" customHeight="1">
      <c r="A2340" s="4">
        <v>2337.0</v>
      </c>
      <c r="B2340" s="4" t="s">
        <v>4693</v>
      </c>
      <c r="C2340" s="4" t="s">
        <v>4694</v>
      </c>
      <c r="D2340" s="4" t="s">
        <v>43</v>
      </c>
      <c r="E2340" s="6">
        <v>80850.0</v>
      </c>
      <c r="F2340" s="6">
        <v>0.0</v>
      </c>
      <c r="G2340" s="6">
        <v>1890.0</v>
      </c>
      <c r="H2340" s="6">
        <v>91014.0</v>
      </c>
    </row>
    <row r="2341" ht="15.75" customHeight="1">
      <c r="A2341" s="4">
        <v>2338.0</v>
      </c>
      <c r="B2341" s="4" t="s">
        <v>4695</v>
      </c>
      <c r="C2341" s="4" t="s">
        <v>4696</v>
      </c>
      <c r="D2341" s="4" t="s">
        <v>43</v>
      </c>
      <c r="E2341" s="6">
        <v>99755.0</v>
      </c>
      <c r="F2341" s="6">
        <v>0.0</v>
      </c>
      <c r="G2341" s="6">
        <v>2415.0</v>
      </c>
      <c r="H2341" s="6">
        <v>112387.0</v>
      </c>
    </row>
    <row r="2342" ht="15.75" customHeight="1">
      <c r="A2342" s="4">
        <v>2339.0</v>
      </c>
      <c r="B2342" s="4" t="s">
        <v>4697</v>
      </c>
      <c r="C2342" s="4" t="s">
        <v>4698</v>
      </c>
      <c r="D2342" s="4" t="s">
        <v>43</v>
      </c>
      <c r="E2342" s="6">
        <v>119795.0</v>
      </c>
      <c r="F2342" s="6">
        <v>0.0</v>
      </c>
      <c r="G2342" s="6">
        <v>3010.0</v>
      </c>
      <c r="H2342" s="6">
        <v>135085.0</v>
      </c>
    </row>
    <row r="2343" ht="15.75" customHeight="1">
      <c r="A2343" s="4">
        <v>2340.0</v>
      </c>
      <c r="B2343" s="4" t="s">
        <v>4699</v>
      </c>
      <c r="C2343" s="4" t="s">
        <v>4700</v>
      </c>
      <c r="D2343" s="4" t="s">
        <v>43</v>
      </c>
      <c r="E2343" s="6">
        <v>209725.0</v>
      </c>
      <c r="F2343" s="6">
        <v>0.0</v>
      </c>
      <c r="G2343" s="6">
        <v>5600.0</v>
      </c>
      <c r="H2343" s="6">
        <v>236857.0</v>
      </c>
    </row>
    <row r="2344" ht="15.75" customHeight="1">
      <c r="A2344" s="4">
        <v>2341.0</v>
      </c>
      <c r="B2344" s="4" t="s">
        <v>4701</v>
      </c>
      <c r="C2344" s="4" t="s">
        <v>4702</v>
      </c>
      <c r="D2344" s="4" t="s">
        <v>43</v>
      </c>
      <c r="E2344" s="6">
        <v>219695.0</v>
      </c>
      <c r="F2344" s="6">
        <v>0.0</v>
      </c>
      <c r="G2344" s="6">
        <v>5880.0</v>
      </c>
      <c r="H2344" s="6">
        <v>248132.0</v>
      </c>
    </row>
    <row r="2345" ht="15.75" customHeight="1">
      <c r="A2345" s="4">
        <v>2342.0</v>
      </c>
      <c r="B2345" s="4" t="s">
        <v>4703</v>
      </c>
      <c r="C2345" s="4" t="s">
        <v>4704</v>
      </c>
      <c r="D2345" s="4" t="s">
        <v>43</v>
      </c>
      <c r="E2345" s="6">
        <v>247535.0</v>
      </c>
      <c r="F2345" s="6">
        <v>0.0</v>
      </c>
      <c r="G2345" s="6">
        <v>6685.0</v>
      </c>
      <c r="H2345" s="6">
        <v>279642.0</v>
      </c>
    </row>
    <row r="2346" ht="15.75" customHeight="1">
      <c r="A2346" s="4">
        <v>2343.0</v>
      </c>
      <c r="B2346" s="4" t="s">
        <v>4705</v>
      </c>
      <c r="C2346" s="4" t="s">
        <v>4706</v>
      </c>
      <c r="D2346" s="4" t="s">
        <v>43</v>
      </c>
      <c r="E2346" s="6">
        <v>275175.0</v>
      </c>
      <c r="F2346" s="6">
        <v>0.0</v>
      </c>
      <c r="G2346" s="6">
        <v>7455.0</v>
      </c>
      <c r="H2346" s="6">
        <v>310893.0</v>
      </c>
    </row>
    <row r="2347" ht="15.75" customHeight="1">
      <c r="A2347" s="4">
        <v>2344.0</v>
      </c>
      <c r="B2347" s="4" t="s">
        <v>4707</v>
      </c>
      <c r="C2347" s="4" t="s">
        <v>4708</v>
      </c>
      <c r="D2347" s="4" t="s">
        <v>43</v>
      </c>
      <c r="E2347" s="6">
        <v>302815.0</v>
      </c>
      <c r="F2347" s="6">
        <v>0.0</v>
      </c>
      <c r="G2347" s="6">
        <v>8260.0</v>
      </c>
      <c r="H2347" s="6">
        <v>342182.0</v>
      </c>
    </row>
    <row r="2348" ht="15.75" customHeight="1">
      <c r="A2348" s="9">
        <v>2345.0</v>
      </c>
      <c r="B2348" s="9" t="s">
        <v>4709</v>
      </c>
      <c r="C2348" s="10" t="s">
        <v>3758</v>
      </c>
      <c r="D2348" s="9"/>
      <c r="E2348" s="11"/>
      <c r="F2348" s="11"/>
      <c r="G2348" s="11"/>
      <c r="H2348" s="11"/>
    </row>
    <row r="2349" ht="15.75" customHeight="1">
      <c r="A2349" s="9">
        <v>2346.0</v>
      </c>
      <c r="B2349" s="9" t="s">
        <v>4710</v>
      </c>
      <c r="C2349" s="10" t="s">
        <v>4711</v>
      </c>
      <c r="D2349" s="9"/>
      <c r="E2349" s="11"/>
      <c r="F2349" s="11"/>
      <c r="G2349" s="11"/>
      <c r="H2349" s="11"/>
    </row>
    <row r="2350" ht="15.75" customHeight="1">
      <c r="A2350" s="4">
        <v>2347.0</v>
      </c>
      <c r="B2350" s="4" t="s">
        <v>4712</v>
      </c>
      <c r="C2350" s="4" t="s">
        <v>4713</v>
      </c>
      <c r="D2350" s="4" t="s">
        <v>419</v>
      </c>
      <c r="E2350" s="6">
        <v>66240.0</v>
      </c>
      <c r="F2350" s="6">
        <v>185000.0</v>
      </c>
      <c r="G2350" s="6">
        <v>2052.0</v>
      </c>
      <c r="H2350" s="6">
        <v>278621.0</v>
      </c>
    </row>
    <row r="2351" ht="15.75" customHeight="1">
      <c r="A2351" s="4">
        <v>2348.0</v>
      </c>
      <c r="B2351" s="4" t="s">
        <v>4714</v>
      </c>
      <c r="C2351" s="4" t="s">
        <v>4715</v>
      </c>
      <c r="D2351" s="4" t="s">
        <v>419</v>
      </c>
      <c r="E2351" s="6">
        <v>77000.0</v>
      </c>
      <c r="F2351" s="6">
        <v>310000.0</v>
      </c>
      <c r="G2351" s="6">
        <v>2052.0</v>
      </c>
      <c r="H2351" s="6">
        <v>427957.0</v>
      </c>
    </row>
    <row r="2352" ht="15.75" customHeight="1">
      <c r="A2352" s="4">
        <v>2349.0</v>
      </c>
      <c r="B2352" s="4" t="s">
        <v>4716</v>
      </c>
      <c r="C2352" s="4" t="s">
        <v>4717</v>
      </c>
      <c r="D2352" s="4" t="s">
        <v>419</v>
      </c>
      <c r="E2352" s="6">
        <v>86280.0</v>
      </c>
      <c r="F2352" s="6">
        <v>436000.0</v>
      </c>
      <c r="G2352" s="6">
        <v>2052.0</v>
      </c>
      <c r="H2352" s="6">
        <v>576765.0</v>
      </c>
    </row>
    <row r="2353" ht="15.75" customHeight="1">
      <c r="A2353" s="4">
        <v>2350.0</v>
      </c>
      <c r="B2353" s="4" t="s">
        <v>4718</v>
      </c>
      <c r="C2353" s="4" t="s">
        <v>4719</v>
      </c>
      <c r="D2353" s="4" t="s">
        <v>419</v>
      </c>
      <c r="E2353" s="6">
        <v>97485.0</v>
      </c>
      <c r="F2353" s="6">
        <v>396000.0</v>
      </c>
      <c r="G2353" s="6">
        <v>2052.0</v>
      </c>
      <c r="H2353" s="6">
        <v>545090.0</v>
      </c>
    </row>
    <row r="2354" ht="15.75" customHeight="1">
      <c r="A2354" s="4">
        <v>2351.0</v>
      </c>
      <c r="B2354" s="4" t="s">
        <v>4720</v>
      </c>
      <c r="C2354" s="4" t="s">
        <v>4721</v>
      </c>
      <c r="D2354" s="4" t="s">
        <v>419</v>
      </c>
      <c r="E2354" s="6">
        <v>153310.0</v>
      </c>
      <c r="F2354" s="6">
        <v>418000.0</v>
      </c>
      <c r="G2354" s="6">
        <v>2052.0</v>
      </c>
      <c r="H2354" s="6">
        <v>630698.0</v>
      </c>
    </row>
    <row r="2355" ht="15.75" customHeight="1">
      <c r="A2355" s="4">
        <v>2352.0</v>
      </c>
      <c r="B2355" s="4" t="s">
        <v>4722</v>
      </c>
      <c r="C2355" s="4" t="s">
        <v>4723</v>
      </c>
      <c r="D2355" s="4" t="s">
        <v>419</v>
      </c>
      <c r="E2355" s="6">
        <v>182775.0</v>
      </c>
      <c r="F2355" s="6">
        <v>468000.0</v>
      </c>
      <c r="G2355" s="6">
        <v>4536.0</v>
      </c>
      <c r="H2355" s="6">
        <v>720842.0</v>
      </c>
    </row>
    <row r="2356" ht="15.75" customHeight="1">
      <c r="A2356" s="4">
        <v>2353.0</v>
      </c>
      <c r="B2356" s="4" t="s">
        <v>4724</v>
      </c>
      <c r="C2356" s="4" t="s">
        <v>4725</v>
      </c>
      <c r="D2356" s="4" t="s">
        <v>419</v>
      </c>
      <c r="E2356" s="6">
        <v>184455.0</v>
      </c>
      <c r="F2356" s="6">
        <v>513000.0</v>
      </c>
      <c r="G2356" s="6">
        <v>7020.0</v>
      </c>
      <c r="H2356" s="6">
        <v>774922.0</v>
      </c>
    </row>
    <row r="2357" ht="15.75" customHeight="1">
      <c r="A2357" s="4">
        <v>2354.0</v>
      </c>
      <c r="B2357" s="4" t="s">
        <v>4726</v>
      </c>
      <c r="C2357" s="4" t="s">
        <v>4727</v>
      </c>
      <c r="D2357" s="4" t="s">
        <v>419</v>
      </c>
      <c r="E2357" s="6">
        <v>233270.0</v>
      </c>
      <c r="F2357" s="6">
        <v>594000.0</v>
      </c>
      <c r="G2357" s="6">
        <v>16416.0</v>
      </c>
      <c r="H2357" s="6">
        <v>928054.0</v>
      </c>
    </row>
    <row r="2358" ht="15.75" customHeight="1">
      <c r="A2358" s="4">
        <v>2355.0</v>
      </c>
      <c r="B2358" s="4" t="s">
        <v>4728</v>
      </c>
      <c r="C2358" s="4" t="s">
        <v>4729</v>
      </c>
      <c r="D2358" s="4" t="s">
        <v>419</v>
      </c>
      <c r="E2358" s="6">
        <v>260320.0</v>
      </c>
      <c r="F2358" s="6">
        <v>61300.0</v>
      </c>
      <c r="G2358" s="6">
        <v>21600.0</v>
      </c>
      <c r="H2358" s="6">
        <v>377542.0</v>
      </c>
    </row>
    <row r="2359" ht="15.75" customHeight="1">
      <c r="A2359" s="4">
        <v>2356.0</v>
      </c>
      <c r="B2359" s="4" t="s">
        <v>4730</v>
      </c>
      <c r="C2359" s="4" t="s">
        <v>4731</v>
      </c>
      <c r="D2359" s="4" t="s">
        <v>419</v>
      </c>
      <c r="E2359" s="6">
        <v>282875.0</v>
      </c>
      <c r="F2359" s="6">
        <v>656000.0</v>
      </c>
      <c r="G2359" s="6">
        <v>27108.0</v>
      </c>
      <c r="H2359" s="6">
        <v>1062581.0</v>
      </c>
    </row>
    <row r="2360" ht="15.75" customHeight="1">
      <c r="A2360" s="4">
        <v>2357.0</v>
      </c>
      <c r="B2360" s="4" t="s">
        <v>4732</v>
      </c>
      <c r="C2360" s="4" t="s">
        <v>4733</v>
      </c>
      <c r="D2360" s="4" t="s">
        <v>419</v>
      </c>
      <c r="E2360" s="6">
        <v>255580.0</v>
      </c>
      <c r="F2360" s="6">
        <v>698000.0</v>
      </c>
      <c r="G2360" s="6">
        <v>33156.0</v>
      </c>
      <c r="H2360" s="6">
        <v>1085409.0</v>
      </c>
    </row>
    <row r="2361" ht="15.75" customHeight="1">
      <c r="A2361" s="4">
        <v>2358.0</v>
      </c>
      <c r="B2361" s="4" t="s">
        <v>4734</v>
      </c>
      <c r="C2361" s="4" t="s">
        <v>4735</v>
      </c>
      <c r="D2361" s="4" t="s">
        <v>419</v>
      </c>
      <c r="E2361" s="6">
        <v>447935.0</v>
      </c>
      <c r="F2361" s="6">
        <v>716000.0</v>
      </c>
      <c r="G2361" s="6">
        <v>61883.99999999999</v>
      </c>
      <c r="H2361" s="6">
        <v>1348400.0</v>
      </c>
    </row>
    <row r="2362" ht="15.75" customHeight="1">
      <c r="A2362" s="4">
        <v>2359.0</v>
      </c>
      <c r="B2362" s="4" t="s">
        <v>4736</v>
      </c>
      <c r="C2362" s="4" t="s">
        <v>4737</v>
      </c>
      <c r="D2362" s="4" t="s">
        <v>419</v>
      </c>
      <c r="E2362" s="6">
        <v>504940.0</v>
      </c>
      <c r="F2362" s="6">
        <v>757000.0</v>
      </c>
      <c r="G2362" s="6">
        <v>95364.0</v>
      </c>
      <c r="H2362" s="6">
        <v>1493034.0</v>
      </c>
    </row>
    <row r="2363" ht="15.75" customHeight="1">
      <c r="A2363" s="4">
        <v>2360.0</v>
      </c>
      <c r="B2363" s="4" t="s">
        <v>4738</v>
      </c>
      <c r="C2363" s="4" t="s">
        <v>4739</v>
      </c>
      <c r="D2363" s="4" t="s">
        <v>419</v>
      </c>
      <c r="E2363" s="6">
        <v>560420.0</v>
      </c>
      <c r="F2363" s="6">
        <v>780000.0</v>
      </c>
      <c r="G2363" s="6">
        <v>118044.0</v>
      </c>
      <c r="H2363" s="6">
        <v>1604310.0</v>
      </c>
    </row>
    <row r="2364" ht="15.75" customHeight="1">
      <c r="A2364" s="4">
        <v>2361.0</v>
      </c>
      <c r="B2364" s="4" t="s">
        <v>4740</v>
      </c>
      <c r="C2364" s="4" t="s">
        <v>4741</v>
      </c>
      <c r="D2364" s="4" t="s">
        <v>419</v>
      </c>
      <c r="E2364" s="6">
        <v>616000.0</v>
      </c>
      <c r="F2364" s="6">
        <v>831000.0</v>
      </c>
      <c r="G2364" s="6">
        <v>130140.0</v>
      </c>
      <c r="H2364" s="6">
        <v>1734854.0</v>
      </c>
    </row>
    <row r="2365" ht="15.75" customHeight="1">
      <c r="A2365" s="4">
        <v>2362.0</v>
      </c>
      <c r="B2365" s="4" t="s">
        <v>4742</v>
      </c>
      <c r="C2365" s="4" t="s">
        <v>4743</v>
      </c>
      <c r="D2365" s="4" t="s">
        <v>419</v>
      </c>
      <c r="E2365" s="6">
        <v>671480.0</v>
      </c>
      <c r="F2365" s="6">
        <v>868000.0</v>
      </c>
      <c r="G2365" s="6">
        <v>171072.0</v>
      </c>
      <c r="H2365" s="6">
        <v>1881607.0</v>
      </c>
    </row>
    <row r="2366" ht="15.75" customHeight="1">
      <c r="A2366" s="4">
        <v>2363.0</v>
      </c>
      <c r="B2366" s="4" t="s">
        <v>4744</v>
      </c>
      <c r="C2366" s="4" t="s">
        <v>4745</v>
      </c>
      <c r="D2366" s="4" t="s">
        <v>419</v>
      </c>
      <c r="E2366" s="6">
        <v>42350.0</v>
      </c>
      <c r="F2366" s="6">
        <v>52000.0</v>
      </c>
      <c r="G2366" s="6">
        <v>0.0</v>
      </c>
      <c r="H2366" s="6">
        <v>103785.0</v>
      </c>
    </row>
    <row r="2367" ht="15.75" customHeight="1">
      <c r="A2367" s="4">
        <v>2364.0</v>
      </c>
      <c r="B2367" s="4" t="s">
        <v>4746</v>
      </c>
      <c r="C2367" s="4" t="s">
        <v>4747</v>
      </c>
      <c r="D2367" s="4" t="s">
        <v>419</v>
      </c>
      <c r="E2367" s="6">
        <v>42350.0</v>
      </c>
      <c r="F2367" s="6">
        <v>68000.0</v>
      </c>
      <c r="G2367" s="6">
        <v>0.0</v>
      </c>
      <c r="H2367" s="6">
        <v>121385.0</v>
      </c>
    </row>
    <row r="2368" ht="15.75" customHeight="1">
      <c r="A2368" s="4">
        <v>2365.0</v>
      </c>
      <c r="B2368" s="4" t="s">
        <v>4748</v>
      </c>
      <c r="C2368" s="4" t="s">
        <v>4749</v>
      </c>
      <c r="D2368" s="4" t="s">
        <v>419</v>
      </c>
      <c r="E2368" s="6">
        <v>53110.0</v>
      </c>
      <c r="F2368" s="6">
        <v>72000.0</v>
      </c>
      <c r="G2368" s="6">
        <v>0.0</v>
      </c>
      <c r="H2368" s="6">
        <v>137621.0</v>
      </c>
    </row>
    <row r="2369" ht="15.75" customHeight="1">
      <c r="A2369" s="4">
        <v>2366.0</v>
      </c>
      <c r="B2369" s="4" t="s">
        <v>4750</v>
      </c>
      <c r="C2369" s="4" t="s">
        <v>4751</v>
      </c>
      <c r="D2369" s="4" t="s">
        <v>419</v>
      </c>
      <c r="E2369" s="6">
        <v>53110.0</v>
      </c>
      <c r="F2369" s="6">
        <v>80000.0</v>
      </c>
      <c r="G2369" s="6">
        <v>0.0</v>
      </c>
      <c r="H2369" s="6">
        <v>146421.0</v>
      </c>
    </row>
    <row r="2370" ht="15.75" customHeight="1">
      <c r="A2370" s="4">
        <v>2367.0</v>
      </c>
      <c r="B2370" s="4" t="s">
        <v>4752</v>
      </c>
      <c r="C2370" s="4" t="s">
        <v>4753</v>
      </c>
      <c r="D2370" s="4" t="s">
        <v>419</v>
      </c>
      <c r="E2370" s="6">
        <v>53110.0</v>
      </c>
      <c r="F2370" s="6">
        <v>87000.0</v>
      </c>
      <c r="G2370" s="6">
        <v>0.0</v>
      </c>
      <c r="H2370" s="6">
        <v>154121.0</v>
      </c>
    </row>
    <row r="2371" ht="15.75" customHeight="1">
      <c r="A2371" s="4">
        <v>2368.0</v>
      </c>
      <c r="B2371" s="4" t="s">
        <v>4754</v>
      </c>
      <c r="C2371" s="4" t="s">
        <v>4755</v>
      </c>
      <c r="D2371" s="4" t="s">
        <v>419</v>
      </c>
      <c r="E2371" s="6">
        <v>66240.0</v>
      </c>
      <c r="F2371" s="6">
        <v>95000.0</v>
      </c>
      <c r="G2371" s="6">
        <v>0.0</v>
      </c>
      <c r="H2371" s="6">
        <v>177364.0</v>
      </c>
    </row>
    <row r="2372" ht="15.75" customHeight="1">
      <c r="A2372" s="9">
        <v>2369.0</v>
      </c>
      <c r="B2372" s="9" t="s">
        <v>4756</v>
      </c>
      <c r="C2372" s="10" t="s">
        <v>4757</v>
      </c>
      <c r="D2372" s="9"/>
      <c r="E2372" s="11"/>
      <c r="F2372" s="11"/>
      <c r="G2372" s="11"/>
      <c r="H2372" s="11"/>
    </row>
    <row r="2373" ht="15.75" customHeight="1">
      <c r="A2373" s="4">
        <v>2370.0</v>
      </c>
      <c r="B2373" s="4" t="s">
        <v>4758</v>
      </c>
      <c r="C2373" s="4" t="s">
        <v>4759</v>
      </c>
      <c r="D2373" s="4" t="s">
        <v>43</v>
      </c>
      <c r="E2373" s="6">
        <v>3750.0</v>
      </c>
      <c r="F2373" s="6">
        <v>0.0</v>
      </c>
      <c r="G2373" s="6">
        <v>300.0</v>
      </c>
      <c r="H2373" s="6">
        <v>4455.0</v>
      </c>
    </row>
    <row r="2374" ht="15.75" customHeight="1">
      <c r="A2374" s="4">
        <v>2371.0</v>
      </c>
      <c r="B2374" s="4" t="s">
        <v>4760</v>
      </c>
      <c r="C2374" s="4" t="s">
        <v>4761</v>
      </c>
      <c r="D2374" s="4" t="s">
        <v>43</v>
      </c>
      <c r="E2374" s="6">
        <v>11205.0</v>
      </c>
      <c r="F2374" s="6">
        <v>0.0</v>
      </c>
      <c r="G2374" s="6">
        <v>375.0</v>
      </c>
      <c r="H2374" s="6">
        <v>12738.0</v>
      </c>
    </row>
    <row r="2375" ht="15.75" customHeight="1">
      <c r="A2375" s="4">
        <v>2372.0</v>
      </c>
      <c r="B2375" s="4" t="s">
        <v>4762</v>
      </c>
      <c r="C2375" s="4" t="s">
        <v>4763</v>
      </c>
      <c r="D2375" s="4" t="s">
        <v>43</v>
      </c>
      <c r="E2375" s="6">
        <v>17670.0</v>
      </c>
      <c r="F2375" s="6">
        <v>0.0</v>
      </c>
      <c r="G2375" s="6">
        <v>450.0</v>
      </c>
      <c r="H2375" s="6">
        <v>19932.0</v>
      </c>
    </row>
    <row r="2376" ht="15.75" customHeight="1">
      <c r="A2376" s="4">
        <v>2373.0</v>
      </c>
      <c r="B2376" s="4" t="s">
        <v>4764</v>
      </c>
      <c r="C2376" s="4" t="s">
        <v>4765</v>
      </c>
      <c r="D2376" s="4" t="s">
        <v>43</v>
      </c>
      <c r="E2376" s="6">
        <v>25270.0</v>
      </c>
      <c r="F2376" s="6">
        <v>0.0</v>
      </c>
      <c r="G2376" s="6">
        <v>675.0</v>
      </c>
      <c r="H2376" s="6">
        <v>28539.0</v>
      </c>
    </row>
    <row r="2377" ht="15.75" customHeight="1">
      <c r="A2377" s="4">
        <v>2374.0</v>
      </c>
      <c r="B2377" s="4" t="s">
        <v>4766</v>
      </c>
      <c r="C2377" s="4" t="s">
        <v>4767</v>
      </c>
      <c r="D2377" s="4" t="s">
        <v>43</v>
      </c>
      <c r="E2377" s="6">
        <v>65450.0</v>
      </c>
      <c r="F2377" s="6">
        <v>0.0</v>
      </c>
      <c r="G2377" s="6">
        <v>1275.0</v>
      </c>
      <c r="H2377" s="6">
        <v>73397.0</v>
      </c>
    </row>
    <row r="2378" ht="15.75" customHeight="1">
      <c r="A2378" s="4">
        <v>2375.0</v>
      </c>
      <c r="B2378" s="4" t="s">
        <v>4768</v>
      </c>
      <c r="C2378" s="4" t="s">
        <v>4769</v>
      </c>
      <c r="D2378" s="4" t="s">
        <v>43</v>
      </c>
      <c r="E2378" s="6">
        <v>91265.0</v>
      </c>
      <c r="F2378" s="6">
        <v>0.0</v>
      </c>
      <c r="G2378" s="6">
        <v>1725.0</v>
      </c>
      <c r="H2378" s="6">
        <v>102289.0</v>
      </c>
    </row>
    <row r="2379" ht="15.75" customHeight="1">
      <c r="A2379" s="4">
        <v>2376.0</v>
      </c>
      <c r="B2379" s="4" t="s">
        <v>4770</v>
      </c>
      <c r="C2379" s="4" t="s">
        <v>4771</v>
      </c>
      <c r="D2379" s="4" t="s">
        <v>43</v>
      </c>
      <c r="E2379" s="6">
        <v>96940.0</v>
      </c>
      <c r="F2379" s="6">
        <v>0.0</v>
      </c>
      <c r="G2379" s="6">
        <v>2250.0</v>
      </c>
      <c r="H2379" s="6">
        <v>109109.0</v>
      </c>
    </row>
    <row r="2380" ht="15.75" customHeight="1">
      <c r="A2380" s="4">
        <v>2377.0</v>
      </c>
      <c r="B2380" s="4" t="s">
        <v>4772</v>
      </c>
      <c r="C2380" s="4" t="s">
        <v>4773</v>
      </c>
      <c r="D2380" s="4" t="s">
        <v>43</v>
      </c>
      <c r="E2380" s="6">
        <v>142105.0</v>
      </c>
      <c r="F2380" s="6">
        <v>0.0</v>
      </c>
      <c r="G2380" s="6">
        <v>4125.0</v>
      </c>
      <c r="H2380" s="6">
        <v>160853.0</v>
      </c>
    </row>
    <row r="2381" ht="15.75" customHeight="1">
      <c r="A2381" s="4">
        <v>2378.0</v>
      </c>
      <c r="B2381" s="4" t="s">
        <v>4774</v>
      </c>
      <c r="C2381" s="4" t="s">
        <v>4775</v>
      </c>
      <c r="D2381" s="4" t="s">
        <v>43</v>
      </c>
      <c r="E2381" s="6">
        <v>163280.0</v>
      </c>
      <c r="F2381" s="6">
        <v>0.0</v>
      </c>
      <c r="G2381" s="6">
        <v>5250.000000000001</v>
      </c>
      <c r="H2381" s="6">
        <v>185383.0</v>
      </c>
    </row>
    <row r="2382" ht="15.75" customHeight="1">
      <c r="A2382" s="4">
        <v>2379.0</v>
      </c>
      <c r="B2382" s="4" t="s">
        <v>4776</v>
      </c>
      <c r="C2382" s="4" t="s">
        <v>4777</v>
      </c>
      <c r="D2382" s="4" t="s">
        <v>43</v>
      </c>
      <c r="E2382" s="6">
        <v>181195.0</v>
      </c>
      <c r="F2382" s="6">
        <v>0.0</v>
      </c>
      <c r="G2382" s="6">
        <v>6375.000000000001</v>
      </c>
      <c r="H2382" s="6">
        <v>206327.0</v>
      </c>
    </row>
    <row r="2383" ht="15.75" customHeight="1">
      <c r="A2383" s="4">
        <v>2380.0</v>
      </c>
      <c r="B2383" s="4" t="s">
        <v>4778</v>
      </c>
      <c r="C2383" s="4" t="s">
        <v>4779</v>
      </c>
      <c r="D2383" s="4" t="s">
        <v>43</v>
      </c>
      <c r="E2383" s="6">
        <v>226215.0</v>
      </c>
      <c r="F2383" s="6">
        <v>0.0</v>
      </c>
      <c r="G2383" s="6">
        <v>7575.000000000001</v>
      </c>
      <c r="H2383" s="6">
        <v>257169.0</v>
      </c>
    </row>
    <row r="2384" ht="15.75" customHeight="1">
      <c r="A2384" s="4">
        <v>2381.0</v>
      </c>
      <c r="B2384" s="4" t="s">
        <v>4780</v>
      </c>
      <c r="C2384" s="4" t="s">
        <v>4781</v>
      </c>
      <c r="D2384" s="4" t="s">
        <v>43</v>
      </c>
      <c r="E2384" s="6">
        <v>301635.0</v>
      </c>
      <c r="F2384" s="6">
        <v>0.0</v>
      </c>
      <c r="G2384" s="6">
        <v>13425.0</v>
      </c>
      <c r="H2384" s="6">
        <v>346566.0</v>
      </c>
    </row>
    <row r="2385" ht="15.75" customHeight="1">
      <c r="A2385" s="4">
        <v>2382.0</v>
      </c>
      <c r="B2385" s="4" t="s">
        <v>4782</v>
      </c>
      <c r="C2385" s="4" t="s">
        <v>4783</v>
      </c>
      <c r="D2385" s="4" t="s">
        <v>43</v>
      </c>
      <c r="E2385" s="6">
        <v>340725.0</v>
      </c>
      <c r="F2385" s="6">
        <v>0.0</v>
      </c>
      <c r="G2385" s="6">
        <v>20250.0</v>
      </c>
      <c r="H2385" s="6">
        <v>397072.0</v>
      </c>
    </row>
    <row r="2386" ht="15.75" customHeight="1">
      <c r="A2386" s="4">
        <v>2383.0</v>
      </c>
      <c r="B2386" s="4" t="s">
        <v>4784</v>
      </c>
      <c r="C2386" s="4" t="s">
        <v>4785</v>
      </c>
      <c r="D2386" s="4" t="s">
        <v>43</v>
      </c>
      <c r="E2386" s="6">
        <v>379915.0</v>
      </c>
      <c r="F2386" s="6">
        <v>0.0</v>
      </c>
      <c r="G2386" s="6">
        <v>24900.0</v>
      </c>
      <c r="H2386" s="6">
        <v>445296.0</v>
      </c>
    </row>
    <row r="2387" ht="15.75" customHeight="1">
      <c r="A2387" s="4">
        <v>2384.0</v>
      </c>
      <c r="B2387" s="4" t="s">
        <v>4786</v>
      </c>
      <c r="C2387" s="4" t="s">
        <v>4787</v>
      </c>
      <c r="D2387" s="4" t="s">
        <v>43</v>
      </c>
      <c r="E2387" s="6">
        <v>419305.0</v>
      </c>
      <c r="F2387" s="6">
        <v>0.0</v>
      </c>
      <c r="G2387" s="6">
        <v>27375.0</v>
      </c>
      <c r="H2387" s="6">
        <v>491348.0</v>
      </c>
    </row>
    <row r="2388" ht="15.75" customHeight="1">
      <c r="A2388" s="4">
        <v>2385.0</v>
      </c>
      <c r="B2388" s="4" t="s">
        <v>4788</v>
      </c>
      <c r="C2388" s="4" t="s">
        <v>4789</v>
      </c>
      <c r="D2388" s="4" t="s">
        <v>43</v>
      </c>
      <c r="E2388" s="6">
        <v>458495.0</v>
      </c>
      <c r="F2388" s="6">
        <v>0.0</v>
      </c>
      <c r="G2388" s="6">
        <v>35775.0</v>
      </c>
      <c r="H2388" s="6">
        <v>543697.0</v>
      </c>
    </row>
    <row r="2389" ht="15.75" customHeight="1">
      <c r="A2389" s="9">
        <v>2386.0</v>
      </c>
      <c r="B2389" s="9" t="s">
        <v>4790</v>
      </c>
      <c r="C2389" s="10" t="s">
        <v>3938</v>
      </c>
      <c r="D2389" s="9"/>
      <c r="E2389" s="11"/>
      <c r="F2389" s="11"/>
      <c r="G2389" s="11"/>
      <c r="H2389" s="11"/>
    </row>
    <row r="2390" ht="15.75" customHeight="1">
      <c r="A2390" s="9">
        <v>2387.0</v>
      </c>
      <c r="B2390" s="9" t="s">
        <v>4791</v>
      </c>
      <c r="C2390" s="10" t="s">
        <v>4792</v>
      </c>
      <c r="D2390" s="9"/>
      <c r="E2390" s="11"/>
      <c r="F2390" s="11"/>
      <c r="G2390" s="11"/>
      <c r="H2390" s="11"/>
    </row>
    <row r="2391" ht="15.75" customHeight="1">
      <c r="A2391" s="4">
        <v>2388.0</v>
      </c>
      <c r="B2391" s="4" t="s">
        <v>4793</v>
      </c>
      <c r="C2391" s="4" t="s">
        <v>4794</v>
      </c>
      <c r="D2391" s="4" t="s">
        <v>419</v>
      </c>
      <c r="E2391" s="6">
        <v>6565.0</v>
      </c>
      <c r="F2391" s="6">
        <v>25000.0</v>
      </c>
      <c r="G2391" s="6">
        <v>2052.0</v>
      </c>
      <c r="H2391" s="6">
        <v>36978.0</v>
      </c>
    </row>
    <row r="2392" ht="15.75" customHeight="1">
      <c r="A2392" s="4">
        <v>2389.0</v>
      </c>
      <c r="B2392" s="4" t="s">
        <v>4795</v>
      </c>
      <c r="C2392" s="4" t="s">
        <v>4796</v>
      </c>
      <c r="D2392" s="4" t="s">
        <v>419</v>
      </c>
      <c r="E2392" s="6">
        <v>7700.0</v>
      </c>
      <c r="F2392" s="6">
        <v>50000.0</v>
      </c>
      <c r="G2392" s="6">
        <v>2052.0</v>
      </c>
      <c r="H2392" s="6">
        <v>65727.0</v>
      </c>
    </row>
    <row r="2393" ht="15.75" customHeight="1">
      <c r="A2393" s="4">
        <v>2390.0</v>
      </c>
      <c r="B2393" s="4" t="s">
        <v>4797</v>
      </c>
      <c r="C2393" s="4" t="s">
        <v>4798</v>
      </c>
      <c r="D2393" s="4" t="s">
        <v>419</v>
      </c>
      <c r="E2393" s="6">
        <v>8835.0</v>
      </c>
      <c r="F2393" s="6">
        <v>58000.0</v>
      </c>
      <c r="G2393" s="6">
        <v>2052.0</v>
      </c>
      <c r="H2393" s="6">
        <v>75775.0</v>
      </c>
    </row>
    <row r="2394" ht="15.75" customHeight="1">
      <c r="A2394" s="4">
        <v>2391.0</v>
      </c>
      <c r="B2394" s="4" t="s">
        <v>4799</v>
      </c>
      <c r="C2394" s="4" t="s">
        <v>4800</v>
      </c>
      <c r="D2394" s="4" t="s">
        <v>419</v>
      </c>
      <c r="E2394" s="6">
        <v>11895.0</v>
      </c>
      <c r="F2394" s="6">
        <v>64000.0</v>
      </c>
      <c r="G2394" s="6">
        <v>2052.0</v>
      </c>
      <c r="H2394" s="6">
        <v>85741.0</v>
      </c>
    </row>
    <row r="2395" ht="15.75" customHeight="1">
      <c r="A2395" s="4">
        <v>2392.0</v>
      </c>
      <c r="B2395" s="4" t="s">
        <v>4801</v>
      </c>
      <c r="C2395" s="4" t="s">
        <v>4802</v>
      </c>
      <c r="D2395" s="4" t="s">
        <v>419</v>
      </c>
      <c r="E2395" s="6">
        <v>19595.0</v>
      </c>
      <c r="F2395" s="6">
        <v>75000.0</v>
      </c>
      <c r="G2395" s="6">
        <v>2052.0</v>
      </c>
      <c r="H2395" s="6">
        <v>106311.0</v>
      </c>
    </row>
    <row r="2396" ht="15.75" customHeight="1">
      <c r="A2396" s="4">
        <v>2393.0</v>
      </c>
      <c r="B2396" s="4" t="s">
        <v>4803</v>
      </c>
      <c r="C2396" s="4" t="s">
        <v>4804</v>
      </c>
      <c r="D2396" s="4" t="s">
        <v>419</v>
      </c>
      <c r="E2396" s="6">
        <v>25615.0</v>
      </c>
      <c r="F2396" s="6">
        <v>82000.0</v>
      </c>
      <c r="G2396" s="6">
        <v>4536.0</v>
      </c>
      <c r="H2396" s="6">
        <v>123366.0</v>
      </c>
    </row>
    <row r="2397" ht="15.75" customHeight="1">
      <c r="A2397" s="4">
        <v>2394.0</v>
      </c>
      <c r="B2397" s="4" t="s">
        <v>4805</v>
      </c>
      <c r="C2397" s="4" t="s">
        <v>4806</v>
      </c>
      <c r="D2397" s="4" t="s">
        <v>419</v>
      </c>
      <c r="E2397" s="6">
        <v>32725.0</v>
      </c>
      <c r="F2397" s="6">
        <v>94000.0</v>
      </c>
      <c r="G2397" s="6">
        <v>7020.0</v>
      </c>
      <c r="H2397" s="6">
        <v>147119.0</v>
      </c>
    </row>
    <row r="2398" ht="15.75" customHeight="1">
      <c r="A2398" s="4">
        <v>2395.0</v>
      </c>
      <c r="B2398" s="4" t="s">
        <v>4807</v>
      </c>
      <c r="C2398" s="4" t="s">
        <v>4808</v>
      </c>
      <c r="D2398" s="4" t="s">
        <v>419</v>
      </c>
      <c r="E2398" s="6">
        <v>55825.0</v>
      </c>
      <c r="F2398" s="6">
        <v>102000.0</v>
      </c>
      <c r="G2398" s="6">
        <v>16416.0</v>
      </c>
      <c r="H2398" s="6">
        <v>191665.0</v>
      </c>
    </row>
    <row r="2399" ht="15.75" customHeight="1">
      <c r="A2399" s="4">
        <v>2396.0</v>
      </c>
      <c r="B2399" s="4" t="s">
        <v>4809</v>
      </c>
      <c r="C2399" s="4" t="s">
        <v>4810</v>
      </c>
      <c r="D2399" s="4" t="s">
        <v>419</v>
      </c>
      <c r="E2399" s="6">
        <v>69200.0</v>
      </c>
      <c r="F2399" s="6">
        <v>124000.0</v>
      </c>
      <c r="G2399" s="6">
        <v>21600.0</v>
      </c>
      <c r="H2399" s="6">
        <v>236280.0</v>
      </c>
    </row>
    <row r="2400" ht="15.75" customHeight="1">
      <c r="A2400" s="4">
        <v>2397.0</v>
      </c>
      <c r="B2400" s="4" t="s">
        <v>4811</v>
      </c>
      <c r="C2400" s="4" t="s">
        <v>4812</v>
      </c>
      <c r="D2400" s="4" t="s">
        <v>419</v>
      </c>
      <c r="E2400" s="6">
        <v>83220.0</v>
      </c>
      <c r="F2400" s="6">
        <v>143000.0</v>
      </c>
      <c r="G2400" s="6">
        <v>27108.0</v>
      </c>
      <c r="H2400" s="6">
        <v>278660.0</v>
      </c>
    </row>
    <row r="2401" ht="15.75" customHeight="1">
      <c r="A2401" s="4">
        <v>2398.0</v>
      </c>
      <c r="B2401" s="4" t="s">
        <v>4813</v>
      </c>
      <c r="C2401" s="4" t="s">
        <v>4814</v>
      </c>
      <c r="D2401" s="4" t="s">
        <v>419</v>
      </c>
      <c r="E2401" s="6">
        <v>98520.0</v>
      </c>
      <c r="F2401" s="6">
        <v>157000.0</v>
      </c>
      <c r="G2401" s="6">
        <v>33156.0</v>
      </c>
      <c r="H2401" s="6">
        <v>317543.0</v>
      </c>
    </row>
    <row r="2402" ht="15.75" customHeight="1">
      <c r="A2402" s="4">
        <v>2399.0</v>
      </c>
      <c r="B2402" s="4" t="s">
        <v>4815</v>
      </c>
      <c r="C2402" s="4" t="s">
        <v>4816</v>
      </c>
      <c r="D2402" s="4" t="s">
        <v>419</v>
      </c>
      <c r="E2402" s="6">
        <v>171770.0</v>
      </c>
      <c r="F2402" s="6">
        <v>165000.0</v>
      </c>
      <c r="G2402" s="6">
        <v>61883.99999999999</v>
      </c>
      <c r="H2402" s="6">
        <v>438519.0</v>
      </c>
    </row>
    <row r="2403" ht="15.75" customHeight="1">
      <c r="A2403" s="4">
        <v>2400.0</v>
      </c>
      <c r="B2403" s="4" t="s">
        <v>4817</v>
      </c>
      <c r="C2403" s="4" t="s">
        <v>4818</v>
      </c>
      <c r="D2403" s="4" t="s">
        <v>419</v>
      </c>
      <c r="E2403" s="6">
        <v>260465.0</v>
      </c>
      <c r="F2403" s="6">
        <v>173000.0</v>
      </c>
      <c r="G2403" s="6">
        <v>89964.0</v>
      </c>
      <c r="H2403" s="6">
        <v>575771.0</v>
      </c>
    </row>
    <row r="2404" ht="15.75" customHeight="1">
      <c r="A2404" s="4">
        <v>2401.0</v>
      </c>
      <c r="B2404" s="4" t="s">
        <v>4819</v>
      </c>
      <c r="C2404" s="4" t="s">
        <v>4820</v>
      </c>
      <c r="D2404" s="4" t="s">
        <v>419</v>
      </c>
      <c r="E2404" s="6">
        <v>319450.0</v>
      </c>
      <c r="F2404" s="6">
        <v>187000.0</v>
      </c>
      <c r="G2404" s="6">
        <v>118044.0</v>
      </c>
      <c r="H2404" s="6">
        <v>686943.0</v>
      </c>
    </row>
    <row r="2405" ht="15.75" customHeight="1">
      <c r="A2405" s="4">
        <v>2402.0</v>
      </c>
      <c r="B2405" s="4" t="s">
        <v>4821</v>
      </c>
      <c r="C2405" s="4" t="s">
        <v>4822</v>
      </c>
      <c r="D2405" s="4" t="s">
        <v>419</v>
      </c>
      <c r="E2405" s="6">
        <v>350005.0</v>
      </c>
      <c r="F2405" s="6">
        <v>198000.0</v>
      </c>
      <c r="G2405" s="6">
        <v>130140.0</v>
      </c>
      <c r="H2405" s="6">
        <v>745959.0</v>
      </c>
    </row>
    <row r="2406" ht="15.75" customHeight="1">
      <c r="A2406" s="4">
        <v>2403.0</v>
      </c>
      <c r="B2406" s="4" t="s">
        <v>4823</v>
      </c>
      <c r="C2406" s="4" t="s">
        <v>4824</v>
      </c>
      <c r="D2406" s="4" t="s">
        <v>419</v>
      </c>
      <c r="E2406" s="6">
        <v>456225.0</v>
      </c>
      <c r="F2406" s="6">
        <v>216000.0</v>
      </c>
      <c r="G2406" s="6">
        <v>171072.0</v>
      </c>
      <c r="H2406" s="6">
        <v>927626.0</v>
      </c>
    </row>
    <row r="2407" ht="15.75" customHeight="1">
      <c r="A2407" s="4">
        <v>2404.0</v>
      </c>
      <c r="B2407" s="4" t="s">
        <v>4825</v>
      </c>
      <c r="C2407" s="4" t="s">
        <v>4826</v>
      </c>
      <c r="D2407" s="4" t="s">
        <v>419</v>
      </c>
      <c r="E2407" s="6">
        <v>4195.0</v>
      </c>
      <c r="F2407" s="6">
        <v>13000.0</v>
      </c>
      <c r="G2407" s="6">
        <v>0.0</v>
      </c>
      <c r="H2407" s="6">
        <v>18914.0</v>
      </c>
    </row>
    <row r="2408" ht="15.75" customHeight="1">
      <c r="A2408" s="4">
        <v>2405.0</v>
      </c>
      <c r="B2408" s="4" t="s">
        <v>4827</v>
      </c>
      <c r="C2408" s="4" t="s">
        <v>4828</v>
      </c>
      <c r="D2408" s="4" t="s">
        <v>419</v>
      </c>
      <c r="E2408" s="6">
        <v>4195.0</v>
      </c>
      <c r="F2408" s="6">
        <v>18000.0</v>
      </c>
      <c r="G2408" s="6">
        <v>0.0</v>
      </c>
      <c r="H2408" s="6">
        <v>24414.0</v>
      </c>
    </row>
    <row r="2409" ht="15.75" customHeight="1">
      <c r="A2409" s="4">
        <v>2406.0</v>
      </c>
      <c r="B2409" s="4" t="s">
        <v>4829</v>
      </c>
      <c r="C2409" s="4" t="s">
        <v>4830</v>
      </c>
      <c r="D2409" s="4" t="s">
        <v>419</v>
      </c>
      <c r="E2409" s="6">
        <v>5430.0</v>
      </c>
      <c r="F2409" s="6">
        <v>21000.0</v>
      </c>
      <c r="G2409" s="6">
        <v>0.0</v>
      </c>
      <c r="H2409" s="6">
        <v>29073.0</v>
      </c>
    </row>
    <row r="2410" ht="15.75" customHeight="1">
      <c r="A2410" s="4">
        <v>2407.0</v>
      </c>
      <c r="B2410" s="4" t="s">
        <v>4831</v>
      </c>
      <c r="C2410" s="4" t="s">
        <v>4832</v>
      </c>
      <c r="D2410" s="4" t="s">
        <v>419</v>
      </c>
      <c r="E2410" s="6">
        <v>5430.0</v>
      </c>
      <c r="F2410" s="6">
        <v>22000.0</v>
      </c>
      <c r="G2410" s="6">
        <v>0.0</v>
      </c>
      <c r="H2410" s="6">
        <v>30173.0</v>
      </c>
    </row>
    <row r="2411" ht="15.75" customHeight="1">
      <c r="A2411" s="4">
        <v>2408.0</v>
      </c>
      <c r="B2411" s="4" t="s">
        <v>4833</v>
      </c>
      <c r="C2411" s="4" t="s">
        <v>4834</v>
      </c>
      <c r="D2411" s="4" t="s">
        <v>419</v>
      </c>
      <c r="E2411" s="6">
        <v>5430.0</v>
      </c>
      <c r="F2411" s="6">
        <v>23000.0</v>
      </c>
      <c r="G2411" s="6">
        <v>0.0</v>
      </c>
      <c r="H2411" s="6">
        <v>31273.0</v>
      </c>
    </row>
    <row r="2412" ht="15.75" customHeight="1">
      <c r="A2412" s="4">
        <v>2409.0</v>
      </c>
      <c r="B2412" s="4" t="s">
        <v>4835</v>
      </c>
      <c r="C2412" s="4" t="s">
        <v>4836</v>
      </c>
      <c r="D2412" s="4" t="s">
        <v>419</v>
      </c>
      <c r="E2412" s="6">
        <v>6565.0</v>
      </c>
      <c r="F2412" s="6">
        <v>24000.0</v>
      </c>
      <c r="G2412" s="6">
        <v>0.0</v>
      </c>
      <c r="H2412" s="6">
        <v>33621.0</v>
      </c>
    </row>
    <row r="2413" ht="15.75" customHeight="1">
      <c r="A2413" s="9">
        <v>2410.0</v>
      </c>
      <c r="B2413" s="9" t="s">
        <v>4837</v>
      </c>
      <c r="C2413" s="10" t="s">
        <v>4838</v>
      </c>
      <c r="D2413" s="9"/>
      <c r="E2413" s="11"/>
      <c r="F2413" s="11"/>
      <c r="G2413" s="11"/>
      <c r="H2413" s="11"/>
    </row>
    <row r="2414" ht="15.75" customHeight="1">
      <c r="A2414" s="4">
        <v>2411.0</v>
      </c>
      <c r="B2414" s="4" t="s">
        <v>4839</v>
      </c>
      <c r="C2414" s="4" t="s">
        <v>4840</v>
      </c>
      <c r="D2414" s="4" t="s">
        <v>43</v>
      </c>
      <c r="E2414" s="6">
        <v>385.0</v>
      </c>
      <c r="F2414" s="6">
        <v>0.0</v>
      </c>
      <c r="G2414" s="6">
        <v>300.0</v>
      </c>
      <c r="H2414" s="6">
        <v>753.0</v>
      </c>
    </row>
    <row r="2415" ht="15.75" customHeight="1">
      <c r="A2415" s="4">
        <v>2412.0</v>
      </c>
      <c r="B2415" s="4" t="s">
        <v>4841</v>
      </c>
      <c r="C2415" s="4" t="s">
        <v>4842</v>
      </c>
      <c r="D2415" s="4" t="s">
        <v>43</v>
      </c>
      <c r="E2415" s="6">
        <v>1235.0</v>
      </c>
      <c r="F2415" s="6">
        <v>0.0</v>
      </c>
      <c r="G2415" s="6">
        <v>375.0</v>
      </c>
      <c r="H2415" s="6">
        <v>1771.0</v>
      </c>
    </row>
    <row r="2416" ht="15.75" customHeight="1">
      <c r="A2416" s="4">
        <v>2413.0</v>
      </c>
      <c r="B2416" s="4" t="s">
        <v>4843</v>
      </c>
      <c r="C2416" s="4" t="s">
        <v>4844</v>
      </c>
      <c r="D2416" s="4" t="s">
        <v>43</v>
      </c>
      <c r="E2416" s="6">
        <v>1825.0</v>
      </c>
      <c r="F2416" s="6">
        <v>0.0</v>
      </c>
      <c r="G2416" s="6">
        <v>450.0</v>
      </c>
      <c r="H2416" s="6">
        <v>2502.0</v>
      </c>
    </row>
    <row r="2417" ht="15.75" customHeight="1">
      <c r="A2417" s="4">
        <v>2414.0</v>
      </c>
      <c r="B2417" s="4" t="s">
        <v>4845</v>
      </c>
      <c r="C2417" s="4" t="s">
        <v>4846</v>
      </c>
      <c r="D2417" s="4" t="s">
        <v>43</v>
      </c>
      <c r="E2417" s="6">
        <v>3160.0</v>
      </c>
      <c r="F2417" s="6">
        <v>0.0</v>
      </c>
      <c r="G2417" s="6">
        <v>675.0</v>
      </c>
      <c r="H2417" s="6">
        <v>4218.0</v>
      </c>
    </row>
    <row r="2418" ht="15.75" customHeight="1">
      <c r="A2418" s="4">
        <v>2415.0</v>
      </c>
      <c r="B2418" s="4" t="s">
        <v>4847</v>
      </c>
      <c r="C2418" s="4" t="s">
        <v>4848</v>
      </c>
      <c r="D2418" s="4" t="s">
        <v>43</v>
      </c>
      <c r="E2418" s="6">
        <v>8390.0</v>
      </c>
      <c r="F2418" s="6">
        <v>0.0</v>
      </c>
      <c r="G2418" s="6">
        <v>1275.0</v>
      </c>
      <c r="H2418" s="6">
        <v>10631.0</v>
      </c>
    </row>
    <row r="2419" ht="15.75" customHeight="1">
      <c r="A2419" s="4">
        <v>2416.0</v>
      </c>
      <c r="B2419" s="4" t="s">
        <v>4849</v>
      </c>
      <c r="C2419" s="4" t="s">
        <v>4850</v>
      </c>
      <c r="D2419" s="4" t="s">
        <v>43</v>
      </c>
      <c r="E2419" s="6">
        <v>12885.0</v>
      </c>
      <c r="F2419" s="6">
        <v>0.0</v>
      </c>
      <c r="G2419" s="6">
        <v>1725.0</v>
      </c>
      <c r="H2419" s="6">
        <v>16071.0</v>
      </c>
    </row>
    <row r="2420" ht="15.75" customHeight="1">
      <c r="A2420" s="4">
        <v>2417.0</v>
      </c>
      <c r="B2420" s="4" t="s">
        <v>4851</v>
      </c>
      <c r="C2420" s="4" t="s">
        <v>4852</v>
      </c>
      <c r="D2420" s="4" t="s">
        <v>43</v>
      </c>
      <c r="E2420" s="6">
        <v>17325.0</v>
      </c>
      <c r="F2420" s="6">
        <v>0.0</v>
      </c>
      <c r="G2420" s="6">
        <v>2250.0</v>
      </c>
      <c r="H2420" s="6">
        <v>21532.0</v>
      </c>
    </row>
    <row r="2421" ht="15.75" customHeight="1">
      <c r="A2421" s="4">
        <v>2418.0</v>
      </c>
      <c r="B2421" s="4" t="s">
        <v>4853</v>
      </c>
      <c r="C2421" s="4" t="s">
        <v>4854</v>
      </c>
      <c r="D2421" s="4" t="s">
        <v>43</v>
      </c>
      <c r="E2421" s="6">
        <v>34060.0</v>
      </c>
      <c r="F2421" s="6">
        <v>0.0</v>
      </c>
      <c r="G2421" s="6">
        <v>4125.0</v>
      </c>
      <c r="H2421" s="6">
        <v>42003.0</v>
      </c>
    </row>
    <row r="2422" ht="15.75" customHeight="1">
      <c r="A2422" s="4">
        <v>2419.0</v>
      </c>
      <c r="B2422" s="4" t="s">
        <v>4855</v>
      </c>
      <c r="C2422" s="4" t="s">
        <v>4856</v>
      </c>
      <c r="D2422" s="4" t="s">
        <v>43</v>
      </c>
      <c r="E2422" s="6">
        <v>43485.0</v>
      </c>
      <c r="F2422" s="6">
        <v>0.0</v>
      </c>
      <c r="G2422" s="6">
        <v>5250.000000000001</v>
      </c>
      <c r="H2422" s="6">
        <v>53608.0</v>
      </c>
    </row>
    <row r="2423" ht="15.75" customHeight="1">
      <c r="A2423" s="4">
        <v>2420.0</v>
      </c>
      <c r="B2423" s="4" t="s">
        <v>4857</v>
      </c>
      <c r="C2423" s="4" t="s">
        <v>4858</v>
      </c>
      <c r="D2423" s="4" t="s">
        <v>43</v>
      </c>
      <c r="E2423" s="6">
        <v>53455.0</v>
      </c>
      <c r="F2423" s="6">
        <v>0.0</v>
      </c>
      <c r="G2423" s="6">
        <v>6375.000000000001</v>
      </c>
      <c r="H2423" s="6">
        <v>65813.0</v>
      </c>
    </row>
    <row r="2424" ht="15.75" customHeight="1">
      <c r="A2424" s="4">
        <v>2421.0</v>
      </c>
      <c r="B2424" s="4" t="s">
        <v>4859</v>
      </c>
      <c r="C2424" s="4" t="s">
        <v>4860</v>
      </c>
      <c r="D2424" s="4" t="s">
        <v>43</v>
      </c>
      <c r="E2424" s="6">
        <v>64115.0</v>
      </c>
      <c r="F2424" s="6">
        <v>0.0</v>
      </c>
      <c r="G2424" s="6">
        <v>7575.000000000001</v>
      </c>
      <c r="H2424" s="6">
        <v>78859.0</v>
      </c>
    </row>
    <row r="2425" ht="15.75" customHeight="1">
      <c r="A2425" s="4">
        <v>2422.0</v>
      </c>
      <c r="B2425" s="4" t="s">
        <v>4861</v>
      </c>
      <c r="C2425" s="4" t="s">
        <v>4862</v>
      </c>
      <c r="D2425" s="4" t="s">
        <v>43</v>
      </c>
      <c r="E2425" s="6">
        <v>115745.0</v>
      </c>
      <c r="F2425" s="6">
        <v>0.0</v>
      </c>
      <c r="G2425" s="6">
        <v>13425.0</v>
      </c>
      <c r="H2425" s="6">
        <v>142087.0</v>
      </c>
    </row>
    <row r="2426" ht="15.75" customHeight="1">
      <c r="A2426" s="4">
        <v>2423.0</v>
      </c>
      <c r="B2426" s="4" t="s">
        <v>4863</v>
      </c>
      <c r="C2426" s="4" t="s">
        <v>4864</v>
      </c>
      <c r="D2426" s="4" t="s">
        <v>43</v>
      </c>
      <c r="E2426" s="6">
        <v>177420.0</v>
      </c>
      <c r="F2426" s="6">
        <v>0.0</v>
      </c>
      <c r="G2426" s="6">
        <v>20250.0</v>
      </c>
      <c r="H2426" s="6">
        <v>217437.0</v>
      </c>
    </row>
    <row r="2427" ht="15.75" customHeight="1">
      <c r="A2427" s="4">
        <v>2424.0</v>
      </c>
      <c r="B2427" s="4" t="s">
        <v>4865</v>
      </c>
      <c r="C2427" s="4" t="s">
        <v>4866</v>
      </c>
      <c r="D2427" s="4" t="s">
        <v>43</v>
      </c>
      <c r="E2427" s="6">
        <v>218390.0</v>
      </c>
      <c r="F2427" s="6">
        <v>0.0</v>
      </c>
      <c r="G2427" s="6">
        <v>24900.0</v>
      </c>
      <c r="H2427" s="6">
        <v>267619.0</v>
      </c>
    </row>
    <row r="2428" ht="15.75" customHeight="1">
      <c r="A2428" s="4">
        <v>2425.0</v>
      </c>
      <c r="B2428" s="4" t="s">
        <v>4867</v>
      </c>
      <c r="C2428" s="4" t="s">
        <v>4868</v>
      </c>
      <c r="D2428" s="4" t="s">
        <v>43</v>
      </c>
      <c r="E2428" s="6">
        <v>238355.0</v>
      </c>
      <c r="F2428" s="6">
        <v>0.0</v>
      </c>
      <c r="G2428" s="6">
        <v>27375.0</v>
      </c>
      <c r="H2428" s="6">
        <v>292303.0</v>
      </c>
    </row>
    <row r="2429" ht="15.75" customHeight="1">
      <c r="A2429" s="4">
        <v>2426.0</v>
      </c>
      <c r="B2429" s="4" t="s">
        <v>4869</v>
      </c>
      <c r="C2429" s="4" t="s">
        <v>4870</v>
      </c>
      <c r="D2429" s="4" t="s">
        <v>43</v>
      </c>
      <c r="E2429" s="6">
        <v>311605.0</v>
      </c>
      <c r="F2429" s="6">
        <v>0.0</v>
      </c>
      <c r="G2429" s="6">
        <v>35775.0</v>
      </c>
      <c r="H2429" s="6">
        <v>382118.0</v>
      </c>
    </row>
    <row r="2430" ht="15.75" customHeight="1">
      <c r="A2430" s="9">
        <v>2427.0</v>
      </c>
      <c r="B2430" s="9" t="s">
        <v>4871</v>
      </c>
      <c r="C2430" s="10" t="s">
        <v>4872</v>
      </c>
      <c r="D2430" s="9"/>
      <c r="E2430" s="11"/>
      <c r="F2430" s="11"/>
      <c r="G2430" s="11"/>
      <c r="H2430" s="11"/>
    </row>
    <row r="2431" ht="15.75" customHeight="1">
      <c r="A2431" s="9">
        <v>2428.0</v>
      </c>
      <c r="B2431" s="9" t="s">
        <v>4873</v>
      </c>
      <c r="C2431" s="10" t="s">
        <v>4874</v>
      </c>
      <c r="D2431" s="9"/>
      <c r="E2431" s="11"/>
      <c r="F2431" s="11"/>
      <c r="G2431" s="11"/>
      <c r="H2431" s="11"/>
    </row>
    <row r="2432" ht="15.75" customHeight="1">
      <c r="A2432" s="4">
        <v>2429.0</v>
      </c>
      <c r="B2432" s="4" t="s">
        <v>4875</v>
      </c>
      <c r="C2432" s="4" t="s">
        <v>4876</v>
      </c>
      <c r="D2432" s="4" t="s">
        <v>419</v>
      </c>
      <c r="E2432" s="6">
        <v>72910.0</v>
      </c>
      <c r="F2432" s="6">
        <v>1083000.0</v>
      </c>
      <c r="G2432" s="6">
        <v>41040.0</v>
      </c>
      <c r="H2432" s="6">
        <v>1316645.0</v>
      </c>
    </row>
    <row r="2433" ht="15.75" customHeight="1">
      <c r="A2433" s="4">
        <v>2430.0</v>
      </c>
      <c r="B2433" s="4" t="s">
        <v>4877</v>
      </c>
      <c r="C2433" s="4" t="s">
        <v>4878</v>
      </c>
      <c r="D2433" s="4" t="s">
        <v>419</v>
      </c>
      <c r="E2433" s="6">
        <v>81505.0</v>
      </c>
      <c r="F2433" s="6">
        <v>1100000.0</v>
      </c>
      <c r="G2433" s="6">
        <v>41040.0</v>
      </c>
      <c r="H2433" s="6">
        <v>1344799.0</v>
      </c>
    </row>
    <row r="2434" ht="15.75" customHeight="1">
      <c r="A2434" s="4">
        <v>2431.0</v>
      </c>
      <c r="B2434" s="4" t="s">
        <v>4879</v>
      </c>
      <c r="C2434" s="4" t="s">
        <v>4880</v>
      </c>
      <c r="D2434" s="4" t="s">
        <v>419</v>
      </c>
      <c r="E2434" s="6">
        <v>91335.0</v>
      </c>
      <c r="F2434" s="6">
        <v>1300000.0</v>
      </c>
      <c r="G2434" s="6">
        <v>41040.0</v>
      </c>
      <c r="H2434" s="6">
        <v>1575612.0</v>
      </c>
    </row>
    <row r="2435" ht="15.75" customHeight="1">
      <c r="A2435" s="4">
        <v>2432.0</v>
      </c>
      <c r="B2435" s="4" t="s">
        <v>4881</v>
      </c>
      <c r="C2435" s="4" t="s">
        <v>4882</v>
      </c>
      <c r="D2435" s="4" t="s">
        <v>419</v>
      </c>
      <c r="E2435" s="6">
        <v>127295.0</v>
      </c>
      <c r="F2435" s="6">
        <v>1450000.0</v>
      </c>
      <c r="G2435" s="6">
        <v>41040.0</v>
      </c>
      <c r="H2435" s="6">
        <v>1780168.0</v>
      </c>
    </row>
    <row r="2436" ht="15.75" customHeight="1">
      <c r="A2436" s="4">
        <v>2433.0</v>
      </c>
      <c r="B2436" s="4" t="s">
        <v>4883</v>
      </c>
      <c r="C2436" s="4" t="s">
        <v>4884</v>
      </c>
      <c r="D2436" s="4" t="s">
        <v>419</v>
      </c>
      <c r="E2436" s="6">
        <v>141650.0</v>
      </c>
      <c r="F2436" s="6">
        <v>1570000.0</v>
      </c>
      <c r="G2436" s="6">
        <v>5400.0</v>
      </c>
      <c r="H2436" s="6">
        <v>1888755.0</v>
      </c>
    </row>
    <row r="2437" ht="15.75" customHeight="1">
      <c r="A2437" s="4">
        <v>2434.0</v>
      </c>
      <c r="B2437" s="4" t="s">
        <v>4885</v>
      </c>
      <c r="C2437" s="4" t="s">
        <v>4886</v>
      </c>
      <c r="D2437" s="4" t="s">
        <v>419</v>
      </c>
      <c r="E2437" s="6">
        <v>144975.0</v>
      </c>
      <c r="F2437" s="6">
        <v>1640000.0</v>
      </c>
      <c r="G2437" s="6">
        <v>7667.999999999999</v>
      </c>
      <c r="H2437" s="6">
        <v>1971907.0</v>
      </c>
    </row>
    <row r="2438" ht="15.75" customHeight="1">
      <c r="A2438" s="4">
        <v>2435.0</v>
      </c>
      <c r="B2438" s="4" t="s">
        <v>4887</v>
      </c>
      <c r="C2438" s="4" t="s">
        <v>4888</v>
      </c>
      <c r="D2438" s="4" t="s">
        <v>419</v>
      </c>
      <c r="E2438" s="6">
        <v>230105.0</v>
      </c>
      <c r="F2438" s="6">
        <v>1790000.0</v>
      </c>
      <c r="G2438" s="6">
        <v>121798.0</v>
      </c>
      <c r="H2438" s="6">
        <v>2356093.0</v>
      </c>
    </row>
    <row r="2439" ht="15.75" customHeight="1">
      <c r="A2439" s="4">
        <v>2436.0</v>
      </c>
      <c r="B2439" s="4" t="s">
        <v>4889</v>
      </c>
      <c r="C2439" s="4" t="s">
        <v>4890</v>
      </c>
      <c r="D2439" s="4" t="s">
        <v>419</v>
      </c>
      <c r="E2439" s="6">
        <v>270135.0</v>
      </c>
      <c r="F2439" s="6">
        <v>1850000.0</v>
      </c>
      <c r="G2439" s="6">
        <v>153562.0</v>
      </c>
      <c r="H2439" s="6">
        <v>2501066.0</v>
      </c>
    </row>
    <row r="2440" ht="15.75" customHeight="1">
      <c r="A2440" s="4">
        <v>2437.0</v>
      </c>
      <c r="B2440" s="4" t="s">
        <v>4891</v>
      </c>
      <c r="C2440" s="4" t="s">
        <v>4892</v>
      </c>
      <c r="D2440" s="4" t="s">
        <v>419</v>
      </c>
      <c r="E2440" s="6">
        <v>305005.0</v>
      </c>
      <c r="F2440" s="6">
        <v>1960000.0</v>
      </c>
      <c r="G2440" s="6">
        <v>179960.0</v>
      </c>
      <c r="H2440" s="6">
        <v>2689461.0</v>
      </c>
    </row>
    <row r="2441" ht="15.75" customHeight="1">
      <c r="A2441" s="4">
        <v>2438.0</v>
      </c>
      <c r="B2441" s="4" t="s">
        <v>4893</v>
      </c>
      <c r="C2441" s="4" t="s">
        <v>4894</v>
      </c>
      <c r="D2441" s="4" t="s">
        <v>419</v>
      </c>
      <c r="E2441" s="6">
        <v>431355.0</v>
      </c>
      <c r="F2441" s="6">
        <v>2115000.0</v>
      </c>
      <c r="G2441" s="6">
        <v>307016.0</v>
      </c>
      <c r="H2441" s="6">
        <v>3138708.0</v>
      </c>
    </row>
    <row r="2442" ht="15.75" customHeight="1">
      <c r="A2442" s="4">
        <v>2439.0</v>
      </c>
      <c r="B2442" s="4" t="s">
        <v>4895</v>
      </c>
      <c r="C2442" s="4" t="s">
        <v>4896</v>
      </c>
      <c r="D2442" s="4" t="s">
        <v>419</v>
      </c>
      <c r="E2442" s="6">
        <v>575040.0</v>
      </c>
      <c r="F2442" s="6">
        <v>2360000.0</v>
      </c>
      <c r="G2442" s="6">
        <v>456900.0</v>
      </c>
      <c r="H2442" s="6">
        <v>3731134.0</v>
      </c>
    </row>
    <row r="2443" ht="15.75" customHeight="1">
      <c r="A2443" s="4">
        <v>2440.0</v>
      </c>
      <c r="B2443" s="4" t="s">
        <v>4897</v>
      </c>
      <c r="C2443" s="4" t="s">
        <v>4898</v>
      </c>
      <c r="D2443" s="4" t="s">
        <v>419</v>
      </c>
      <c r="E2443" s="6">
        <v>744155.0</v>
      </c>
      <c r="F2443" s="6">
        <v>2440000.0</v>
      </c>
      <c r="G2443" s="6">
        <v>505734.0</v>
      </c>
      <c r="H2443" s="6">
        <v>4058877.0</v>
      </c>
    </row>
    <row r="2444" ht="15.75" customHeight="1">
      <c r="A2444" s="4">
        <v>2441.0</v>
      </c>
      <c r="B2444" s="4" t="s">
        <v>4899</v>
      </c>
      <c r="C2444" s="4" t="s">
        <v>4900</v>
      </c>
      <c r="D2444" s="4" t="s">
        <v>419</v>
      </c>
      <c r="E2444" s="6">
        <v>903670.0</v>
      </c>
      <c r="F2444" s="6">
        <v>2570000.0</v>
      </c>
      <c r="G2444" s="6">
        <v>608984.0</v>
      </c>
      <c r="H2444" s="6">
        <v>4490919.0</v>
      </c>
    </row>
    <row r="2445" ht="15.75" customHeight="1">
      <c r="A2445" s="4">
        <v>2442.0</v>
      </c>
      <c r="B2445" s="4" t="s">
        <v>4901</v>
      </c>
      <c r="C2445" s="4" t="s">
        <v>4902</v>
      </c>
      <c r="D2445" s="4" t="s">
        <v>419</v>
      </c>
      <c r="E2445" s="6">
        <v>1035450.0</v>
      </c>
      <c r="F2445" s="6">
        <v>2730000.0</v>
      </c>
      <c r="G2445" s="6">
        <v>815632.0</v>
      </c>
      <c r="H2445" s="6">
        <v>5039190.0</v>
      </c>
    </row>
    <row r="2446" ht="15.75" customHeight="1">
      <c r="A2446" s="4">
        <v>2443.0</v>
      </c>
      <c r="B2446" s="4" t="s">
        <v>4903</v>
      </c>
      <c r="C2446" s="4" t="s">
        <v>4904</v>
      </c>
      <c r="D2446" s="4" t="s">
        <v>419</v>
      </c>
      <c r="E2446" s="6">
        <v>1200395.0</v>
      </c>
      <c r="F2446" s="6">
        <v>236000.0</v>
      </c>
      <c r="G2446" s="6">
        <v>955080.0</v>
      </c>
      <c r="H2446" s="6">
        <v>2630622.0</v>
      </c>
    </row>
    <row r="2447" ht="15.75" customHeight="1">
      <c r="A2447" s="9">
        <v>2444.0</v>
      </c>
      <c r="B2447" s="9" t="s">
        <v>4905</v>
      </c>
      <c r="C2447" s="10" t="s">
        <v>4906</v>
      </c>
      <c r="D2447" s="9"/>
      <c r="E2447" s="11"/>
      <c r="F2447" s="11"/>
      <c r="G2447" s="11"/>
      <c r="H2447" s="11"/>
    </row>
    <row r="2448" ht="15.75" customHeight="1">
      <c r="A2448" s="4">
        <v>2445.0</v>
      </c>
      <c r="B2448" s="4" t="s">
        <v>4907</v>
      </c>
      <c r="C2448" s="4" t="s">
        <v>4908</v>
      </c>
      <c r="D2448" s="4" t="s">
        <v>43</v>
      </c>
      <c r="E2448" s="6">
        <v>10530.0</v>
      </c>
      <c r="F2448" s="6">
        <v>0.0</v>
      </c>
      <c r="G2448" s="6">
        <v>324.0</v>
      </c>
      <c r="H2448" s="6">
        <v>11939.0</v>
      </c>
    </row>
    <row r="2449" ht="15.75" customHeight="1">
      <c r="A2449" s="4">
        <v>2446.0</v>
      </c>
      <c r="B2449" s="4" t="s">
        <v>4909</v>
      </c>
      <c r="C2449" s="4" t="s">
        <v>4910</v>
      </c>
      <c r="D2449" s="4" t="s">
        <v>43</v>
      </c>
      <c r="E2449" s="6">
        <v>16590.0</v>
      </c>
      <c r="F2449" s="6">
        <v>0.0</v>
      </c>
      <c r="G2449" s="6">
        <v>1080.0</v>
      </c>
      <c r="H2449" s="6">
        <v>19437.0</v>
      </c>
    </row>
    <row r="2450" ht="15.75" customHeight="1">
      <c r="A2450" s="4">
        <v>2447.0</v>
      </c>
      <c r="B2450" s="4" t="s">
        <v>4911</v>
      </c>
      <c r="C2450" s="4" t="s">
        <v>4912</v>
      </c>
      <c r="D2450" s="4" t="s">
        <v>43</v>
      </c>
      <c r="E2450" s="6">
        <v>23740.0</v>
      </c>
      <c r="F2450" s="6">
        <v>0.0</v>
      </c>
      <c r="G2450" s="6">
        <v>1944.0</v>
      </c>
      <c r="H2450" s="6">
        <v>28252.0</v>
      </c>
    </row>
    <row r="2451" ht="15.75" customHeight="1">
      <c r="A2451" s="4">
        <v>2448.0</v>
      </c>
      <c r="B2451" s="4" t="s">
        <v>4913</v>
      </c>
      <c r="C2451" s="4" t="s">
        <v>4914</v>
      </c>
      <c r="D2451" s="4" t="s">
        <v>43</v>
      </c>
      <c r="E2451" s="6">
        <v>54585.0</v>
      </c>
      <c r="F2451" s="6">
        <v>0.0</v>
      </c>
      <c r="G2451" s="6">
        <v>5832.0</v>
      </c>
      <c r="H2451" s="6">
        <v>66458.0</v>
      </c>
    </row>
    <row r="2452" ht="15.75" customHeight="1">
      <c r="A2452" s="4">
        <v>2449.0</v>
      </c>
      <c r="B2452" s="4" t="s">
        <v>4915</v>
      </c>
      <c r="C2452" s="4" t="s">
        <v>4916</v>
      </c>
      <c r="D2452" s="4" t="s">
        <v>43</v>
      </c>
      <c r="E2452" s="6">
        <v>70975.0</v>
      </c>
      <c r="F2452" s="6">
        <v>0.0</v>
      </c>
      <c r="G2452" s="6">
        <v>7883.999999999999</v>
      </c>
      <c r="H2452" s="6">
        <v>86744.0</v>
      </c>
    </row>
    <row r="2453" ht="15.75" customHeight="1">
      <c r="A2453" s="4">
        <v>2450.0</v>
      </c>
      <c r="B2453" s="4" t="s">
        <v>4917</v>
      </c>
      <c r="C2453" s="4" t="s">
        <v>4918</v>
      </c>
      <c r="D2453" s="4" t="s">
        <v>43</v>
      </c>
      <c r="E2453" s="6">
        <v>76190.0</v>
      </c>
      <c r="F2453" s="6">
        <v>0.0</v>
      </c>
      <c r="G2453" s="6">
        <v>8532.0</v>
      </c>
      <c r="H2453" s="6">
        <v>93194.0</v>
      </c>
    </row>
    <row r="2454" ht="15.75" customHeight="1">
      <c r="A2454" s="4">
        <v>2451.0</v>
      </c>
      <c r="B2454" s="4" t="s">
        <v>4919</v>
      </c>
      <c r="C2454" s="4" t="s">
        <v>4920</v>
      </c>
      <c r="D2454" s="4" t="s">
        <v>43</v>
      </c>
      <c r="E2454" s="6">
        <v>140160.0</v>
      </c>
      <c r="F2454" s="6">
        <v>0.0</v>
      </c>
      <c r="G2454" s="6">
        <v>11850.0</v>
      </c>
      <c r="H2454" s="6">
        <v>167211.0</v>
      </c>
    </row>
    <row r="2455" ht="15.75" customHeight="1">
      <c r="A2455" s="4">
        <v>2452.0</v>
      </c>
      <c r="B2455" s="4" t="s">
        <v>4921</v>
      </c>
      <c r="C2455" s="4" t="s">
        <v>4922</v>
      </c>
      <c r="D2455" s="4" t="s">
        <v>43</v>
      </c>
      <c r="E2455" s="6">
        <v>169415.0</v>
      </c>
      <c r="F2455" s="6">
        <v>0.0</v>
      </c>
      <c r="G2455" s="6">
        <v>13200.0</v>
      </c>
      <c r="H2455" s="6">
        <v>200876.0</v>
      </c>
    </row>
    <row r="2456" ht="15.75" customHeight="1">
      <c r="A2456" s="4">
        <v>2453.0</v>
      </c>
      <c r="B2456" s="4" t="s">
        <v>4923</v>
      </c>
      <c r="C2456" s="4" t="s">
        <v>4924</v>
      </c>
      <c r="D2456" s="4" t="s">
        <v>43</v>
      </c>
      <c r="E2456" s="6">
        <v>195390.0</v>
      </c>
      <c r="F2456" s="6">
        <v>0.0</v>
      </c>
      <c r="G2456" s="6">
        <v>14400.0</v>
      </c>
      <c r="H2456" s="6">
        <v>230769.0</v>
      </c>
    </row>
    <row r="2457" ht="15.75" customHeight="1">
      <c r="A2457" s="4">
        <v>2454.0</v>
      </c>
      <c r="B2457" s="4" t="s">
        <v>4925</v>
      </c>
      <c r="C2457" s="4" t="s">
        <v>4926</v>
      </c>
      <c r="D2457" s="4" t="s">
        <v>43</v>
      </c>
      <c r="E2457" s="6">
        <v>234330.0</v>
      </c>
      <c r="F2457" s="6">
        <v>0.0</v>
      </c>
      <c r="G2457" s="6">
        <v>17250.0</v>
      </c>
      <c r="H2457" s="6">
        <v>276738.0</v>
      </c>
    </row>
    <row r="2458" ht="15.75" customHeight="1">
      <c r="A2458" s="4">
        <v>2455.0</v>
      </c>
      <c r="B2458" s="4" t="s">
        <v>4927</v>
      </c>
      <c r="C2458" s="4" t="s">
        <v>4928</v>
      </c>
      <c r="D2458" s="4" t="s">
        <v>43</v>
      </c>
      <c r="E2458" s="6">
        <v>387200.0</v>
      </c>
      <c r="F2458" s="6">
        <v>0.0</v>
      </c>
      <c r="G2458" s="6">
        <v>23250.0</v>
      </c>
      <c r="H2458" s="6">
        <v>451495.0</v>
      </c>
    </row>
    <row r="2459" ht="15.75" customHeight="1">
      <c r="A2459" s="4">
        <v>2456.0</v>
      </c>
      <c r="B2459" s="4" t="s">
        <v>4929</v>
      </c>
      <c r="C2459" s="4" t="s">
        <v>4930</v>
      </c>
      <c r="D2459" s="4" t="s">
        <v>43</v>
      </c>
      <c r="E2459" s="6">
        <v>502130.0</v>
      </c>
      <c r="F2459" s="6">
        <v>0.0</v>
      </c>
      <c r="G2459" s="6">
        <v>28575.0</v>
      </c>
      <c r="H2459" s="6">
        <v>583775.0</v>
      </c>
    </row>
    <row r="2460" ht="15.75" customHeight="1">
      <c r="A2460" s="4">
        <v>2457.0</v>
      </c>
      <c r="B2460" s="4" t="s">
        <v>4931</v>
      </c>
      <c r="C2460" s="4" t="s">
        <v>4932</v>
      </c>
      <c r="D2460" s="4" t="s">
        <v>43</v>
      </c>
      <c r="E2460" s="6">
        <v>599080.0</v>
      </c>
      <c r="F2460" s="6">
        <v>0.0</v>
      </c>
      <c r="G2460" s="6">
        <v>33075.0</v>
      </c>
      <c r="H2460" s="6">
        <v>695370.0</v>
      </c>
    </row>
    <row r="2461" ht="15.75" customHeight="1">
      <c r="A2461" s="4">
        <v>2458.0</v>
      </c>
      <c r="B2461" s="4" t="s">
        <v>4933</v>
      </c>
      <c r="C2461" s="4" t="s">
        <v>4934</v>
      </c>
      <c r="D2461" s="4" t="s">
        <v>43</v>
      </c>
      <c r="E2461" s="6">
        <v>704870.0</v>
      </c>
      <c r="F2461" s="6">
        <v>0.0</v>
      </c>
      <c r="G2461" s="6">
        <v>37950.0</v>
      </c>
      <c r="H2461" s="6">
        <v>817102.0</v>
      </c>
    </row>
    <row r="2462" ht="15.75" customHeight="1">
      <c r="A2462" s="4">
        <v>2459.0</v>
      </c>
      <c r="B2462" s="4" t="s">
        <v>4935</v>
      </c>
      <c r="C2462" s="4" t="s">
        <v>4936</v>
      </c>
      <c r="D2462" s="4" t="s">
        <v>43</v>
      </c>
      <c r="E2462" s="6">
        <v>819700.0</v>
      </c>
      <c r="F2462" s="6">
        <v>0.0</v>
      </c>
      <c r="G2462" s="6">
        <v>43200.0</v>
      </c>
      <c r="H2462" s="6">
        <v>949190.0</v>
      </c>
    </row>
    <row r="2463" ht="15.75" customHeight="1">
      <c r="A2463" s="9">
        <v>2460.0</v>
      </c>
      <c r="B2463" s="9" t="s">
        <v>4937</v>
      </c>
      <c r="C2463" s="10" t="s">
        <v>4938</v>
      </c>
      <c r="D2463" s="9"/>
      <c r="E2463" s="11"/>
      <c r="F2463" s="11"/>
      <c r="G2463" s="11"/>
      <c r="H2463" s="11"/>
    </row>
    <row r="2464" ht="15.75" customHeight="1">
      <c r="A2464" s="9">
        <v>2461.0</v>
      </c>
      <c r="B2464" s="9" t="s">
        <v>4939</v>
      </c>
      <c r="C2464" s="10" t="s">
        <v>4940</v>
      </c>
      <c r="D2464" s="9"/>
      <c r="E2464" s="11"/>
      <c r="F2464" s="11"/>
      <c r="G2464" s="11"/>
      <c r="H2464" s="11"/>
    </row>
    <row r="2465" ht="15.75" customHeight="1">
      <c r="A2465" s="4">
        <v>2462.0</v>
      </c>
      <c r="B2465" s="4" t="s">
        <v>4941</v>
      </c>
      <c r="C2465" s="4" t="s">
        <v>4942</v>
      </c>
      <c r="D2465" s="4" t="s">
        <v>419</v>
      </c>
      <c r="E2465" s="6">
        <v>74400.0</v>
      </c>
      <c r="F2465" s="6">
        <v>525000.0</v>
      </c>
      <c r="G2465" s="6">
        <v>432.0</v>
      </c>
      <c r="H2465" s="6">
        <v>659815.0</v>
      </c>
    </row>
    <row r="2466" ht="15.75" customHeight="1">
      <c r="A2466" s="4">
        <v>2463.0</v>
      </c>
      <c r="B2466" s="4" t="s">
        <v>4943</v>
      </c>
      <c r="C2466" s="4" t="s">
        <v>4944</v>
      </c>
      <c r="D2466" s="4" t="s">
        <v>419</v>
      </c>
      <c r="E2466" s="6">
        <v>86320.0</v>
      </c>
      <c r="F2466" s="6">
        <v>650000.0</v>
      </c>
      <c r="G2466" s="6">
        <v>432.0</v>
      </c>
      <c r="H2466" s="6">
        <v>810427.0</v>
      </c>
    </row>
    <row r="2467" ht="15.75" customHeight="1">
      <c r="A2467" s="4">
        <v>2464.0</v>
      </c>
      <c r="B2467" s="4" t="s">
        <v>4945</v>
      </c>
      <c r="C2467" s="4" t="s">
        <v>4946</v>
      </c>
      <c r="D2467" s="4" t="s">
        <v>419</v>
      </c>
      <c r="E2467" s="6">
        <v>96650.0</v>
      </c>
      <c r="F2467" s="6">
        <v>770000.0</v>
      </c>
      <c r="G2467" s="6">
        <v>432.0</v>
      </c>
      <c r="H2467" s="6">
        <v>953790.0</v>
      </c>
    </row>
    <row r="2468" ht="15.75" customHeight="1">
      <c r="A2468" s="4">
        <v>2465.0</v>
      </c>
      <c r="B2468" s="4" t="s">
        <v>4947</v>
      </c>
      <c r="C2468" s="4" t="s">
        <v>4948</v>
      </c>
      <c r="D2468" s="4" t="s">
        <v>419</v>
      </c>
      <c r="E2468" s="6">
        <v>105590.0</v>
      </c>
      <c r="F2468" s="6">
        <v>815000.0</v>
      </c>
      <c r="G2468" s="6">
        <v>432.0</v>
      </c>
      <c r="H2468" s="6">
        <v>1013124.0</v>
      </c>
    </row>
    <row r="2469" ht="15.75" customHeight="1">
      <c r="A2469" s="4">
        <v>2466.0</v>
      </c>
      <c r="B2469" s="4" t="s">
        <v>4949</v>
      </c>
      <c r="C2469" s="4" t="s">
        <v>4950</v>
      </c>
      <c r="D2469" s="4" t="s">
        <v>419</v>
      </c>
      <c r="E2469" s="6">
        <v>165835.0</v>
      </c>
      <c r="F2469" s="6">
        <v>895000.0</v>
      </c>
      <c r="G2469" s="6">
        <v>432.0</v>
      </c>
      <c r="H2469" s="6">
        <v>1167393.0</v>
      </c>
    </row>
    <row r="2470" ht="15.75" customHeight="1">
      <c r="A2470" s="4">
        <v>2467.0</v>
      </c>
      <c r="B2470" s="4" t="s">
        <v>4951</v>
      </c>
      <c r="C2470" s="4" t="s">
        <v>4952</v>
      </c>
      <c r="D2470" s="4" t="s">
        <v>419</v>
      </c>
      <c r="E2470" s="6">
        <v>197525.0</v>
      </c>
      <c r="F2470" s="6">
        <v>945000.0</v>
      </c>
      <c r="G2470" s="6">
        <v>432.0</v>
      </c>
      <c r="H2470" s="6">
        <v>1257252.0</v>
      </c>
    </row>
    <row r="2471" ht="15.75" customHeight="1">
      <c r="A2471" s="4">
        <v>2468.0</v>
      </c>
      <c r="B2471" s="4" t="s">
        <v>4953</v>
      </c>
      <c r="C2471" s="4" t="s">
        <v>4954</v>
      </c>
      <c r="D2471" s="4" t="s">
        <v>419</v>
      </c>
      <c r="E2471" s="6">
        <v>210735.0</v>
      </c>
      <c r="F2471" s="6">
        <v>1055000.0</v>
      </c>
      <c r="G2471" s="6">
        <v>432.0</v>
      </c>
      <c r="H2471" s="6">
        <v>1392783.0</v>
      </c>
    </row>
    <row r="2472" ht="15.75" customHeight="1">
      <c r="A2472" s="4">
        <v>2469.0</v>
      </c>
      <c r="B2472" s="4" t="s">
        <v>4955</v>
      </c>
      <c r="C2472" s="4" t="s">
        <v>4956</v>
      </c>
      <c r="D2472" s="4" t="s">
        <v>419</v>
      </c>
      <c r="E2472" s="6">
        <v>352585.0</v>
      </c>
      <c r="F2472" s="6">
        <v>2305000.0</v>
      </c>
      <c r="G2472" s="6">
        <v>143262.0</v>
      </c>
      <c r="H2472" s="6">
        <v>3080931.0</v>
      </c>
    </row>
    <row r="2473" ht="15.75" customHeight="1">
      <c r="A2473" s="4">
        <v>2470.0</v>
      </c>
      <c r="B2473" s="4" t="s">
        <v>4957</v>
      </c>
      <c r="C2473" s="4" t="s">
        <v>4958</v>
      </c>
      <c r="D2473" s="4" t="s">
        <v>419</v>
      </c>
      <c r="E2473" s="6">
        <v>396740.0</v>
      </c>
      <c r="F2473" s="6">
        <v>2455000.0</v>
      </c>
      <c r="G2473" s="6">
        <v>159252.0</v>
      </c>
      <c r="H2473" s="6">
        <v>3312091.0</v>
      </c>
    </row>
    <row r="2474" ht="15.75" customHeight="1">
      <c r="A2474" s="4">
        <v>2471.0</v>
      </c>
      <c r="B2474" s="4" t="s">
        <v>4959</v>
      </c>
      <c r="C2474" s="4" t="s">
        <v>4960</v>
      </c>
      <c r="D2474" s="4" t="s">
        <v>419</v>
      </c>
      <c r="E2474" s="6">
        <v>440695.0</v>
      </c>
      <c r="F2474" s="6">
        <v>2565000.0</v>
      </c>
      <c r="G2474" s="6">
        <v>180392.0</v>
      </c>
      <c r="H2474" s="6">
        <v>3504695.0</v>
      </c>
    </row>
    <row r="2475" ht="15.75" customHeight="1">
      <c r="A2475" s="4">
        <v>2472.0</v>
      </c>
      <c r="B2475" s="4" t="s">
        <v>4961</v>
      </c>
      <c r="C2475" s="4" t="s">
        <v>4962</v>
      </c>
      <c r="D2475" s="4" t="s">
        <v>419</v>
      </c>
      <c r="E2475" s="6">
        <v>529050.0</v>
      </c>
      <c r="F2475" s="6">
        <v>2655000.0</v>
      </c>
      <c r="G2475" s="6">
        <v>217522.0</v>
      </c>
      <c r="H2475" s="6">
        <v>3741729.0</v>
      </c>
    </row>
    <row r="2476" ht="15.75" customHeight="1">
      <c r="A2476" s="4">
        <v>2473.0</v>
      </c>
      <c r="B2476" s="4" t="s">
        <v>4963</v>
      </c>
      <c r="C2476" s="4" t="s">
        <v>4964</v>
      </c>
      <c r="D2476" s="4" t="s">
        <v>419</v>
      </c>
      <c r="E2476" s="6">
        <v>580655.0</v>
      </c>
      <c r="F2476" s="6">
        <v>2795000.0</v>
      </c>
      <c r="G2476" s="6">
        <v>247484.0</v>
      </c>
      <c r="H2476" s="6">
        <v>3985452.0</v>
      </c>
    </row>
    <row r="2477" ht="15.75" customHeight="1">
      <c r="A2477" s="4">
        <v>2474.0</v>
      </c>
      <c r="B2477" s="4" t="s">
        <v>4965</v>
      </c>
      <c r="C2477" s="4" t="s">
        <v>4966</v>
      </c>
      <c r="D2477" s="4" t="s">
        <v>419</v>
      </c>
      <c r="E2477" s="6">
        <v>540045.0</v>
      </c>
      <c r="F2477" s="6">
        <v>2955000.0</v>
      </c>
      <c r="G2477" s="6">
        <v>280220.0</v>
      </c>
      <c r="H2477" s="6">
        <v>4152791.0</v>
      </c>
    </row>
    <row r="2478" ht="15.75" customHeight="1">
      <c r="A2478" s="4">
        <v>2475.0</v>
      </c>
      <c r="B2478" s="4" t="s">
        <v>4967</v>
      </c>
      <c r="C2478" s="4" t="s">
        <v>4968</v>
      </c>
      <c r="D2478" s="4" t="s">
        <v>419</v>
      </c>
      <c r="E2478" s="6">
        <v>729255.0</v>
      </c>
      <c r="F2478" s="6">
        <v>3115000.0</v>
      </c>
      <c r="G2478" s="6">
        <v>313064.0</v>
      </c>
      <c r="H2478" s="6">
        <v>4573050.0</v>
      </c>
    </row>
    <row r="2479" ht="15.75" customHeight="1">
      <c r="A2479" s="4">
        <v>2476.0</v>
      </c>
      <c r="B2479" s="4" t="s">
        <v>4969</v>
      </c>
      <c r="C2479" s="4" t="s">
        <v>4970</v>
      </c>
      <c r="D2479" s="4" t="s">
        <v>419</v>
      </c>
      <c r="E2479" s="6">
        <v>802665.0</v>
      </c>
      <c r="F2479" s="6">
        <v>3235000.0</v>
      </c>
      <c r="G2479" s="6">
        <v>345800.0</v>
      </c>
      <c r="H2479" s="6">
        <v>4821811.0</v>
      </c>
    </row>
    <row r="2480" ht="15.75" customHeight="1">
      <c r="A2480" s="4">
        <v>2477.0</v>
      </c>
      <c r="B2480" s="4" t="s">
        <v>4971</v>
      </c>
      <c r="C2480" s="4" t="s">
        <v>4972</v>
      </c>
      <c r="D2480" s="4" t="s">
        <v>419</v>
      </c>
      <c r="E2480" s="6">
        <v>877820.0</v>
      </c>
      <c r="F2480" s="6">
        <v>3355000.0</v>
      </c>
      <c r="G2480" s="6">
        <v>378536.0000000001</v>
      </c>
      <c r="H2480" s="6">
        <v>5072491.0</v>
      </c>
    </row>
    <row r="2481" ht="15.75" customHeight="1">
      <c r="A2481" s="9">
        <v>2478.0</v>
      </c>
      <c r="B2481" s="9" t="s">
        <v>4973</v>
      </c>
      <c r="C2481" s="10" t="s">
        <v>4974</v>
      </c>
      <c r="D2481" s="9"/>
      <c r="E2481" s="11"/>
      <c r="F2481" s="11"/>
      <c r="G2481" s="11"/>
      <c r="H2481" s="11"/>
    </row>
    <row r="2482" ht="15.75" customHeight="1">
      <c r="A2482" s="4">
        <v>2479.0</v>
      </c>
      <c r="B2482" s="4" t="s">
        <v>4975</v>
      </c>
      <c r="C2482" s="4" t="s">
        <v>4976</v>
      </c>
      <c r="D2482" s="4" t="s">
        <v>43</v>
      </c>
      <c r="E2482" s="6">
        <v>4270.0</v>
      </c>
      <c r="F2482" s="6">
        <v>0.0</v>
      </c>
      <c r="G2482" s="6">
        <v>12525.0</v>
      </c>
      <c r="H2482" s="6">
        <v>18474.0</v>
      </c>
    </row>
    <row r="2483" ht="15.75" customHeight="1">
      <c r="A2483" s="4">
        <v>2480.0</v>
      </c>
      <c r="B2483" s="4" t="s">
        <v>4977</v>
      </c>
      <c r="C2483" s="4" t="s">
        <v>4978</v>
      </c>
      <c r="D2483" s="4" t="s">
        <v>43</v>
      </c>
      <c r="E2483" s="6">
        <v>12565.0</v>
      </c>
      <c r="F2483" s="6">
        <v>0.0</v>
      </c>
      <c r="G2483" s="6">
        <v>3000.0</v>
      </c>
      <c r="H2483" s="6">
        <v>17121.0</v>
      </c>
    </row>
    <row r="2484" ht="15.75" customHeight="1">
      <c r="A2484" s="4">
        <v>2481.0</v>
      </c>
      <c r="B2484" s="4" t="s">
        <v>4979</v>
      </c>
      <c r="C2484" s="4" t="s">
        <v>4980</v>
      </c>
      <c r="D2484" s="4" t="s">
        <v>43</v>
      </c>
      <c r="E2484" s="6">
        <v>19815.0</v>
      </c>
      <c r="F2484" s="6">
        <v>0.0</v>
      </c>
      <c r="G2484" s="6">
        <v>3150.0</v>
      </c>
      <c r="H2484" s="6">
        <v>25261.0</v>
      </c>
    </row>
    <row r="2485" ht="15.75" customHeight="1">
      <c r="A2485" s="4">
        <v>2482.0</v>
      </c>
      <c r="B2485" s="4" t="s">
        <v>4981</v>
      </c>
      <c r="C2485" s="4" t="s">
        <v>4982</v>
      </c>
      <c r="D2485" s="4" t="s">
        <v>43</v>
      </c>
      <c r="E2485" s="6">
        <v>27365.0</v>
      </c>
      <c r="F2485" s="6">
        <v>0.0</v>
      </c>
      <c r="G2485" s="6">
        <v>3375.0</v>
      </c>
      <c r="H2485" s="6">
        <v>33814.0</v>
      </c>
    </row>
    <row r="2486" ht="15.75" customHeight="1">
      <c r="A2486" s="4">
        <v>2483.0</v>
      </c>
      <c r="B2486" s="4" t="s">
        <v>4983</v>
      </c>
      <c r="C2486" s="4" t="s">
        <v>4984</v>
      </c>
      <c r="D2486" s="4" t="s">
        <v>43</v>
      </c>
      <c r="E2486" s="6">
        <v>70975.0</v>
      </c>
      <c r="F2486" s="6">
        <v>0.0</v>
      </c>
      <c r="G2486" s="6">
        <v>4500.0</v>
      </c>
      <c r="H2486" s="6">
        <v>83022.0</v>
      </c>
    </row>
    <row r="2487" ht="15.75" customHeight="1">
      <c r="A2487" s="4">
        <v>2484.0</v>
      </c>
      <c r="B2487" s="4" t="s">
        <v>4985</v>
      </c>
      <c r="C2487" s="4" t="s">
        <v>4986</v>
      </c>
      <c r="D2487" s="4" t="s">
        <v>43</v>
      </c>
      <c r="E2487" s="6">
        <v>98785.0</v>
      </c>
      <c r="F2487" s="6">
        <v>0.0</v>
      </c>
      <c r="G2487" s="6">
        <v>5100.0</v>
      </c>
      <c r="H2487" s="6">
        <v>114273.0</v>
      </c>
    </row>
    <row r="2488" ht="15.75" customHeight="1">
      <c r="A2488" s="4">
        <v>2485.0</v>
      </c>
      <c r="B2488" s="4" t="s">
        <v>4987</v>
      </c>
      <c r="C2488" s="4" t="s">
        <v>4988</v>
      </c>
      <c r="D2488" s="4" t="s">
        <v>43</v>
      </c>
      <c r="E2488" s="6">
        <v>110905.0</v>
      </c>
      <c r="F2488" s="6">
        <v>0.0</v>
      </c>
      <c r="G2488" s="6">
        <v>5400.0</v>
      </c>
      <c r="H2488" s="6">
        <v>127935.0</v>
      </c>
    </row>
    <row r="2489" ht="15.75" customHeight="1">
      <c r="A2489" s="4">
        <v>2486.0</v>
      </c>
      <c r="B2489" s="4" t="s">
        <v>4989</v>
      </c>
      <c r="C2489" s="4" t="s">
        <v>4990</v>
      </c>
      <c r="D2489" s="4" t="s">
        <v>43</v>
      </c>
      <c r="E2489" s="6">
        <v>214560.0</v>
      </c>
      <c r="F2489" s="6">
        <v>0.0</v>
      </c>
      <c r="G2489" s="6">
        <v>7875.0</v>
      </c>
      <c r="H2489" s="6">
        <v>244678.0</v>
      </c>
    </row>
    <row r="2490" ht="15.75" customHeight="1">
      <c r="A2490" s="4">
        <v>2487.0</v>
      </c>
      <c r="B2490" s="4" t="s">
        <v>4991</v>
      </c>
      <c r="C2490" s="4" t="s">
        <v>4992</v>
      </c>
      <c r="D2490" s="4" t="s">
        <v>43</v>
      </c>
      <c r="E2490" s="6">
        <v>223400.0</v>
      </c>
      <c r="F2490" s="6">
        <v>0.0</v>
      </c>
      <c r="G2490" s="6">
        <v>7950.0</v>
      </c>
      <c r="H2490" s="6">
        <v>254485.0</v>
      </c>
    </row>
    <row r="2491" ht="15.75" customHeight="1">
      <c r="A2491" s="4">
        <v>2488.0</v>
      </c>
      <c r="B2491" s="4" t="s">
        <v>4993</v>
      </c>
      <c r="C2491" s="4" t="s">
        <v>4994</v>
      </c>
      <c r="D2491" s="4" t="s">
        <v>43</v>
      </c>
      <c r="E2491" s="6">
        <v>232240.0</v>
      </c>
      <c r="F2491" s="6">
        <v>0.0</v>
      </c>
      <c r="G2491" s="6">
        <v>8025.0</v>
      </c>
      <c r="H2491" s="6">
        <v>264291.0</v>
      </c>
    </row>
    <row r="2492" ht="15.75" customHeight="1">
      <c r="A2492" s="4">
        <v>2489.0</v>
      </c>
      <c r="B2492" s="4" t="s">
        <v>4995</v>
      </c>
      <c r="C2492" s="4" t="s">
        <v>4996</v>
      </c>
      <c r="D2492" s="4" t="s">
        <v>43</v>
      </c>
      <c r="E2492" s="6">
        <v>293330.0</v>
      </c>
      <c r="F2492" s="6">
        <v>0.0</v>
      </c>
      <c r="G2492" s="6">
        <v>9375.0</v>
      </c>
      <c r="H2492" s="6">
        <v>332975.0</v>
      </c>
    </row>
    <row r="2493" ht="15.75" customHeight="1">
      <c r="A2493" s="4">
        <v>2490.0</v>
      </c>
      <c r="B2493" s="4" t="s">
        <v>4997</v>
      </c>
      <c r="C2493" s="4" t="s">
        <v>4998</v>
      </c>
      <c r="D2493" s="4" t="s">
        <v>43</v>
      </c>
      <c r="E2493" s="6">
        <v>354925.0</v>
      </c>
      <c r="F2493" s="6">
        <v>0.0</v>
      </c>
      <c r="G2493" s="6">
        <v>12450.0</v>
      </c>
      <c r="H2493" s="6">
        <v>404112.0</v>
      </c>
    </row>
    <row r="2494" ht="15.75" customHeight="1">
      <c r="A2494" s="4">
        <v>2491.0</v>
      </c>
      <c r="B2494" s="4" t="s">
        <v>4999</v>
      </c>
      <c r="C2494" s="4" t="s">
        <v>5000</v>
      </c>
      <c r="D2494" s="4" t="s">
        <v>43</v>
      </c>
      <c r="E2494" s="6">
        <v>442630.0</v>
      </c>
      <c r="F2494" s="6">
        <v>0.0</v>
      </c>
      <c r="G2494" s="6">
        <v>13725.0</v>
      </c>
      <c r="H2494" s="6">
        <v>501990.0</v>
      </c>
    </row>
    <row r="2495" ht="15.75" customHeight="1">
      <c r="A2495" s="4">
        <v>2492.0</v>
      </c>
      <c r="B2495" s="4" t="s">
        <v>5001</v>
      </c>
      <c r="C2495" s="4" t="s">
        <v>5002</v>
      </c>
      <c r="D2495" s="4" t="s">
        <v>43</v>
      </c>
      <c r="E2495" s="6">
        <v>494580.0</v>
      </c>
      <c r="F2495" s="6">
        <v>0.0</v>
      </c>
      <c r="G2495" s="6">
        <v>15075.0</v>
      </c>
      <c r="H2495" s="6">
        <v>560620.0</v>
      </c>
    </row>
    <row r="2496" ht="15.75" customHeight="1">
      <c r="A2496" s="4">
        <v>2493.0</v>
      </c>
      <c r="B2496" s="4" t="s">
        <v>5003</v>
      </c>
      <c r="C2496" s="4" t="s">
        <v>5004</v>
      </c>
      <c r="D2496" s="4" t="s">
        <v>43</v>
      </c>
      <c r="E2496" s="6">
        <v>546385.0</v>
      </c>
      <c r="F2496" s="6">
        <v>0.0</v>
      </c>
      <c r="G2496" s="6">
        <v>16350.0</v>
      </c>
      <c r="H2496" s="6">
        <v>619008.0</v>
      </c>
    </row>
    <row r="2497" ht="15.75" customHeight="1">
      <c r="A2497" s="4">
        <v>2494.0</v>
      </c>
      <c r="B2497" s="4" t="s">
        <v>5005</v>
      </c>
      <c r="C2497" s="4" t="s">
        <v>5006</v>
      </c>
      <c r="D2497" s="4" t="s">
        <v>43</v>
      </c>
      <c r="E2497" s="6">
        <v>598335.0</v>
      </c>
      <c r="F2497" s="6">
        <v>0.0</v>
      </c>
      <c r="G2497" s="6">
        <v>17700.0</v>
      </c>
      <c r="H2497" s="6">
        <v>677638.0</v>
      </c>
    </row>
    <row r="2498" ht="15.75" customHeight="1">
      <c r="A2498" s="9">
        <v>2495.0</v>
      </c>
      <c r="B2498" s="9" t="s">
        <v>5007</v>
      </c>
      <c r="C2498" s="10" t="s">
        <v>5008</v>
      </c>
      <c r="D2498" s="9"/>
      <c r="E2498" s="11"/>
      <c r="F2498" s="11"/>
      <c r="G2498" s="11"/>
      <c r="H2498" s="11"/>
    </row>
    <row r="2499" ht="15.75" customHeight="1">
      <c r="A2499" s="9">
        <v>2496.0</v>
      </c>
      <c r="B2499" s="9" t="s">
        <v>5009</v>
      </c>
      <c r="C2499" s="10" t="s">
        <v>5010</v>
      </c>
      <c r="D2499" s="9"/>
      <c r="E2499" s="11"/>
      <c r="F2499" s="11"/>
      <c r="G2499" s="11"/>
      <c r="H2499" s="11"/>
    </row>
    <row r="2500" ht="15.75" customHeight="1">
      <c r="A2500" s="4">
        <v>2497.0</v>
      </c>
      <c r="B2500" s="4" t="s">
        <v>5011</v>
      </c>
      <c r="C2500" s="4" t="s">
        <v>5012</v>
      </c>
      <c r="D2500" s="4" t="s">
        <v>419</v>
      </c>
      <c r="E2500" s="6">
        <v>15055.0</v>
      </c>
      <c r="F2500" s="6">
        <v>248494.6</v>
      </c>
      <c r="G2500" s="6">
        <v>0.0</v>
      </c>
      <c r="H2500" s="6">
        <v>289904.0</v>
      </c>
    </row>
    <row r="2501" ht="15.75" customHeight="1">
      <c r="A2501" s="4">
        <v>2498.0</v>
      </c>
      <c r="B2501" s="4" t="s">
        <v>5013</v>
      </c>
      <c r="C2501" s="4" t="s">
        <v>5014</v>
      </c>
      <c r="D2501" s="4" t="s">
        <v>419</v>
      </c>
      <c r="E2501" s="6">
        <v>15055.0</v>
      </c>
      <c r="F2501" s="6">
        <v>280752.1</v>
      </c>
      <c r="G2501" s="6">
        <v>0.0</v>
      </c>
      <c r="H2501" s="6">
        <v>325387.0</v>
      </c>
    </row>
    <row r="2502" ht="15.75" customHeight="1">
      <c r="A2502" s="4">
        <v>2499.0</v>
      </c>
      <c r="B2502" s="4" t="s">
        <v>5015</v>
      </c>
      <c r="C2502" s="4" t="s">
        <v>5016</v>
      </c>
      <c r="D2502" s="4" t="s">
        <v>419</v>
      </c>
      <c r="E2502" s="6">
        <v>21225.0</v>
      </c>
      <c r="F2502" s="6">
        <v>305492.6</v>
      </c>
      <c r="G2502" s="6">
        <v>0.0</v>
      </c>
      <c r="H2502" s="6">
        <v>359389.0</v>
      </c>
    </row>
    <row r="2503" ht="15.75" customHeight="1">
      <c r="A2503" s="4">
        <v>2500.0</v>
      </c>
      <c r="B2503" s="4" t="s">
        <v>5017</v>
      </c>
      <c r="C2503" s="4" t="s">
        <v>5018</v>
      </c>
      <c r="D2503" s="4" t="s">
        <v>419</v>
      </c>
      <c r="E2503" s="6">
        <v>21225.0</v>
      </c>
      <c r="F2503" s="6">
        <v>324290.5</v>
      </c>
      <c r="G2503" s="6">
        <v>0.0</v>
      </c>
      <c r="H2503" s="6">
        <v>380067.0</v>
      </c>
    </row>
    <row r="2504" ht="15.75" customHeight="1">
      <c r="A2504" s="4">
        <v>2501.0</v>
      </c>
      <c r="B2504" s="4" t="s">
        <v>5019</v>
      </c>
      <c r="C2504" s="4" t="s">
        <v>5020</v>
      </c>
      <c r="D2504" s="4" t="s">
        <v>419</v>
      </c>
      <c r="E2504" s="6">
        <v>35905.0</v>
      </c>
      <c r="F2504" s="6">
        <v>381498.8</v>
      </c>
      <c r="G2504" s="6">
        <v>0.0</v>
      </c>
      <c r="H2504" s="6">
        <v>459144.0</v>
      </c>
    </row>
    <row r="2505" ht="15.75" customHeight="1">
      <c r="A2505" s="4">
        <v>2502.0</v>
      </c>
      <c r="B2505" s="4" t="s">
        <v>5021</v>
      </c>
      <c r="C2505" s="4" t="s">
        <v>5022</v>
      </c>
      <c r="D2505" s="4" t="s">
        <v>419</v>
      </c>
      <c r="E2505" s="6">
        <v>35905.0</v>
      </c>
      <c r="F2505" s="6">
        <v>449195.5</v>
      </c>
      <c r="G2505" s="6">
        <v>0.0</v>
      </c>
      <c r="H2505" s="6">
        <v>533610.0</v>
      </c>
    </row>
    <row r="2506" ht="15.75" customHeight="1">
      <c r="A2506" s="4">
        <v>2503.0</v>
      </c>
      <c r="B2506" s="4" t="s">
        <v>5023</v>
      </c>
      <c r="C2506" s="4" t="s">
        <v>5024</v>
      </c>
      <c r="D2506" s="4" t="s">
        <v>419</v>
      </c>
      <c r="E2506" s="6">
        <v>72230.0</v>
      </c>
      <c r="F2506" s="6">
        <v>538739.3</v>
      </c>
      <c r="G2506" s="6">
        <v>0.0</v>
      </c>
      <c r="H2506" s="6">
        <v>672066.0</v>
      </c>
    </row>
    <row r="2507" ht="15.75" customHeight="1">
      <c r="A2507" s="4">
        <v>2504.0</v>
      </c>
      <c r="B2507" s="4" t="s">
        <v>5025</v>
      </c>
      <c r="C2507" s="4" t="s">
        <v>5026</v>
      </c>
      <c r="D2507" s="4" t="s">
        <v>419</v>
      </c>
      <c r="E2507" s="6">
        <v>72230.0</v>
      </c>
      <c r="F2507" s="6">
        <v>618739.3</v>
      </c>
      <c r="G2507" s="6">
        <v>0.0</v>
      </c>
      <c r="H2507" s="6">
        <v>760066.0</v>
      </c>
    </row>
    <row r="2508" ht="15.75" customHeight="1">
      <c r="A2508" s="4">
        <v>2505.0</v>
      </c>
      <c r="B2508" s="4" t="s">
        <v>5027</v>
      </c>
      <c r="C2508" s="4" t="s">
        <v>5028</v>
      </c>
      <c r="D2508" s="4" t="s">
        <v>419</v>
      </c>
      <c r="E2508" s="6">
        <v>90420.0</v>
      </c>
      <c r="F2508" s="6">
        <v>695355.0</v>
      </c>
      <c r="G2508" s="6">
        <v>0.0</v>
      </c>
      <c r="H2508" s="6">
        <v>864352.0</v>
      </c>
    </row>
    <row r="2509" ht="15.75" customHeight="1">
      <c r="A2509" s="9">
        <v>2506.0</v>
      </c>
      <c r="B2509" s="9" t="s">
        <v>5029</v>
      </c>
      <c r="C2509" s="10" t="s">
        <v>5030</v>
      </c>
      <c r="D2509" s="9"/>
      <c r="E2509" s="11"/>
      <c r="F2509" s="11"/>
      <c r="G2509" s="11"/>
      <c r="H2509" s="11"/>
    </row>
    <row r="2510" ht="15.75" customHeight="1">
      <c r="A2510" s="9">
        <v>2507.0</v>
      </c>
      <c r="B2510" s="9" t="s">
        <v>5031</v>
      </c>
      <c r="C2510" s="10" t="s">
        <v>5032</v>
      </c>
      <c r="D2510" s="9"/>
      <c r="E2510" s="11"/>
      <c r="F2510" s="11"/>
      <c r="G2510" s="11"/>
      <c r="H2510" s="11"/>
    </row>
    <row r="2511" ht="15.75" customHeight="1">
      <c r="A2511" s="4">
        <v>2508.0</v>
      </c>
      <c r="B2511" s="4" t="s">
        <v>5033</v>
      </c>
      <c r="C2511" s="4" t="s">
        <v>5034</v>
      </c>
      <c r="D2511" s="4" t="s">
        <v>43</v>
      </c>
      <c r="E2511" s="6">
        <v>282285.0</v>
      </c>
      <c r="F2511" s="6">
        <v>0.0</v>
      </c>
      <c r="G2511" s="6">
        <v>421160.0</v>
      </c>
      <c r="H2511" s="6">
        <v>773789.0</v>
      </c>
    </row>
    <row r="2512" ht="15.75" customHeight="1">
      <c r="A2512" s="4">
        <v>2509.0</v>
      </c>
      <c r="B2512" s="4" t="s">
        <v>5035</v>
      </c>
      <c r="C2512" s="4" t="s">
        <v>5036</v>
      </c>
      <c r="D2512" s="4" t="s">
        <v>43</v>
      </c>
      <c r="E2512" s="6">
        <v>316935.0</v>
      </c>
      <c r="F2512" s="6">
        <v>0.0</v>
      </c>
      <c r="G2512" s="6">
        <v>472828.0</v>
      </c>
      <c r="H2512" s="6">
        <v>868739.0</v>
      </c>
    </row>
    <row r="2513" ht="15.75" customHeight="1">
      <c r="A2513" s="4">
        <v>2510.0</v>
      </c>
      <c r="B2513" s="4" t="s">
        <v>5037</v>
      </c>
      <c r="C2513" s="4" t="s">
        <v>5038</v>
      </c>
      <c r="D2513" s="4" t="s">
        <v>43</v>
      </c>
      <c r="E2513" s="6">
        <v>403560.0</v>
      </c>
      <c r="F2513" s="6">
        <v>0.0</v>
      </c>
      <c r="G2513" s="6">
        <v>601998.0</v>
      </c>
      <c r="H2513" s="6">
        <v>1106113.0</v>
      </c>
    </row>
    <row r="2514" ht="15.75" customHeight="1">
      <c r="A2514" s="4">
        <v>2511.0</v>
      </c>
      <c r="B2514" s="4" t="s">
        <v>5039</v>
      </c>
      <c r="C2514" s="4" t="s">
        <v>5040</v>
      </c>
      <c r="D2514" s="4" t="s">
        <v>43</v>
      </c>
      <c r="E2514" s="6">
        <v>490185.0</v>
      </c>
      <c r="F2514" s="6">
        <v>0.0</v>
      </c>
      <c r="G2514" s="6">
        <v>731168.0</v>
      </c>
      <c r="H2514" s="6">
        <v>1343488.0</v>
      </c>
    </row>
    <row r="2515" ht="15.75" customHeight="1">
      <c r="A2515" s="4">
        <v>2512.0</v>
      </c>
      <c r="B2515" s="4" t="s">
        <v>5041</v>
      </c>
      <c r="C2515" s="4" t="s">
        <v>5042</v>
      </c>
      <c r="D2515" s="4" t="s">
        <v>43</v>
      </c>
      <c r="E2515" s="6">
        <v>576810.0</v>
      </c>
      <c r="F2515" s="6">
        <v>0.0</v>
      </c>
      <c r="G2515" s="6">
        <v>860338.0</v>
      </c>
      <c r="H2515" s="6">
        <v>1580862.0</v>
      </c>
    </row>
    <row r="2516" ht="15.75" customHeight="1">
      <c r="A2516" s="4">
        <v>2513.0</v>
      </c>
      <c r="B2516" s="4" t="s">
        <v>5043</v>
      </c>
      <c r="C2516" s="4" t="s">
        <v>5044</v>
      </c>
      <c r="D2516" s="4" t="s">
        <v>43</v>
      </c>
      <c r="E2516" s="6">
        <v>663435.0</v>
      </c>
      <c r="F2516" s="6">
        <v>0.0</v>
      </c>
      <c r="G2516" s="6">
        <v>989508.0</v>
      </c>
      <c r="H2516" s="6">
        <v>1818237.0</v>
      </c>
    </row>
    <row r="2517" ht="15.75" customHeight="1">
      <c r="A2517" s="4">
        <v>2514.0</v>
      </c>
      <c r="B2517" s="4" t="s">
        <v>5045</v>
      </c>
      <c r="C2517" s="4" t="s">
        <v>5046</v>
      </c>
      <c r="D2517" s="4" t="s">
        <v>43</v>
      </c>
      <c r="E2517" s="6">
        <v>836685.0</v>
      </c>
      <c r="F2517" s="6">
        <v>0.0</v>
      </c>
      <c r="G2517" s="6">
        <v>1247848.0</v>
      </c>
      <c r="H2517" s="6">
        <v>2292986.0</v>
      </c>
    </row>
    <row r="2518" ht="15.75" customHeight="1">
      <c r="A2518" s="4">
        <v>2515.0</v>
      </c>
      <c r="B2518" s="4" t="s">
        <v>5047</v>
      </c>
      <c r="C2518" s="4" t="s">
        <v>5048</v>
      </c>
      <c r="D2518" s="4" t="s">
        <v>43</v>
      </c>
      <c r="E2518" s="6">
        <v>923310.0</v>
      </c>
      <c r="F2518" s="6">
        <v>0.0</v>
      </c>
      <c r="G2518" s="6">
        <v>1377018.0</v>
      </c>
      <c r="H2518" s="6">
        <v>2530360.0</v>
      </c>
    </row>
    <row r="2519" ht="15.75" customHeight="1">
      <c r="A2519" s="4">
        <v>2516.0</v>
      </c>
      <c r="B2519" s="4" t="s">
        <v>5049</v>
      </c>
      <c r="C2519" s="4" t="s">
        <v>5050</v>
      </c>
      <c r="D2519" s="4" t="s">
        <v>43</v>
      </c>
      <c r="E2519" s="6">
        <v>1009935.0</v>
      </c>
      <c r="F2519" s="6">
        <v>0.0</v>
      </c>
      <c r="G2519" s="6">
        <v>1506188.0</v>
      </c>
      <c r="H2519" s="6">
        <v>2767735.0</v>
      </c>
    </row>
    <row r="2520" ht="15.75" customHeight="1">
      <c r="A2520" s="4">
        <v>2517.0</v>
      </c>
      <c r="B2520" s="4" t="s">
        <v>5051</v>
      </c>
      <c r="C2520" s="4" t="s">
        <v>5052</v>
      </c>
      <c r="D2520" s="4" t="s">
        <v>43</v>
      </c>
      <c r="E2520" s="6">
        <v>1183185.0</v>
      </c>
      <c r="F2520" s="6">
        <v>0.0</v>
      </c>
      <c r="G2520" s="6">
        <v>1764528.0</v>
      </c>
      <c r="H2520" s="6">
        <v>3242484.0</v>
      </c>
    </row>
    <row r="2521" ht="15.75" customHeight="1">
      <c r="A2521" s="4">
        <v>2518.0</v>
      </c>
      <c r="B2521" s="4" t="s">
        <v>5053</v>
      </c>
      <c r="C2521" s="4" t="s">
        <v>5054</v>
      </c>
      <c r="D2521" s="4" t="s">
        <v>43</v>
      </c>
      <c r="E2521" s="6">
        <v>1356435.0</v>
      </c>
      <c r="F2521" s="6">
        <v>0.0</v>
      </c>
      <c r="G2521" s="6">
        <v>2022868.0</v>
      </c>
      <c r="H2521" s="6">
        <v>3717233.0</v>
      </c>
    </row>
    <row r="2522" ht="15.75" customHeight="1">
      <c r="A2522" s="4">
        <v>2519.0</v>
      </c>
      <c r="B2522" s="4" t="s">
        <v>5055</v>
      </c>
      <c r="C2522" s="4" t="s">
        <v>5056</v>
      </c>
      <c r="D2522" s="4" t="s">
        <v>43</v>
      </c>
      <c r="E2522" s="6">
        <v>1529685.0</v>
      </c>
      <c r="F2522" s="6">
        <v>0.0</v>
      </c>
      <c r="G2522" s="6">
        <v>2281208.0</v>
      </c>
      <c r="H2522" s="6">
        <v>4191982.0</v>
      </c>
    </row>
    <row r="2523" ht="15.75" customHeight="1">
      <c r="A2523" s="4">
        <v>2520.0</v>
      </c>
      <c r="B2523" s="4" t="s">
        <v>5057</v>
      </c>
      <c r="C2523" s="4" t="s">
        <v>5058</v>
      </c>
      <c r="D2523" s="4" t="s">
        <v>43</v>
      </c>
      <c r="E2523" s="6">
        <v>73840.0</v>
      </c>
      <c r="F2523" s="6">
        <v>0.0</v>
      </c>
      <c r="G2523" s="6">
        <v>71120.0</v>
      </c>
      <c r="H2523" s="6">
        <v>159456.0</v>
      </c>
    </row>
    <row r="2524" ht="15.75" customHeight="1">
      <c r="A2524" s="4">
        <v>2521.0</v>
      </c>
      <c r="B2524" s="4" t="s">
        <v>5059</v>
      </c>
      <c r="C2524" s="4" t="s">
        <v>5060</v>
      </c>
      <c r="D2524" s="4" t="s">
        <v>43</v>
      </c>
      <c r="E2524" s="6">
        <v>92400.0</v>
      </c>
      <c r="F2524" s="6">
        <v>0.0</v>
      </c>
      <c r="G2524" s="6">
        <v>88760.0</v>
      </c>
      <c r="H2524" s="6">
        <v>199276.0</v>
      </c>
    </row>
    <row r="2525" ht="15.75" customHeight="1">
      <c r="A2525" s="4">
        <v>2522.0</v>
      </c>
      <c r="B2525" s="4" t="s">
        <v>5061</v>
      </c>
      <c r="C2525" s="4" t="s">
        <v>5062</v>
      </c>
      <c r="D2525" s="4" t="s">
        <v>43</v>
      </c>
      <c r="E2525" s="6">
        <v>115600.0</v>
      </c>
      <c r="F2525" s="6">
        <v>0.0</v>
      </c>
      <c r="G2525" s="6">
        <v>110880.0</v>
      </c>
      <c r="H2525" s="6">
        <v>249128.0</v>
      </c>
    </row>
    <row r="2526" ht="15.75" customHeight="1">
      <c r="A2526" s="4">
        <v>2523.0</v>
      </c>
      <c r="B2526" s="4" t="s">
        <v>5063</v>
      </c>
      <c r="C2526" s="4" t="s">
        <v>5064</v>
      </c>
      <c r="D2526" s="4" t="s">
        <v>43</v>
      </c>
      <c r="E2526" s="6">
        <v>144475.0</v>
      </c>
      <c r="F2526" s="6">
        <v>0.0</v>
      </c>
      <c r="G2526" s="6">
        <v>138880.0</v>
      </c>
      <c r="H2526" s="6">
        <v>311690.0</v>
      </c>
    </row>
    <row r="2527" ht="15.75" customHeight="1">
      <c r="A2527" s="4">
        <v>2524.0</v>
      </c>
      <c r="B2527" s="4" t="s">
        <v>5065</v>
      </c>
      <c r="C2527" s="4" t="s">
        <v>5066</v>
      </c>
      <c r="D2527" s="4" t="s">
        <v>43</v>
      </c>
      <c r="E2527" s="6">
        <v>144475.0</v>
      </c>
      <c r="F2527" s="6">
        <v>0.0</v>
      </c>
      <c r="G2527" s="6">
        <v>138880.0</v>
      </c>
      <c r="H2527" s="6">
        <v>311690.0</v>
      </c>
    </row>
    <row r="2528" ht="15.75" customHeight="1">
      <c r="A2528" s="4">
        <v>2525.0</v>
      </c>
      <c r="B2528" s="4" t="s">
        <v>5067</v>
      </c>
      <c r="C2528" s="4" t="s">
        <v>5068</v>
      </c>
      <c r="D2528" s="4" t="s">
        <v>43</v>
      </c>
      <c r="E2528" s="6">
        <v>180605.0</v>
      </c>
      <c r="F2528" s="6">
        <v>0.0</v>
      </c>
      <c r="G2528" s="6">
        <v>173600.0</v>
      </c>
      <c r="H2528" s="6">
        <v>389625.0</v>
      </c>
    </row>
    <row r="2529" ht="15.75" customHeight="1">
      <c r="A2529" s="4">
        <v>2526.0</v>
      </c>
      <c r="B2529" s="4" t="s">
        <v>5069</v>
      </c>
      <c r="C2529" s="4" t="s">
        <v>5070</v>
      </c>
      <c r="D2529" s="4" t="s">
        <v>43</v>
      </c>
      <c r="E2529" s="6">
        <v>225815.0</v>
      </c>
      <c r="F2529" s="6">
        <v>0.0</v>
      </c>
      <c r="G2529" s="6">
        <v>216720.0</v>
      </c>
      <c r="H2529" s="6">
        <v>486788.0</v>
      </c>
    </row>
    <row r="2530" ht="15.75" customHeight="1">
      <c r="A2530" s="9">
        <v>2527.0</v>
      </c>
      <c r="B2530" s="9" t="s">
        <v>5071</v>
      </c>
      <c r="C2530" s="10" t="s">
        <v>5072</v>
      </c>
      <c r="D2530" s="9"/>
      <c r="E2530" s="11"/>
      <c r="F2530" s="11"/>
      <c r="G2530" s="11"/>
      <c r="H2530" s="11"/>
    </row>
    <row r="2531" ht="15.75" customHeight="1">
      <c r="A2531" s="4">
        <v>2528.0</v>
      </c>
      <c r="B2531" s="4" t="s">
        <v>5073</v>
      </c>
      <c r="C2531" s="4" t="s">
        <v>5074</v>
      </c>
      <c r="D2531" s="4" t="s">
        <v>43</v>
      </c>
      <c r="E2531" s="6">
        <v>275175.0</v>
      </c>
      <c r="F2531" s="6">
        <v>225000.0</v>
      </c>
      <c r="G2531" s="6">
        <v>10800.0</v>
      </c>
      <c r="H2531" s="6">
        <v>562072.0</v>
      </c>
    </row>
    <row r="2532" ht="15.75" customHeight="1">
      <c r="A2532" s="4">
        <v>2529.0</v>
      </c>
      <c r="B2532" s="4" t="s">
        <v>5075</v>
      </c>
      <c r="C2532" s="4" t="s">
        <v>5076</v>
      </c>
      <c r="D2532" s="4" t="s">
        <v>43</v>
      </c>
      <c r="E2532" s="6">
        <v>329865.0</v>
      </c>
      <c r="F2532" s="6">
        <v>290000.0</v>
      </c>
      <c r="G2532" s="6">
        <v>32400.0</v>
      </c>
      <c r="H2532" s="6">
        <v>717491.0</v>
      </c>
    </row>
    <row r="2533" ht="15.75" customHeight="1">
      <c r="A2533" s="4">
        <v>2530.0</v>
      </c>
      <c r="B2533" s="4" t="s">
        <v>5077</v>
      </c>
      <c r="C2533" s="4" t="s">
        <v>5078</v>
      </c>
      <c r="D2533" s="4" t="s">
        <v>43</v>
      </c>
      <c r="E2533" s="6">
        <v>357605.0</v>
      </c>
      <c r="F2533" s="6">
        <v>350000.0</v>
      </c>
      <c r="G2533" s="6">
        <v>43200.0</v>
      </c>
      <c r="H2533" s="6">
        <v>825885.0</v>
      </c>
    </row>
    <row r="2534" ht="15.75" customHeight="1">
      <c r="A2534" s="4">
        <v>2531.0</v>
      </c>
      <c r="B2534" s="4" t="s">
        <v>5079</v>
      </c>
      <c r="C2534" s="4" t="s">
        <v>5080</v>
      </c>
      <c r="D2534" s="4" t="s">
        <v>43</v>
      </c>
      <c r="E2534" s="6">
        <v>385000.0</v>
      </c>
      <c r="F2534" s="6">
        <v>410000.0</v>
      </c>
      <c r="G2534" s="6">
        <v>54000.0</v>
      </c>
      <c r="H2534" s="6">
        <v>933900.0</v>
      </c>
    </row>
    <row r="2535" ht="15.75" customHeight="1">
      <c r="A2535" s="4">
        <v>2532.0</v>
      </c>
      <c r="B2535" s="4" t="s">
        <v>5081</v>
      </c>
      <c r="C2535" s="4" t="s">
        <v>5082</v>
      </c>
      <c r="D2535" s="4" t="s">
        <v>43</v>
      </c>
      <c r="E2535" s="6">
        <v>660175.0</v>
      </c>
      <c r="F2535" s="6">
        <v>490000.0</v>
      </c>
      <c r="G2535" s="6">
        <v>108000.0</v>
      </c>
      <c r="H2535" s="6">
        <v>1383992.0</v>
      </c>
    </row>
    <row r="2536" ht="15.75" customHeight="1">
      <c r="A2536" s="4">
        <v>2533.0</v>
      </c>
      <c r="B2536" s="4" t="s">
        <v>5083</v>
      </c>
      <c r="C2536" s="4" t="s">
        <v>5084</v>
      </c>
      <c r="D2536" s="4" t="s">
        <v>43</v>
      </c>
      <c r="E2536" s="6">
        <v>715310.0</v>
      </c>
      <c r="F2536" s="6">
        <v>530000.0</v>
      </c>
      <c r="G2536" s="6">
        <v>108000.0</v>
      </c>
      <c r="H2536" s="6">
        <v>1488641.0</v>
      </c>
    </row>
    <row r="2537" ht="15.75" customHeight="1">
      <c r="A2537" s="4">
        <v>2534.0</v>
      </c>
      <c r="B2537" s="4" t="s">
        <v>5085</v>
      </c>
      <c r="C2537" s="4" t="s">
        <v>5086</v>
      </c>
      <c r="D2537" s="4" t="s">
        <v>43</v>
      </c>
      <c r="E2537" s="6">
        <v>770000.0</v>
      </c>
      <c r="F2537" s="6">
        <v>590000.0</v>
      </c>
      <c r="G2537" s="6">
        <v>108000.0</v>
      </c>
      <c r="H2537" s="6">
        <v>1614800.0</v>
      </c>
    </row>
    <row r="2538" ht="15.75" customHeight="1">
      <c r="A2538" s="4">
        <v>2535.0</v>
      </c>
      <c r="B2538" s="4" t="s">
        <v>5087</v>
      </c>
      <c r="C2538" s="4" t="s">
        <v>5088</v>
      </c>
      <c r="D2538" s="4" t="s">
        <v>43</v>
      </c>
      <c r="E2538" s="6">
        <v>273595.0</v>
      </c>
      <c r="F2538" s="6">
        <v>670000.0</v>
      </c>
      <c r="G2538" s="6">
        <v>467400.0</v>
      </c>
      <c r="H2538" s="6">
        <v>1552094.0</v>
      </c>
    </row>
    <row r="2539" ht="15.75" customHeight="1">
      <c r="A2539" s="4">
        <v>2536.0</v>
      </c>
      <c r="B2539" s="4" t="s">
        <v>5089</v>
      </c>
      <c r="C2539" s="4" t="s">
        <v>5090</v>
      </c>
      <c r="D2539" s="4" t="s">
        <v>43</v>
      </c>
      <c r="E2539" s="6">
        <v>308890.0</v>
      </c>
      <c r="F2539" s="6">
        <v>750000.0</v>
      </c>
      <c r="G2539" s="6">
        <v>779000.0</v>
      </c>
      <c r="H2539" s="6">
        <v>2021679.0</v>
      </c>
    </row>
    <row r="2540" ht="15.75" customHeight="1">
      <c r="A2540" s="4">
        <v>2537.0</v>
      </c>
      <c r="B2540" s="4" t="s">
        <v>5091</v>
      </c>
      <c r="C2540" s="4" t="s">
        <v>5092</v>
      </c>
      <c r="D2540" s="4" t="s">
        <v>43</v>
      </c>
      <c r="E2540" s="6">
        <v>343885.0</v>
      </c>
      <c r="F2540" s="6">
        <v>810000.0</v>
      </c>
      <c r="G2540" s="6">
        <v>779000.0</v>
      </c>
      <c r="H2540" s="6">
        <v>2126173.0</v>
      </c>
    </row>
    <row r="2541" ht="15.75" customHeight="1">
      <c r="A2541" s="4">
        <v>2538.0</v>
      </c>
      <c r="B2541" s="4" t="s">
        <v>5093</v>
      </c>
      <c r="C2541" s="4" t="s">
        <v>5094</v>
      </c>
      <c r="D2541" s="4" t="s">
        <v>43</v>
      </c>
      <c r="E2541" s="6">
        <v>419550.0</v>
      </c>
      <c r="F2541" s="6">
        <v>890000.0</v>
      </c>
      <c r="G2541" s="6">
        <v>1168500.0</v>
      </c>
      <c r="H2541" s="6">
        <v>2725855.0</v>
      </c>
    </row>
    <row r="2542" ht="15.75" customHeight="1">
      <c r="A2542" s="4">
        <v>2539.0</v>
      </c>
      <c r="B2542" s="4" t="s">
        <v>5095</v>
      </c>
      <c r="C2542" s="4" t="s">
        <v>5096</v>
      </c>
      <c r="D2542" s="4" t="s">
        <v>43</v>
      </c>
      <c r="E2542" s="6">
        <v>494970.0</v>
      </c>
      <c r="F2542" s="6">
        <v>950000.0</v>
      </c>
      <c r="G2542" s="6">
        <v>1558000.0</v>
      </c>
      <c r="H2542" s="6">
        <v>3303267.0</v>
      </c>
    </row>
    <row r="2543" ht="15.75" customHeight="1">
      <c r="A2543" s="4">
        <v>2540.0</v>
      </c>
      <c r="B2543" s="4" t="s">
        <v>5097</v>
      </c>
      <c r="C2543" s="4" t="s">
        <v>5098</v>
      </c>
      <c r="D2543" s="4" t="s">
        <v>43</v>
      </c>
      <c r="E2543" s="6">
        <v>577500.0</v>
      </c>
      <c r="F2543" s="6">
        <v>1050000.0</v>
      </c>
      <c r="G2543" s="6">
        <v>1558000.0</v>
      </c>
      <c r="H2543" s="6">
        <v>3504050.0</v>
      </c>
    </row>
    <row r="2544" ht="15.75" customHeight="1">
      <c r="A2544" s="4">
        <v>2541.0</v>
      </c>
      <c r="B2544" s="4" t="s">
        <v>5099</v>
      </c>
      <c r="C2544" s="4" t="s">
        <v>5100</v>
      </c>
      <c r="D2544" s="4" t="s">
        <v>43</v>
      </c>
      <c r="E2544" s="6">
        <v>629920.0</v>
      </c>
      <c r="F2544" s="6">
        <v>1119000.0</v>
      </c>
      <c r="G2544" s="6">
        <v>1558000.0</v>
      </c>
      <c r="H2544" s="6">
        <v>3637612.0</v>
      </c>
    </row>
    <row r="2545" ht="15.75" customHeight="1">
      <c r="A2545" s="4">
        <v>2542.0</v>
      </c>
      <c r="B2545" s="4" t="s">
        <v>5101</v>
      </c>
      <c r="C2545" s="4" t="s">
        <v>5102</v>
      </c>
      <c r="D2545" s="4" t="s">
        <v>43</v>
      </c>
      <c r="E2545" s="6">
        <v>16635.0</v>
      </c>
      <c r="F2545" s="6">
        <v>95000.0</v>
      </c>
      <c r="G2545" s="6">
        <v>0.0</v>
      </c>
      <c r="H2545" s="6">
        <v>122798.0</v>
      </c>
    </row>
    <row r="2546" ht="15.75" customHeight="1">
      <c r="A2546" s="4">
        <v>2543.0</v>
      </c>
      <c r="B2546" s="4" t="s">
        <v>5103</v>
      </c>
      <c r="C2546" s="4" t="s">
        <v>5104</v>
      </c>
      <c r="D2546" s="4" t="s">
        <v>43</v>
      </c>
      <c r="E2546" s="6">
        <v>20830.0</v>
      </c>
      <c r="F2546" s="6">
        <v>105000.0</v>
      </c>
      <c r="G2546" s="6">
        <v>0.0</v>
      </c>
      <c r="H2546" s="6">
        <v>138413.0</v>
      </c>
    </row>
    <row r="2547" ht="15.75" customHeight="1">
      <c r="A2547" s="4">
        <v>2544.0</v>
      </c>
      <c r="B2547" s="4" t="s">
        <v>5105</v>
      </c>
      <c r="C2547" s="4" t="s">
        <v>5106</v>
      </c>
      <c r="D2547" s="4" t="s">
        <v>43</v>
      </c>
      <c r="E2547" s="6">
        <v>25815.0</v>
      </c>
      <c r="F2547" s="6">
        <v>115000.0</v>
      </c>
      <c r="G2547" s="6">
        <v>0.0</v>
      </c>
      <c r="H2547" s="6">
        <v>154896.0</v>
      </c>
    </row>
    <row r="2548" ht="15.75" customHeight="1">
      <c r="A2548" s="4">
        <v>2545.0</v>
      </c>
      <c r="B2548" s="4" t="s">
        <v>5107</v>
      </c>
      <c r="C2548" s="4" t="s">
        <v>5108</v>
      </c>
      <c r="D2548" s="4" t="s">
        <v>43</v>
      </c>
      <c r="E2548" s="6">
        <v>32480.0</v>
      </c>
      <c r="F2548" s="6">
        <v>129000.0</v>
      </c>
      <c r="G2548" s="6">
        <v>0.0</v>
      </c>
      <c r="H2548" s="6">
        <v>177628.0</v>
      </c>
    </row>
    <row r="2549" ht="15.75" customHeight="1">
      <c r="A2549" s="4">
        <v>2546.0</v>
      </c>
      <c r="B2549" s="4" t="s">
        <v>5109</v>
      </c>
      <c r="C2549" s="4" t="s">
        <v>5110</v>
      </c>
      <c r="D2549" s="4" t="s">
        <v>43</v>
      </c>
      <c r="E2549" s="6">
        <v>40525.0</v>
      </c>
      <c r="F2549" s="6">
        <v>135000.0</v>
      </c>
      <c r="G2549" s="6">
        <v>0.0</v>
      </c>
      <c r="H2549" s="6">
        <v>193077.0</v>
      </c>
    </row>
    <row r="2550" ht="15.75" customHeight="1">
      <c r="A2550" s="4">
        <v>2547.0</v>
      </c>
      <c r="B2550" s="4" t="s">
        <v>5111</v>
      </c>
      <c r="C2550" s="4" t="s">
        <v>5112</v>
      </c>
      <c r="D2550" s="4" t="s">
        <v>43</v>
      </c>
      <c r="E2550" s="6">
        <v>50640.0</v>
      </c>
      <c r="F2550" s="6">
        <v>150000.0</v>
      </c>
      <c r="G2550" s="6">
        <v>0.0</v>
      </c>
      <c r="H2550" s="6">
        <v>220704.0</v>
      </c>
    </row>
    <row r="2551" ht="15.75" customHeight="1">
      <c r="A2551" s="4">
        <v>2548.0</v>
      </c>
      <c r="B2551" s="4" t="s">
        <v>5113</v>
      </c>
      <c r="C2551" s="4" t="s">
        <v>5114</v>
      </c>
      <c r="D2551" s="4" t="s">
        <v>43</v>
      </c>
      <c r="E2551" s="6">
        <v>63425.0</v>
      </c>
      <c r="F2551" s="6">
        <v>170000.0</v>
      </c>
      <c r="G2551" s="6">
        <v>0.0</v>
      </c>
      <c r="H2551" s="6">
        <v>256767.0</v>
      </c>
    </row>
    <row r="2552" ht="15.75" customHeight="1">
      <c r="A2552" s="4">
        <v>2549.0</v>
      </c>
      <c r="B2552" s="4" t="s">
        <v>5115</v>
      </c>
      <c r="C2552" s="4" t="s">
        <v>5116</v>
      </c>
      <c r="D2552" s="4" t="s">
        <v>43</v>
      </c>
      <c r="E2552" s="6">
        <v>79270.0</v>
      </c>
      <c r="F2552" s="6">
        <v>192000.0</v>
      </c>
      <c r="G2552" s="6">
        <v>0.0</v>
      </c>
      <c r="H2552" s="6">
        <v>298397.0</v>
      </c>
    </row>
    <row r="2553" ht="15.75" customHeight="1">
      <c r="A2553" s="4">
        <v>2550.0</v>
      </c>
      <c r="B2553" s="4" t="s">
        <v>5117</v>
      </c>
      <c r="C2553" s="4" t="s">
        <v>5118</v>
      </c>
      <c r="D2553" s="4" t="s">
        <v>43</v>
      </c>
      <c r="E2553" s="6">
        <v>98965.0</v>
      </c>
      <c r="F2553" s="6">
        <v>205000.0</v>
      </c>
      <c r="G2553" s="6">
        <v>0.0</v>
      </c>
      <c r="H2553" s="6">
        <v>334361.0</v>
      </c>
    </row>
    <row r="2554" ht="15.75" customHeight="1">
      <c r="A2554" s="4">
        <v>2551.0</v>
      </c>
      <c r="B2554" s="4" t="s">
        <v>5119</v>
      </c>
      <c r="C2554" s="4" t="s">
        <v>5120</v>
      </c>
      <c r="D2554" s="4" t="s">
        <v>43</v>
      </c>
      <c r="E2554" s="6">
        <v>158205.0</v>
      </c>
      <c r="F2554" s="6">
        <v>215000.0</v>
      </c>
      <c r="G2554" s="6">
        <v>0.0</v>
      </c>
      <c r="H2554" s="6">
        <v>410525.0</v>
      </c>
    </row>
    <row r="2555" ht="15.75" customHeight="1">
      <c r="A2555" s="9">
        <v>2552.0</v>
      </c>
      <c r="B2555" s="9" t="s">
        <v>5121</v>
      </c>
      <c r="C2555" s="10" t="s">
        <v>5122</v>
      </c>
      <c r="D2555" s="9"/>
      <c r="E2555" s="11"/>
      <c r="F2555" s="11"/>
      <c r="G2555" s="11"/>
      <c r="H2555" s="11"/>
    </row>
    <row r="2556" ht="15.75" customHeight="1">
      <c r="A2556" s="4">
        <v>2553.0</v>
      </c>
      <c r="B2556" s="4" t="s">
        <v>5123</v>
      </c>
      <c r="C2556" s="4" t="s">
        <v>5124</v>
      </c>
      <c r="D2556" s="4" t="s">
        <v>43</v>
      </c>
      <c r="E2556" s="6">
        <v>20485.0</v>
      </c>
      <c r="F2556" s="6">
        <v>65000.0</v>
      </c>
      <c r="G2556" s="6">
        <v>3024.0</v>
      </c>
      <c r="H2556" s="6">
        <v>97359.0</v>
      </c>
    </row>
    <row r="2557" ht="15.75" customHeight="1">
      <c r="A2557" s="4">
        <v>2554.0</v>
      </c>
      <c r="B2557" s="4" t="s">
        <v>5125</v>
      </c>
      <c r="C2557" s="4" t="s">
        <v>5126</v>
      </c>
      <c r="D2557" s="4" t="s">
        <v>43</v>
      </c>
      <c r="E2557" s="6">
        <v>41660.0</v>
      </c>
      <c r="F2557" s="6">
        <v>138000.0</v>
      </c>
      <c r="G2557" s="6">
        <v>3132.0</v>
      </c>
      <c r="H2557" s="6">
        <v>201071.0</v>
      </c>
    </row>
    <row r="2558" ht="15.75" customHeight="1">
      <c r="A2558" s="4">
        <v>2555.0</v>
      </c>
      <c r="B2558" s="4" t="s">
        <v>5127</v>
      </c>
      <c r="C2558" s="4" t="s">
        <v>5128</v>
      </c>
      <c r="D2558" s="4" t="s">
        <v>43</v>
      </c>
      <c r="E2558" s="6">
        <v>62835.0</v>
      </c>
      <c r="F2558" s="6">
        <v>215000.0</v>
      </c>
      <c r="G2558" s="6">
        <v>4212.0</v>
      </c>
      <c r="H2558" s="6">
        <v>310251.0</v>
      </c>
    </row>
    <row r="2559" ht="15.75" customHeight="1">
      <c r="A2559" s="4">
        <v>2556.0</v>
      </c>
      <c r="B2559" s="4" t="s">
        <v>5129</v>
      </c>
      <c r="C2559" s="4" t="s">
        <v>5130</v>
      </c>
      <c r="D2559" s="4" t="s">
        <v>43</v>
      </c>
      <c r="E2559" s="6">
        <v>147535.0</v>
      </c>
      <c r="F2559" s="6">
        <v>285000.0</v>
      </c>
      <c r="G2559" s="6">
        <v>54000.0</v>
      </c>
      <c r="H2559" s="6">
        <v>535188.0</v>
      </c>
    </row>
    <row r="2560" ht="15.75" customHeight="1">
      <c r="A2560" s="4">
        <v>2557.0</v>
      </c>
      <c r="B2560" s="4" t="s">
        <v>5131</v>
      </c>
      <c r="C2560" s="4" t="s">
        <v>5132</v>
      </c>
      <c r="D2560" s="4" t="s">
        <v>43</v>
      </c>
      <c r="E2560" s="6">
        <v>168710.0</v>
      </c>
      <c r="F2560" s="6">
        <v>350000.0</v>
      </c>
      <c r="G2560" s="6">
        <v>64800.0</v>
      </c>
      <c r="H2560" s="6">
        <v>641861.0</v>
      </c>
    </row>
    <row r="2561" ht="15.75" customHeight="1">
      <c r="A2561" s="4">
        <v>2558.0</v>
      </c>
      <c r="B2561" s="4" t="s">
        <v>5133</v>
      </c>
      <c r="C2561" s="4" t="s">
        <v>5134</v>
      </c>
      <c r="D2561" s="4" t="s">
        <v>43</v>
      </c>
      <c r="E2561" s="6">
        <v>211060.0</v>
      </c>
      <c r="F2561" s="6">
        <v>435000.0</v>
      </c>
      <c r="G2561" s="6">
        <v>160044.0</v>
      </c>
      <c r="H2561" s="6">
        <v>886714.0</v>
      </c>
    </row>
    <row r="2562" ht="15.75" customHeight="1">
      <c r="A2562" s="4">
        <v>2559.0</v>
      </c>
      <c r="B2562" s="4" t="s">
        <v>5135</v>
      </c>
      <c r="C2562" s="4" t="s">
        <v>5136</v>
      </c>
      <c r="D2562" s="4" t="s">
        <v>43</v>
      </c>
      <c r="E2562" s="6">
        <v>253410.0</v>
      </c>
      <c r="F2562" s="6">
        <v>510000.0</v>
      </c>
      <c r="G2562" s="6">
        <v>188150.0</v>
      </c>
      <c r="H2562" s="6">
        <v>1046716.0</v>
      </c>
    </row>
    <row r="2563" ht="15.75" customHeight="1">
      <c r="A2563" s="4">
        <v>2560.0</v>
      </c>
      <c r="B2563" s="4" t="s">
        <v>5137</v>
      </c>
      <c r="C2563" s="4" t="s">
        <v>5138</v>
      </c>
      <c r="D2563" s="4" t="s">
        <v>43</v>
      </c>
      <c r="E2563" s="6">
        <v>295760.0</v>
      </c>
      <c r="F2563" s="6">
        <v>599000.0</v>
      </c>
      <c r="G2563" s="6">
        <v>214806.0</v>
      </c>
      <c r="H2563" s="6">
        <v>1220522.0</v>
      </c>
    </row>
    <row r="2564" ht="15.75" customHeight="1">
      <c r="A2564" s="4">
        <v>2561.0</v>
      </c>
      <c r="B2564" s="4" t="s">
        <v>5139</v>
      </c>
      <c r="C2564" s="4" t="s">
        <v>5140</v>
      </c>
      <c r="D2564" s="4" t="s">
        <v>43</v>
      </c>
      <c r="E2564" s="6">
        <v>338110.0</v>
      </c>
      <c r="F2564" s="6">
        <v>670000.0</v>
      </c>
      <c r="G2564" s="6">
        <v>268118.0</v>
      </c>
      <c r="H2564" s="6">
        <v>1403850.0</v>
      </c>
    </row>
    <row r="2565" ht="15.75" customHeight="1">
      <c r="A2565" s="4">
        <v>2562.0</v>
      </c>
      <c r="B2565" s="4" t="s">
        <v>5141</v>
      </c>
      <c r="C2565" s="4" t="s">
        <v>5142</v>
      </c>
      <c r="D2565" s="4" t="s">
        <v>43</v>
      </c>
      <c r="E2565" s="6">
        <v>380460.0</v>
      </c>
      <c r="F2565" s="6">
        <v>750000.0</v>
      </c>
      <c r="G2565" s="6">
        <v>304878.0</v>
      </c>
      <c r="H2565" s="6">
        <v>1578871.0</v>
      </c>
    </row>
    <row r="2566" ht="15.75" customHeight="1">
      <c r="A2566" s="4">
        <v>2563.0</v>
      </c>
      <c r="B2566" s="4" t="s">
        <v>5143</v>
      </c>
      <c r="C2566" s="4" t="s">
        <v>5144</v>
      </c>
      <c r="D2566" s="4" t="s">
        <v>43</v>
      </c>
      <c r="E2566" s="6">
        <v>422810.0</v>
      </c>
      <c r="F2566" s="6">
        <v>830000.0</v>
      </c>
      <c r="G2566" s="6">
        <v>321538.0</v>
      </c>
      <c r="H2566" s="6">
        <v>1731782.0</v>
      </c>
    </row>
    <row r="2567" ht="15.75" customHeight="1">
      <c r="A2567" s="4">
        <v>2564.0</v>
      </c>
      <c r="B2567" s="4" t="s">
        <v>5145</v>
      </c>
      <c r="C2567" s="4" t="s">
        <v>5146</v>
      </c>
      <c r="D2567" s="4" t="s">
        <v>43</v>
      </c>
      <c r="E2567" s="6">
        <v>465160.0</v>
      </c>
      <c r="F2567" s="6">
        <v>950000.0</v>
      </c>
      <c r="G2567" s="6">
        <v>374850.0</v>
      </c>
      <c r="H2567" s="6">
        <v>1969011.0</v>
      </c>
    </row>
    <row r="2568" ht="15.75" customHeight="1">
      <c r="A2568" s="4">
        <v>2565.0</v>
      </c>
      <c r="B2568" s="4" t="s">
        <v>5147</v>
      </c>
      <c r="C2568" s="4" t="s">
        <v>5148</v>
      </c>
      <c r="D2568" s="4" t="s">
        <v>43</v>
      </c>
      <c r="E2568" s="6">
        <v>3850.0</v>
      </c>
      <c r="F2568" s="6">
        <v>20000.0</v>
      </c>
      <c r="G2568" s="6">
        <v>0.0</v>
      </c>
      <c r="H2568" s="6">
        <v>26235.0</v>
      </c>
    </row>
    <row r="2569" ht="15.75" customHeight="1">
      <c r="A2569" s="4">
        <v>2566.0</v>
      </c>
      <c r="B2569" s="4" t="s">
        <v>5149</v>
      </c>
      <c r="C2569" s="4" t="s">
        <v>5150</v>
      </c>
      <c r="D2569" s="4" t="s">
        <v>43</v>
      </c>
      <c r="E2569" s="6">
        <v>3850.0</v>
      </c>
      <c r="F2569" s="6">
        <v>27000.0</v>
      </c>
      <c r="G2569" s="6">
        <v>0.0</v>
      </c>
      <c r="H2569" s="6">
        <v>33935.0</v>
      </c>
    </row>
    <row r="2570" ht="15.75" customHeight="1">
      <c r="A2570" s="4">
        <v>2567.0</v>
      </c>
      <c r="B2570" s="4" t="s">
        <v>5151</v>
      </c>
      <c r="C2570" s="4" t="s">
        <v>5152</v>
      </c>
      <c r="D2570" s="4" t="s">
        <v>43</v>
      </c>
      <c r="E2570" s="6">
        <v>4985.0</v>
      </c>
      <c r="F2570" s="6">
        <v>30000.0</v>
      </c>
      <c r="G2570" s="6">
        <v>0.0</v>
      </c>
      <c r="H2570" s="6">
        <v>38483.0</v>
      </c>
    </row>
    <row r="2571" ht="15.75" customHeight="1">
      <c r="A2571" s="4">
        <v>2568.0</v>
      </c>
      <c r="B2571" s="4" t="s">
        <v>5153</v>
      </c>
      <c r="C2571" s="4" t="s">
        <v>5154</v>
      </c>
      <c r="D2571" s="4" t="s">
        <v>43</v>
      </c>
      <c r="E2571" s="6">
        <v>5430.0</v>
      </c>
      <c r="F2571" s="6">
        <v>32000.0</v>
      </c>
      <c r="G2571" s="6">
        <v>0.0</v>
      </c>
      <c r="H2571" s="6">
        <v>41173.0</v>
      </c>
    </row>
    <row r="2572" ht="15.75" customHeight="1">
      <c r="A2572" s="4">
        <v>2569.0</v>
      </c>
      <c r="B2572" s="4" t="s">
        <v>5155</v>
      </c>
      <c r="C2572" s="4" t="s">
        <v>5156</v>
      </c>
      <c r="D2572" s="4" t="s">
        <v>43</v>
      </c>
      <c r="E2572" s="6">
        <v>6020.0</v>
      </c>
      <c r="F2572" s="6">
        <v>39000.0</v>
      </c>
      <c r="G2572" s="6">
        <v>0.0</v>
      </c>
      <c r="H2572" s="6">
        <v>49522.0</v>
      </c>
    </row>
    <row r="2573" ht="15.75" customHeight="1">
      <c r="A2573" s="4">
        <v>2570.0</v>
      </c>
      <c r="B2573" s="4" t="s">
        <v>5157</v>
      </c>
      <c r="C2573" s="4" t="s">
        <v>5158</v>
      </c>
      <c r="D2573" s="4" t="s">
        <v>43</v>
      </c>
      <c r="E2573" s="6">
        <v>6565.0</v>
      </c>
      <c r="F2573" s="6">
        <v>42000.0</v>
      </c>
      <c r="G2573" s="6">
        <v>0.0</v>
      </c>
      <c r="H2573" s="6">
        <v>53421.0</v>
      </c>
    </row>
    <row r="2574" ht="15.75" customHeight="1">
      <c r="A2574" s="4">
        <v>2571.0</v>
      </c>
      <c r="B2574" s="4" t="s">
        <v>5159</v>
      </c>
      <c r="C2574" s="4" t="s">
        <v>5160</v>
      </c>
      <c r="D2574" s="4" t="s">
        <v>43</v>
      </c>
      <c r="E2574" s="6">
        <v>8390.0</v>
      </c>
      <c r="F2574" s="6">
        <v>48000.0</v>
      </c>
      <c r="G2574" s="6">
        <v>0.0</v>
      </c>
      <c r="H2574" s="6">
        <v>62029.0</v>
      </c>
    </row>
    <row r="2575" ht="15.75" customHeight="1">
      <c r="A2575" s="4">
        <v>2572.0</v>
      </c>
      <c r="B2575" s="4" t="s">
        <v>5161</v>
      </c>
      <c r="C2575" s="4" t="s">
        <v>5162</v>
      </c>
      <c r="D2575" s="4" t="s">
        <v>43</v>
      </c>
      <c r="E2575" s="6">
        <v>10315.0</v>
      </c>
      <c r="F2575" s="6">
        <v>59000.0</v>
      </c>
      <c r="G2575" s="6">
        <v>0.0</v>
      </c>
      <c r="H2575" s="6">
        <v>76246.0</v>
      </c>
    </row>
    <row r="2576" ht="15.75" customHeight="1">
      <c r="A2576" s="4">
        <v>2573.0</v>
      </c>
      <c r="B2576" s="4" t="s">
        <v>5163</v>
      </c>
      <c r="C2576" s="4" t="s">
        <v>5164</v>
      </c>
      <c r="D2576" s="4" t="s">
        <v>43</v>
      </c>
      <c r="E2576" s="6">
        <v>13130.0</v>
      </c>
      <c r="F2576" s="6">
        <v>62000.0</v>
      </c>
      <c r="G2576" s="6">
        <v>0.0</v>
      </c>
      <c r="H2576" s="6">
        <v>82643.0</v>
      </c>
    </row>
    <row r="2577" ht="15.75" customHeight="1">
      <c r="A2577" s="4">
        <v>2574.0</v>
      </c>
      <c r="B2577" s="4" t="s">
        <v>5165</v>
      </c>
      <c r="C2577" s="4" t="s">
        <v>5166</v>
      </c>
      <c r="D2577" s="4" t="s">
        <v>43</v>
      </c>
      <c r="E2577" s="6">
        <v>16535.0</v>
      </c>
      <c r="F2577" s="6">
        <v>55000.0</v>
      </c>
      <c r="G2577" s="6">
        <v>0.0</v>
      </c>
      <c r="H2577" s="6">
        <v>78688.0</v>
      </c>
    </row>
    <row r="2578" ht="15.75" customHeight="1">
      <c r="A2578" s="4">
        <v>2575.0</v>
      </c>
      <c r="B2578" s="4" t="s">
        <v>5167</v>
      </c>
      <c r="C2578" s="4" t="s">
        <v>5168</v>
      </c>
      <c r="D2578" s="4" t="s">
        <v>43</v>
      </c>
      <c r="E2578" s="6">
        <v>84010.0</v>
      </c>
      <c r="F2578" s="6">
        <v>235000.0</v>
      </c>
      <c r="G2578" s="6">
        <v>0.0</v>
      </c>
      <c r="H2578" s="6">
        <v>350911.0</v>
      </c>
    </row>
    <row r="2579" ht="15.75" customHeight="1">
      <c r="A2579" s="4">
        <v>2576.0</v>
      </c>
      <c r="B2579" s="4" t="s">
        <v>5169</v>
      </c>
      <c r="C2579" s="4" t="s">
        <v>5170</v>
      </c>
      <c r="D2579" s="4" t="s">
        <v>43</v>
      </c>
      <c r="E2579" s="6">
        <v>126360.0</v>
      </c>
      <c r="F2579" s="6">
        <v>255000.0</v>
      </c>
      <c r="G2579" s="6">
        <v>0.0</v>
      </c>
      <c r="H2579" s="6">
        <v>419496.0</v>
      </c>
    </row>
    <row r="2580" ht="15.75" customHeight="1">
      <c r="A2580" s="9">
        <v>2577.0</v>
      </c>
      <c r="B2580" s="9" t="s">
        <v>5171</v>
      </c>
      <c r="C2580" s="10" t="s">
        <v>5172</v>
      </c>
      <c r="D2580" s="9"/>
      <c r="E2580" s="11"/>
      <c r="F2580" s="11"/>
      <c r="G2580" s="11"/>
      <c r="H2580" s="11"/>
    </row>
    <row r="2581" ht="15.75" customHeight="1">
      <c r="A2581" s="9">
        <v>2578.0</v>
      </c>
      <c r="B2581" s="9" t="s">
        <v>5173</v>
      </c>
      <c r="C2581" s="10" t="s">
        <v>5174</v>
      </c>
      <c r="D2581" s="9"/>
      <c r="E2581" s="11"/>
      <c r="F2581" s="11"/>
      <c r="G2581" s="11"/>
      <c r="H2581" s="11"/>
    </row>
    <row r="2582" ht="15.75" customHeight="1">
      <c r="A2582" s="4">
        <v>2579.0</v>
      </c>
      <c r="B2582" s="4" t="s">
        <v>5175</v>
      </c>
      <c r="C2582" s="4" t="s">
        <v>5176</v>
      </c>
      <c r="D2582" s="4" t="s">
        <v>43</v>
      </c>
      <c r="E2582" s="6">
        <v>571445.5</v>
      </c>
      <c r="F2582" s="6">
        <v>852749.1900000001</v>
      </c>
      <c r="G2582" s="6">
        <v>104.0625</v>
      </c>
      <c r="H2582" s="6">
        <v>1566728.0</v>
      </c>
    </row>
    <row r="2583" ht="15.75" customHeight="1">
      <c r="A2583" s="4">
        <v>2580.0</v>
      </c>
      <c r="B2583" s="4" t="s">
        <v>5177</v>
      </c>
      <c r="C2583" s="4" t="s">
        <v>5178</v>
      </c>
      <c r="D2583" s="4" t="s">
        <v>43</v>
      </c>
      <c r="E2583" s="6">
        <v>503456.5</v>
      </c>
      <c r="F2583" s="6">
        <v>751561.99</v>
      </c>
      <c r="G2583" s="6">
        <v>104.0625</v>
      </c>
      <c r="H2583" s="6">
        <v>1380634.0</v>
      </c>
    </row>
    <row r="2584" ht="15.75" customHeight="1">
      <c r="A2584" s="4">
        <v>2581.0</v>
      </c>
      <c r="B2584" s="4" t="s">
        <v>5179</v>
      </c>
      <c r="C2584" s="4" t="s">
        <v>5180</v>
      </c>
      <c r="D2584" s="4" t="s">
        <v>43</v>
      </c>
      <c r="E2584" s="6">
        <v>276105.5</v>
      </c>
      <c r="F2584" s="6">
        <v>413277.03</v>
      </c>
      <c r="G2584" s="6">
        <v>104.0625</v>
      </c>
      <c r="H2584" s="6">
        <v>758435.0</v>
      </c>
    </row>
    <row r="2585" ht="15.75" customHeight="1">
      <c r="A2585" s="4">
        <v>2582.0</v>
      </c>
      <c r="B2585" s="4" t="s">
        <v>5181</v>
      </c>
      <c r="C2585" s="4" t="s">
        <v>5182</v>
      </c>
      <c r="D2585" s="4" t="s">
        <v>43</v>
      </c>
      <c r="E2585" s="6">
        <v>11580.0</v>
      </c>
      <c r="F2585" s="6">
        <v>1209.6</v>
      </c>
      <c r="G2585" s="6">
        <v>0.0</v>
      </c>
      <c r="H2585" s="6">
        <v>14068.0</v>
      </c>
    </row>
    <row r="2586" ht="15.75" customHeight="1">
      <c r="A2586" s="4">
        <v>2583.0</v>
      </c>
      <c r="B2586" s="4" t="s">
        <v>5183</v>
      </c>
      <c r="C2586" s="4" t="s">
        <v>5184</v>
      </c>
      <c r="D2586" s="4" t="s">
        <v>43</v>
      </c>
      <c r="E2586" s="6">
        <v>11580.0</v>
      </c>
      <c r="F2586" s="6">
        <v>806.4</v>
      </c>
      <c r="G2586" s="6">
        <v>0.0</v>
      </c>
      <c r="H2586" s="6">
        <v>13625.0</v>
      </c>
    </row>
    <row r="2587" ht="15.75" customHeight="1">
      <c r="A2587" s="4">
        <v>2584.0</v>
      </c>
      <c r="B2587" s="4" t="s">
        <v>5185</v>
      </c>
      <c r="C2587" s="4" t="s">
        <v>5186</v>
      </c>
      <c r="D2587" s="4" t="s">
        <v>43</v>
      </c>
      <c r="E2587" s="6">
        <v>11580.0</v>
      </c>
      <c r="F2587" s="6">
        <v>504.0</v>
      </c>
      <c r="G2587" s="6">
        <v>0.0</v>
      </c>
      <c r="H2587" s="6">
        <v>13292.0</v>
      </c>
    </row>
    <row r="2588" ht="15.75" customHeight="1">
      <c r="A2588" s="4">
        <v>2585.0</v>
      </c>
      <c r="B2588" s="4" t="s">
        <v>5187</v>
      </c>
      <c r="C2588" s="4" t="s">
        <v>5188</v>
      </c>
      <c r="D2588" s="4" t="s">
        <v>43</v>
      </c>
      <c r="E2588" s="6">
        <v>0.0</v>
      </c>
      <c r="F2588" s="6">
        <v>163238.7918608639</v>
      </c>
      <c r="G2588" s="6">
        <v>0.0</v>
      </c>
      <c r="H2588" s="6">
        <v>179562.0</v>
      </c>
    </row>
    <row r="2589" ht="15.75" customHeight="1">
      <c r="A2589" s="4">
        <v>2586.0</v>
      </c>
      <c r="B2589" s="4" t="s">
        <v>5189</v>
      </c>
      <c r="C2589" s="4" t="s">
        <v>5190</v>
      </c>
      <c r="D2589" s="4" t="s">
        <v>43</v>
      </c>
      <c r="E2589" s="6">
        <v>0.0</v>
      </c>
      <c r="F2589" s="6">
        <v>141637.2256165676</v>
      </c>
      <c r="G2589" s="6">
        <v>0.0</v>
      </c>
      <c r="H2589" s="6">
        <v>155800.0</v>
      </c>
    </row>
    <row r="2590" ht="15.75" customHeight="1">
      <c r="A2590" s="4">
        <v>2587.0</v>
      </c>
      <c r="B2590" s="4" t="s">
        <v>5191</v>
      </c>
      <c r="C2590" s="4" t="s">
        <v>5192</v>
      </c>
      <c r="D2590" s="4" t="s">
        <v>43</v>
      </c>
      <c r="E2590" s="6">
        <v>0.0</v>
      </c>
      <c r="F2590" s="6">
        <v>110544.1966828935</v>
      </c>
      <c r="G2590" s="6">
        <v>0.0</v>
      </c>
      <c r="H2590" s="6">
        <v>121598.0</v>
      </c>
    </row>
    <row r="2591" ht="15.75" customHeight="1">
      <c r="A2591" s="9">
        <v>2588.0</v>
      </c>
      <c r="B2591" s="9" t="s">
        <v>5193</v>
      </c>
      <c r="C2591" s="10" t="s">
        <v>5194</v>
      </c>
      <c r="D2591" s="9"/>
      <c r="E2591" s="11"/>
      <c r="F2591" s="11"/>
      <c r="G2591" s="11"/>
      <c r="H2591" s="11"/>
    </row>
    <row r="2592" ht="15.75" customHeight="1">
      <c r="A2592" s="4">
        <v>2589.0</v>
      </c>
      <c r="B2592" s="4" t="s">
        <v>5195</v>
      </c>
      <c r="C2592" s="4" t="s">
        <v>5196</v>
      </c>
      <c r="D2592" s="4" t="s">
        <v>2955</v>
      </c>
      <c r="E2592" s="6">
        <v>138300.0</v>
      </c>
      <c r="F2592" s="6">
        <v>1056882.0</v>
      </c>
      <c r="G2592" s="6">
        <v>0.0</v>
      </c>
      <c r="H2592" s="6">
        <v>1314700.0</v>
      </c>
    </row>
    <row r="2593" ht="15.75" customHeight="1">
      <c r="A2593" s="4">
        <v>2590.0</v>
      </c>
      <c r="B2593" s="4" t="s">
        <v>5197</v>
      </c>
      <c r="C2593" s="4" t="s">
        <v>5198</v>
      </c>
      <c r="D2593" s="4" t="s">
        <v>2955</v>
      </c>
      <c r="E2593" s="6">
        <v>0.0</v>
      </c>
      <c r="F2593" s="6">
        <v>2.2327776E7</v>
      </c>
      <c r="G2593" s="6">
        <v>0.0</v>
      </c>
      <c r="H2593" s="6">
        <v>2.4560553E7</v>
      </c>
    </row>
    <row r="2594" ht="15.75" customHeight="1">
      <c r="A2594" s="9">
        <v>2591.0</v>
      </c>
      <c r="B2594" s="9" t="s">
        <v>5199</v>
      </c>
      <c r="C2594" s="10" t="s">
        <v>5200</v>
      </c>
      <c r="D2594" s="9"/>
      <c r="E2594" s="11"/>
      <c r="F2594" s="11"/>
      <c r="G2594" s="11"/>
      <c r="H2594" s="11"/>
    </row>
    <row r="2595" ht="15.75" customHeight="1">
      <c r="A2595" s="4">
        <v>2592.0</v>
      </c>
      <c r="B2595" s="4" t="s">
        <v>5201</v>
      </c>
      <c r="C2595" s="4" t="s">
        <v>5202</v>
      </c>
      <c r="D2595" s="4" t="s">
        <v>43</v>
      </c>
      <c r="E2595" s="6">
        <v>1133000.0</v>
      </c>
      <c r="F2595" s="6">
        <v>2.0963E7</v>
      </c>
      <c r="G2595" s="6">
        <v>0.0</v>
      </c>
      <c r="H2595" s="6">
        <v>1965000.0</v>
      </c>
    </row>
    <row r="2596" ht="15.75" customHeight="1">
      <c r="A2596" s="4">
        <v>2593.0</v>
      </c>
      <c r="B2596" s="4" t="s">
        <v>5203</v>
      </c>
      <c r="C2596" s="4" t="s">
        <v>5204</v>
      </c>
      <c r="D2596" s="4" t="s">
        <v>43</v>
      </c>
      <c r="E2596" s="6">
        <v>1205000.0</v>
      </c>
      <c r="F2596" s="6">
        <v>0.0</v>
      </c>
      <c r="G2596" s="6">
        <v>0.0</v>
      </c>
      <c r="H2596" s="6">
        <v>1325500.0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0.0"/>
    <col customWidth="1" min="4" max="26" width="8.71"/>
  </cols>
  <sheetData>
    <row r="1">
      <c r="A1" s="1" t="s">
        <v>5205</v>
      </c>
    </row>
    <row r="3">
      <c r="A3" s="3" t="s">
        <v>2</v>
      </c>
      <c r="B3" s="3" t="s">
        <v>5206</v>
      </c>
      <c r="C3" s="3" t="s">
        <v>5207</v>
      </c>
      <c r="D3" s="3" t="s">
        <v>17</v>
      </c>
      <c r="E3" s="3" t="s">
        <v>5208</v>
      </c>
    </row>
    <row r="4">
      <c r="A4" s="4" t="s">
        <v>5209</v>
      </c>
      <c r="B4" s="4" t="s">
        <v>5206</v>
      </c>
      <c r="C4" s="4" t="s">
        <v>5210</v>
      </c>
      <c r="D4" s="4" t="s">
        <v>5211</v>
      </c>
      <c r="E4" s="6"/>
    </row>
    <row r="5">
      <c r="A5" s="4" t="s">
        <v>5212</v>
      </c>
      <c r="B5" s="4"/>
      <c r="C5" s="4" t="s">
        <v>353</v>
      </c>
      <c r="D5" s="4" t="s">
        <v>791</v>
      </c>
      <c r="E5" s="6">
        <v>4.0</v>
      </c>
    </row>
    <row r="6">
      <c r="A6" s="4" t="s">
        <v>5213</v>
      </c>
      <c r="B6" s="4"/>
      <c r="C6" s="4" t="s">
        <v>5214</v>
      </c>
      <c r="D6" s="4"/>
      <c r="E6" s="6"/>
    </row>
    <row r="7">
      <c r="A7" s="4" t="s">
        <v>5212</v>
      </c>
      <c r="B7" s="4" t="s">
        <v>5215</v>
      </c>
      <c r="C7" s="4" t="s">
        <v>5216</v>
      </c>
      <c r="D7" s="4" t="s">
        <v>5217</v>
      </c>
      <c r="E7" s="6">
        <v>100000.0</v>
      </c>
    </row>
    <row r="8">
      <c r="A8" s="4" t="s">
        <v>353</v>
      </c>
      <c r="B8" s="4" t="s">
        <v>5218</v>
      </c>
      <c r="C8" s="4" t="s">
        <v>5219</v>
      </c>
      <c r="D8" s="4" t="s">
        <v>5217</v>
      </c>
      <c r="E8" s="6">
        <v>145000.0</v>
      </c>
    </row>
    <row r="9">
      <c r="A9" s="4" t="s">
        <v>791</v>
      </c>
      <c r="B9" s="4" t="s">
        <v>5218</v>
      </c>
      <c r="C9" s="4" t="s">
        <v>5220</v>
      </c>
      <c r="D9" s="4" t="s">
        <v>5217</v>
      </c>
      <c r="E9" s="6">
        <v>145000.0</v>
      </c>
    </row>
    <row r="10">
      <c r="A10" s="4" t="s">
        <v>1626</v>
      </c>
      <c r="B10" s="4" t="s">
        <v>5218</v>
      </c>
      <c r="C10" s="4" t="s">
        <v>5221</v>
      </c>
      <c r="D10" s="4" t="s">
        <v>5217</v>
      </c>
      <c r="E10" s="6">
        <v>145000.0</v>
      </c>
    </row>
    <row r="11">
      <c r="A11" s="4" t="s">
        <v>2310</v>
      </c>
      <c r="B11" s="4" t="s">
        <v>5218</v>
      </c>
      <c r="C11" s="4" t="s">
        <v>5222</v>
      </c>
      <c r="D11" s="4" t="s">
        <v>5217</v>
      </c>
      <c r="E11" s="6">
        <v>145000.0</v>
      </c>
    </row>
    <row r="12">
      <c r="A12" s="4"/>
      <c r="B12" s="4" t="s">
        <v>5218</v>
      </c>
      <c r="C12" s="4" t="s">
        <v>5223</v>
      </c>
      <c r="D12" s="4" t="s">
        <v>5217</v>
      </c>
      <c r="E12" s="6">
        <v>145000.0</v>
      </c>
    </row>
    <row r="13">
      <c r="A13" s="4" t="s">
        <v>3568</v>
      </c>
      <c r="B13" s="4" t="s">
        <v>5218</v>
      </c>
      <c r="C13" s="4" t="s">
        <v>5224</v>
      </c>
      <c r="D13" s="4" t="s">
        <v>5217</v>
      </c>
      <c r="E13" s="6">
        <v>145000.0</v>
      </c>
    </row>
    <row r="14">
      <c r="A14" s="4" t="s">
        <v>4362</v>
      </c>
      <c r="B14" s="4" t="s">
        <v>5218</v>
      </c>
      <c r="C14" s="4" t="s">
        <v>5225</v>
      </c>
      <c r="D14" s="4" t="s">
        <v>5217</v>
      </c>
      <c r="E14" s="6">
        <v>145000.0</v>
      </c>
    </row>
    <row r="15">
      <c r="A15" s="4" t="s">
        <v>4423</v>
      </c>
      <c r="B15" s="4" t="s">
        <v>5218</v>
      </c>
      <c r="C15" s="4" t="s">
        <v>5226</v>
      </c>
      <c r="D15" s="4" t="s">
        <v>5217</v>
      </c>
      <c r="E15" s="6">
        <v>145000.0</v>
      </c>
    </row>
    <row r="16">
      <c r="A16" s="4" t="s">
        <v>4626</v>
      </c>
      <c r="B16" s="4" t="s">
        <v>5218</v>
      </c>
      <c r="C16" s="4" t="s">
        <v>5227</v>
      </c>
      <c r="D16" s="4" t="s">
        <v>5217</v>
      </c>
      <c r="E16" s="6">
        <v>145000.0</v>
      </c>
    </row>
    <row r="17">
      <c r="A17" s="4" t="s">
        <v>5171</v>
      </c>
      <c r="B17" s="4" t="s">
        <v>5218</v>
      </c>
      <c r="C17" s="4" t="s">
        <v>5228</v>
      </c>
      <c r="D17" s="4" t="s">
        <v>5217</v>
      </c>
      <c r="E17" s="6">
        <v>145000.0</v>
      </c>
    </row>
    <row r="18">
      <c r="A18" s="4" t="s">
        <v>5229</v>
      </c>
      <c r="B18" s="4" t="s">
        <v>5218</v>
      </c>
      <c r="C18" s="4" t="s">
        <v>5230</v>
      </c>
      <c r="D18" s="4" t="s">
        <v>5217</v>
      </c>
      <c r="E18" s="6">
        <v>145000.0</v>
      </c>
    </row>
    <row r="19">
      <c r="A19" s="4" t="s">
        <v>5231</v>
      </c>
      <c r="B19" s="4" t="s">
        <v>5218</v>
      </c>
      <c r="C19" s="4" t="s">
        <v>5232</v>
      </c>
      <c r="D19" s="4" t="s">
        <v>5217</v>
      </c>
      <c r="E19" s="6">
        <v>145000.0</v>
      </c>
    </row>
    <row r="20">
      <c r="A20" s="4" t="s">
        <v>5233</v>
      </c>
      <c r="B20" s="4" t="s">
        <v>5218</v>
      </c>
      <c r="C20" s="4" t="s">
        <v>5234</v>
      </c>
      <c r="D20" s="4" t="s">
        <v>5217</v>
      </c>
      <c r="E20" s="6"/>
    </row>
    <row r="21" ht="15.75" customHeight="1">
      <c r="A21" s="4" t="s">
        <v>5235</v>
      </c>
      <c r="B21" s="4" t="s">
        <v>5218</v>
      </c>
      <c r="C21" s="4" t="s">
        <v>5236</v>
      </c>
      <c r="D21" s="4" t="s">
        <v>5217</v>
      </c>
      <c r="E21" s="6">
        <v>145000.0</v>
      </c>
    </row>
    <row r="22" ht="15.75" customHeight="1">
      <c r="A22" s="4" t="s">
        <v>5237</v>
      </c>
      <c r="B22" s="4" t="s">
        <v>5218</v>
      </c>
      <c r="C22" s="4" t="s">
        <v>5238</v>
      </c>
      <c r="D22" s="4" t="s">
        <v>5217</v>
      </c>
      <c r="E22" s="6">
        <v>145000.0</v>
      </c>
    </row>
    <row r="23" ht="15.75" customHeight="1">
      <c r="A23" s="4"/>
      <c r="B23" s="4"/>
      <c r="C23" s="4" t="s">
        <v>5239</v>
      </c>
      <c r="D23" s="4" t="s">
        <v>5240</v>
      </c>
      <c r="E23" s="6">
        <v>181250.0</v>
      </c>
    </row>
    <row r="24" ht="15.75" customHeight="1">
      <c r="A24" s="4"/>
      <c r="B24" s="4"/>
      <c r="C24" s="4" t="s">
        <v>5241</v>
      </c>
      <c r="D24" s="4" t="s">
        <v>5240</v>
      </c>
      <c r="E24" s="6">
        <v>218750.0</v>
      </c>
    </row>
    <row r="25" ht="15.75" customHeight="1">
      <c r="A25" s="4"/>
      <c r="B25" s="4"/>
      <c r="C25" s="4" t="s">
        <v>5242</v>
      </c>
      <c r="D25" s="4" t="s">
        <v>5240</v>
      </c>
      <c r="E25" s="6">
        <v>145000.0</v>
      </c>
    </row>
    <row r="26" ht="15.75" customHeight="1">
      <c r="A26" s="4"/>
      <c r="B26" s="4"/>
      <c r="C26" s="4" t="s">
        <v>5243</v>
      </c>
      <c r="D26" s="4" t="s">
        <v>5240</v>
      </c>
      <c r="E26" s="6">
        <v>115000.0</v>
      </c>
    </row>
    <row r="27" ht="15.75" customHeight="1">
      <c r="A27" s="4" t="s">
        <v>5171</v>
      </c>
      <c r="B27" s="4"/>
      <c r="C27" s="4" t="s">
        <v>5244</v>
      </c>
      <c r="D27" s="4" t="s">
        <v>5217</v>
      </c>
      <c r="E27" s="6">
        <v>120000.0</v>
      </c>
    </row>
    <row r="28" ht="15.75" customHeight="1">
      <c r="A28" s="4" t="s">
        <v>5229</v>
      </c>
      <c r="B28" s="4"/>
      <c r="C28" s="4" t="s">
        <v>5245</v>
      </c>
      <c r="D28" s="4" t="s">
        <v>5217</v>
      </c>
      <c r="E28" s="6">
        <v>120000.0</v>
      </c>
    </row>
    <row r="29" ht="15.75" customHeight="1">
      <c r="A29" s="4" t="s">
        <v>5233</v>
      </c>
      <c r="B29" s="4" t="s">
        <v>5246</v>
      </c>
      <c r="C29" s="4" t="s">
        <v>5247</v>
      </c>
      <c r="D29" s="4" t="s">
        <v>5217</v>
      </c>
      <c r="E29" s="6">
        <v>175000.0</v>
      </c>
    </row>
    <row r="30" ht="15.75" customHeight="1">
      <c r="A30" s="4" t="s">
        <v>5235</v>
      </c>
      <c r="B30" s="4" t="s">
        <v>5248</v>
      </c>
      <c r="C30" s="4" t="s">
        <v>5249</v>
      </c>
      <c r="D30" s="4" t="s">
        <v>5217</v>
      </c>
      <c r="E30" s="6">
        <v>200000.0</v>
      </c>
    </row>
    <row r="31" ht="15.75" customHeight="1">
      <c r="A31" s="4" t="s">
        <v>5250</v>
      </c>
      <c r="B31" s="4" t="s">
        <v>5251</v>
      </c>
      <c r="C31" s="4" t="s">
        <v>5252</v>
      </c>
      <c r="D31" s="4" t="s">
        <v>5217</v>
      </c>
      <c r="E31" s="6">
        <v>175000.0</v>
      </c>
    </row>
    <row r="32" ht="15.75" customHeight="1">
      <c r="A32" s="4" t="s">
        <v>5253</v>
      </c>
      <c r="B32" s="4" t="s">
        <v>5254</v>
      </c>
      <c r="C32" s="4" t="s">
        <v>5255</v>
      </c>
      <c r="D32" s="4" t="s">
        <v>5217</v>
      </c>
      <c r="E32" s="6">
        <v>150000.0</v>
      </c>
    </row>
    <row r="33" ht="15.75" customHeight="1">
      <c r="A33" s="4" t="s">
        <v>5256</v>
      </c>
      <c r="B33" s="4" t="s">
        <v>5257</v>
      </c>
      <c r="C33" s="4" t="s">
        <v>5258</v>
      </c>
      <c r="D33" s="4" t="s">
        <v>5217</v>
      </c>
      <c r="E33" s="6">
        <v>220000.0</v>
      </c>
    </row>
    <row r="34" ht="15.75" customHeight="1">
      <c r="A34" s="4" t="s">
        <v>5259</v>
      </c>
      <c r="B34" s="4" t="s">
        <v>5260</v>
      </c>
      <c r="C34" s="4" t="s">
        <v>5261</v>
      </c>
      <c r="D34" s="4" t="s">
        <v>5217</v>
      </c>
      <c r="E34" s="6">
        <v>250000.0</v>
      </c>
    </row>
    <row r="35" ht="15.75" customHeight="1">
      <c r="A35" s="4" t="s">
        <v>5262</v>
      </c>
      <c r="B35" s="4" t="s">
        <v>5263</v>
      </c>
      <c r="C35" s="4" t="s">
        <v>5264</v>
      </c>
      <c r="D35" s="4" t="s">
        <v>5217</v>
      </c>
      <c r="E35" s="6">
        <v>130000.0</v>
      </c>
    </row>
    <row r="36" ht="15.75" customHeight="1">
      <c r="A36" s="4" t="s">
        <v>5265</v>
      </c>
      <c r="B36" s="4" t="s">
        <v>5266</v>
      </c>
      <c r="C36" s="4" t="s">
        <v>5267</v>
      </c>
      <c r="D36" s="4" t="s">
        <v>5217</v>
      </c>
      <c r="E36" s="6">
        <v>200000.0</v>
      </c>
    </row>
    <row r="37" ht="15.75" customHeight="1">
      <c r="A37" s="4" t="s">
        <v>5268</v>
      </c>
      <c r="B37" s="4" t="s">
        <v>5269</v>
      </c>
      <c r="C37" s="4" t="s">
        <v>5270</v>
      </c>
      <c r="D37" s="4" t="s">
        <v>5217</v>
      </c>
      <c r="E37" s="6">
        <v>135000.0</v>
      </c>
    </row>
    <row r="38" ht="15.75" customHeight="1">
      <c r="A38" s="4" t="s">
        <v>5237</v>
      </c>
      <c r="B38" s="4"/>
      <c r="C38" s="4" t="s">
        <v>5271</v>
      </c>
      <c r="D38" s="4" t="s">
        <v>5217</v>
      </c>
      <c r="E38" s="6">
        <v>110000.0</v>
      </c>
    </row>
    <row r="39" ht="15.75" customHeight="1">
      <c r="A39" s="4" t="s">
        <v>5272</v>
      </c>
      <c r="B39" s="4"/>
      <c r="C39" s="4" t="s">
        <v>5273</v>
      </c>
      <c r="D39" s="4" t="s">
        <v>5217</v>
      </c>
      <c r="E39" s="6">
        <v>400000.0</v>
      </c>
    </row>
    <row r="40" ht="15.75" customHeight="1">
      <c r="A40" s="4" t="s">
        <v>5274</v>
      </c>
      <c r="B40" s="4"/>
      <c r="C40" s="4" t="s">
        <v>5275</v>
      </c>
      <c r="D40" s="4" t="s">
        <v>5217</v>
      </c>
      <c r="E40" s="6">
        <v>400000.0</v>
      </c>
    </row>
    <row r="41" ht="15.75" customHeight="1">
      <c r="A41" s="4" t="s">
        <v>5276</v>
      </c>
      <c r="B41" s="4"/>
      <c r="C41" s="4" t="s">
        <v>5277</v>
      </c>
      <c r="D41" s="4" t="s">
        <v>5217</v>
      </c>
      <c r="E41" s="6">
        <v>125000.0</v>
      </c>
    </row>
    <row r="42" ht="15.75" customHeight="1">
      <c r="A42" s="4" t="s">
        <v>5278</v>
      </c>
      <c r="B42" s="4"/>
      <c r="C42" s="4" t="s">
        <v>5279</v>
      </c>
      <c r="D42" s="4" t="s">
        <v>5217</v>
      </c>
      <c r="E42" s="6">
        <v>140000.0</v>
      </c>
    </row>
    <row r="43" ht="15.75" customHeight="1">
      <c r="A43" s="4" t="s">
        <v>5280</v>
      </c>
      <c r="B43" s="4"/>
      <c r="C43" s="4" t="s">
        <v>5281</v>
      </c>
      <c r="D43" s="4" t="s">
        <v>5217</v>
      </c>
      <c r="E43" s="6">
        <v>150000.0</v>
      </c>
    </row>
    <row r="44" ht="15.75" customHeight="1">
      <c r="A44" s="4" t="s">
        <v>5282</v>
      </c>
      <c r="B44" s="4"/>
      <c r="C44" s="4" t="s">
        <v>5283</v>
      </c>
      <c r="D44" s="4" t="s">
        <v>5217</v>
      </c>
      <c r="E44" s="6">
        <v>155000.0</v>
      </c>
    </row>
    <row r="45" ht="15.75" customHeight="1">
      <c r="A45" s="4" t="s">
        <v>5284</v>
      </c>
      <c r="B45" s="4"/>
      <c r="C45" s="4" t="s">
        <v>5285</v>
      </c>
      <c r="D45" s="4" t="s">
        <v>5217</v>
      </c>
      <c r="E45" s="6">
        <v>130000.0</v>
      </c>
    </row>
    <row r="46" ht="15.75" customHeight="1">
      <c r="A46" s="4" t="s">
        <v>5286</v>
      </c>
      <c r="B46" s="4"/>
      <c r="C46" s="4" t="s">
        <v>5287</v>
      </c>
      <c r="D46" s="4" t="s">
        <v>5217</v>
      </c>
      <c r="E46" s="6">
        <v>130000.0</v>
      </c>
    </row>
    <row r="47" ht="15.75" customHeight="1">
      <c r="A47" s="4" t="s">
        <v>5288</v>
      </c>
      <c r="B47" s="4"/>
      <c r="C47" s="4" t="s">
        <v>5289</v>
      </c>
      <c r="D47" s="4" t="s">
        <v>5217</v>
      </c>
      <c r="E47" s="6">
        <v>130000.0</v>
      </c>
    </row>
    <row r="48" ht="15.75" customHeight="1">
      <c r="A48" s="4" t="s">
        <v>5290</v>
      </c>
      <c r="B48" s="4"/>
      <c r="C48" s="4" t="s">
        <v>5291</v>
      </c>
      <c r="D48" s="4" t="s">
        <v>5217</v>
      </c>
      <c r="E48" s="6">
        <v>160000.0</v>
      </c>
    </row>
    <row r="49" ht="15.75" customHeight="1">
      <c r="A49" s="4"/>
      <c r="B49" s="4" t="s">
        <v>5292</v>
      </c>
      <c r="C49" s="4" t="s">
        <v>5293</v>
      </c>
      <c r="D49" s="4" t="s">
        <v>5240</v>
      </c>
      <c r="E49" s="6">
        <v>145000.0</v>
      </c>
    </row>
    <row r="50" ht="15.75" customHeight="1">
      <c r="A50" s="4"/>
      <c r="B50" s="4"/>
      <c r="C50" s="4" t="s">
        <v>5294</v>
      </c>
      <c r="D50" s="4" t="s">
        <v>5240</v>
      </c>
      <c r="E50" s="6">
        <v>145000.0</v>
      </c>
    </row>
    <row r="51" ht="15.75" customHeight="1">
      <c r="A51" s="4" t="s">
        <v>5295</v>
      </c>
      <c r="B51" s="4"/>
      <c r="C51" s="4" t="s">
        <v>5296</v>
      </c>
      <c r="D51" s="4"/>
      <c r="E51" s="6"/>
    </row>
    <row r="52" ht="15.75" customHeight="1">
      <c r="A52" s="4"/>
      <c r="B52" s="4"/>
      <c r="C52" s="4" t="s">
        <v>5297</v>
      </c>
      <c r="D52" s="4"/>
      <c r="E52" s="6"/>
    </row>
    <row r="53" ht="15.75" customHeight="1">
      <c r="A53" s="4" t="s">
        <v>5212</v>
      </c>
      <c r="B53" s="4"/>
      <c r="C53" s="4" t="s">
        <v>5298</v>
      </c>
      <c r="D53" s="4" t="s">
        <v>116</v>
      </c>
      <c r="E53" s="6">
        <v>385000.0</v>
      </c>
    </row>
    <row r="54" ht="15.75" customHeight="1">
      <c r="A54" s="4"/>
      <c r="B54" s="4"/>
      <c r="C54" s="4" t="s">
        <v>5299</v>
      </c>
      <c r="D54" s="4" t="s">
        <v>5300</v>
      </c>
      <c r="E54" s="6">
        <v>226.4705882352941</v>
      </c>
    </row>
    <row r="55" ht="15.75" customHeight="1">
      <c r="A55" s="4"/>
      <c r="B55" s="4"/>
      <c r="C55" s="4" t="s">
        <v>5301</v>
      </c>
      <c r="D55" s="4" t="s">
        <v>116</v>
      </c>
      <c r="E55" s="6">
        <v>350000.0</v>
      </c>
    </row>
    <row r="56" ht="15.75" customHeight="1">
      <c r="A56" s="4"/>
      <c r="B56" s="4"/>
      <c r="C56" s="4" t="s">
        <v>5302</v>
      </c>
      <c r="D56" s="4" t="s">
        <v>116</v>
      </c>
      <c r="E56" s="6">
        <v>360000.0</v>
      </c>
    </row>
    <row r="57" ht="15.75" customHeight="1">
      <c r="A57" s="4"/>
      <c r="B57" s="4"/>
      <c r="C57" s="4" t="s">
        <v>5303</v>
      </c>
      <c r="D57" s="4" t="s">
        <v>116</v>
      </c>
      <c r="E57" s="6">
        <v>370000.0</v>
      </c>
    </row>
    <row r="58" ht="15.75" customHeight="1">
      <c r="A58" s="4" t="s">
        <v>353</v>
      </c>
      <c r="B58" s="4"/>
      <c r="C58" s="4" t="s">
        <v>5304</v>
      </c>
      <c r="D58" s="4" t="s">
        <v>43</v>
      </c>
      <c r="E58" s="6">
        <v>700.0</v>
      </c>
    </row>
    <row r="59" ht="15.75" customHeight="1">
      <c r="A59" s="4" t="s">
        <v>791</v>
      </c>
      <c r="B59" s="4"/>
      <c r="C59" s="4" t="s">
        <v>5305</v>
      </c>
      <c r="D59" s="4" t="s">
        <v>116</v>
      </c>
      <c r="E59" s="6">
        <v>590000.0</v>
      </c>
    </row>
    <row r="60" ht="15.75" customHeight="1">
      <c r="A60" s="4" t="s">
        <v>1626</v>
      </c>
      <c r="B60" s="4"/>
      <c r="C60" s="4" t="s">
        <v>5306</v>
      </c>
      <c r="D60" s="4" t="s">
        <v>116</v>
      </c>
      <c r="E60" s="6">
        <v>703500.0</v>
      </c>
    </row>
    <row r="61" ht="15.75" customHeight="1">
      <c r="A61" s="4" t="s">
        <v>2310</v>
      </c>
      <c r="B61" s="4"/>
      <c r="C61" s="4" t="s">
        <v>5307</v>
      </c>
      <c r="D61" s="4" t="s">
        <v>116</v>
      </c>
      <c r="E61" s="6">
        <v>685800.0</v>
      </c>
    </row>
    <row r="62" ht="15.75" customHeight="1">
      <c r="A62" s="4" t="s">
        <v>3568</v>
      </c>
      <c r="B62" s="4"/>
      <c r="C62" s="4" t="s">
        <v>5308</v>
      </c>
      <c r="D62" s="4" t="s">
        <v>43</v>
      </c>
      <c r="E62" s="6">
        <v>11000.0</v>
      </c>
    </row>
    <row r="63" ht="15.75" customHeight="1">
      <c r="A63" s="4" t="s">
        <v>4362</v>
      </c>
      <c r="B63" s="4"/>
      <c r="C63" s="4" t="s">
        <v>5309</v>
      </c>
      <c r="D63" s="4" t="s">
        <v>43</v>
      </c>
      <c r="E63" s="6">
        <v>20000.0</v>
      </c>
    </row>
    <row r="64" ht="15.75" customHeight="1">
      <c r="A64" s="4" t="s">
        <v>4423</v>
      </c>
      <c r="B64" s="4"/>
      <c r="C64" s="4" t="s">
        <v>5310</v>
      </c>
      <c r="D64" s="4" t="s">
        <v>43</v>
      </c>
      <c r="E64" s="6">
        <v>8500.0</v>
      </c>
    </row>
    <row r="65" ht="15.75" customHeight="1">
      <c r="A65" s="4" t="s">
        <v>4626</v>
      </c>
      <c r="B65" s="4"/>
      <c r="C65" s="4" t="s">
        <v>5311</v>
      </c>
      <c r="D65" s="4" t="s">
        <v>43</v>
      </c>
      <c r="E65" s="6">
        <v>15000.0</v>
      </c>
    </row>
    <row r="66" ht="15.75" customHeight="1">
      <c r="A66" s="4"/>
      <c r="B66" s="4"/>
      <c r="C66" s="4" t="s">
        <v>5312</v>
      </c>
      <c r="D66" s="4" t="s">
        <v>5313</v>
      </c>
      <c r="E66" s="6">
        <v>15000.0</v>
      </c>
    </row>
    <row r="67" ht="15.75" customHeight="1">
      <c r="A67" s="4" t="s">
        <v>5171</v>
      </c>
      <c r="B67" s="4"/>
      <c r="C67" s="4" t="s">
        <v>5314</v>
      </c>
      <c r="D67" s="4" t="s">
        <v>5315</v>
      </c>
      <c r="E67" s="6">
        <v>179300.0</v>
      </c>
    </row>
    <row r="68" ht="15.75" customHeight="1">
      <c r="A68" s="4" t="s">
        <v>5229</v>
      </c>
      <c r="B68" s="4"/>
      <c r="C68" s="4" t="s">
        <v>5316</v>
      </c>
      <c r="D68" s="4" t="s">
        <v>5315</v>
      </c>
      <c r="E68" s="6">
        <v>177500.0</v>
      </c>
    </row>
    <row r="69" ht="15.75" customHeight="1">
      <c r="A69" s="4" t="s">
        <v>5231</v>
      </c>
      <c r="B69" s="4"/>
      <c r="C69" s="4" t="s">
        <v>5317</v>
      </c>
      <c r="D69" s="4" t="s">
        <v>116</v>
      </c>
      <c r="E69" s="6">
        <v>339861.0</v>
      </c>
    </row>
    <row r="70" ht="15.75" customHeight="1">
      <c r="A70" s="4" t="s">
        <v>5233</v>
      </c>
      <c r="B70" s="4"/>
      <c r="C70" s="4" t="s">
        <v>5318</v>
      </c>
      <c r="D70" s="4" t="s">
        <v>116</v>
      </c>
      <c r="E70" s="6">
        <v>235000.0</v>
      </c>
    </row>
    <row r="71" ht="15.75" customHeight="1">
      <c r="A71" s="4" t="s">
        <v>5235</v>
      </c>
      <c r="B71" s="4"/>
      <c r="C71" s="4" t="s">
        <v>5319</v>
      </c>
      <c r="D71" s="4" t="s">
        <v>116</v>
      </c>
      <c r="E71" s="6">
        <v>286500.0</v>
      </c>
    </row>
    <row r="72" ht="15.75" customHeight="1">
      <c r="A72" s="4"/>
      <c r="B72" s="4"/>
      <c r="C72" s="4" t="s">
        <v>5320</v>
      </c>
      <c r="D72" s="4" t="s">
        <v>116</v>
      </c>
      <c r="E72" s="6">
        <v>286500.0</v>
      </c>
    </row>
    <row r="73" ht="15.75" customHeight="1">
      <c r="A73" s="4"/>
      <c r="B73" s="4"/>
      <c r="C73" s="4" t="s">
        <v>5321</v>
      </c>
      <c r="D73" s="4" t="s">
        <v>116</v>
      </c>
      <c r="E73" s="6">
        <v>286500.0</v>
      </c>
    </row>
    <row r="74" ht="15.75" customHeight="1">
      <c r="A74" s="4" t="s">
        <v>5237</v>
      </c>
      <c r="B74" s="4"/>
      <c r="C74" s="4" t="s">
        <v>5322</v>
      </c>
      <c r="D74" s="4" t="s">
        <v>116</v>
      </c>
      <c r="E74" s="6">
        <v>127500.0</v>
      </c>
    </row>
    <row r="75" ht="15.75" customHeight="1">
      <c r="A75" s="4" t="s">
        <v>5272</v>
      </c>
      <c r="B75" s="4"/>
      <c r="C75" s="4" t="s">
        <v>5323</v>
      </c>
      <c r="D75" s="4" t="s">
        <v>5315</v>
      </c>
      <c r="E75" s="6">
        <v>152000.0</v>
      </c>
    </row>
    <row r="76" ht="15.75" customHeight="1">
      <c r="A76" s="4" t="s">
        <v>5274</v>
      </c>
      <c r="B76" s="4"/>
      <c r="C76" s="4" t="s">
        <v>5324</v>
      </c>
      <c r="D76" s="4" t="s">
        <v>116</v>
      </c>
      <c r="E76" s="6">
        <v>187400.0</v>
      </c>
    </row>
    <row r="77" ht="15.75" customHeight="1">
      <c r="A77" s="4" t="s">
        <v>5276</v>
      </c>
      <c r="B77" s="4"/>
      <c r="C77" s="4" t="s">
        <v>5325</v>
      </c>
      <c r="D77" s="4" t="s">
        <v>116</v>
      </c>
      <c r="E77" s="6">
        <v>142500.0</v>
      </c>
    </row>
    <row r="78" ht="15.75" customHeight="1">
      <c r="A78" s="4" t="s">
        <v>5278</v>
      </c>
      <c r="B78" s="4"/>
      <c r="C78" s="4" t="s">
        <v>5326</v>
      </c>
      <c r="D78" s="4" t="s">
        <v>36</v>
      </c>
      <c r="E78" s="6">
        <v>97500.0</v>
      </c>
    </row>
    <row r="79" ht="15.75" customHeight="1">
      <c r="A79" s="4"/>
      <c r="B79" s="4"/>
      <c r="C79" s="4" t="s">
        <v>5327</v>
      </c>
      <c r="D79" s="4" t="s">
        <v>116</v>
      </c>
      <c r="E79" s="6">
        <v>97500.0</v>
      </c>
    </row>
    <row r="80" ht="15.75" customHeight="1">
      <c r="A80" s="4" t="s">
        <v>5280</v>
      </c>
      <c r="B80" s="4"/>
      <c r="C80" s="4" t="s">
        <v>5328</v>
      </c>
      <c r="D80" s="4" t="s">
        <v>116</v>
      </c>
      <c r="E80" s="6">
        <v>125000.0</v>
      </c>
    </row>
    <row r="81" ht="15.75" customHeight="1">
      <c r="A81" s="4" t="s">
        <v>5250</v>
      </c>
      <c r="B81" s="4"/>
      <c r="C81" s="4" t="s">
        <v>5329</v>
      </c>
      <c r="D81" s="4" t="s">
        <v>389</v>
      </c>
      <c r="E81" s="6">
        <v>210.0</v>
      </c>
    </row>
    <row r="82" ht="15.75" customHeight="1">
      <c r="A82" s="4" t="s">
        <v>5268</v>
      </c>
      <c r="B82" s="4"/>
      <c r="C82" s="4" t="s">
        <v>5330</v>
      </c>
      <c r="D82" s="4" t="s">
        <v>116</v>
      </c>
      <c r="E82" s="6">
        <v>363800.0</v>
      </c>
    </row>
    <row r="83" ht="15.75" customHeight="1">
      <c r="A83" s="4" t="s">
        <v>5282</v>
      </c>
      <c r="B83" s="4"/>
      <c r="C83" s="4" t="s">
        <v>5331</v>
      </c>
      <c r="D83" s="4" t="s">
        <v>116</v>
      </c>
      <c r="E83" s="6">
        <v>351800.0</v>
      </c>
    </row>
    <row r="84" ht="15.75" customHeight="1">
      <c r="A84" s="4" t="s">
        <v>5256</v>
      </c>
      <c r="B84" s="4"/>
      <c r="C84" s="4" t="s">
        <v>5332</v>
      </c>
      <c r="D84" s="4" t="s">
        <v>5315</v>
      </c>
      <c r="E84" s="6">
        <v>123000.0</v>
      </c>
    </row>
    <row r="85" ht="15.75" customHeight="1">
      <c r="A85" s="4" t="s">
        <v>5259</v>
      </c>
      <c r="B85" s="4"/>
      <c r="C85" s="4" t="s">
        <v>5333</v>
      </c>
      <c r="D85" s="4" t="s">
        <v>5315</v>
      </c>
      <c r="E85" s="6">
        <v>117700.0</v>
      </c>
    </row>
    <row r="86" ht="15.75" customHeight="1">
      <c r="A86" s="4" t="s">
        <v>5284</v>
      </c>
      <c r="B86" s="4"/>
      <c r="C86" s="4" t="s">
        <v>5334</v>
      </c>
      <c r="D86" s="4" t="s">
        <v>389</v>
      </c>
      <c r="E86" s="6">
        <v>6000.0</v>
      </c>
    </row>
    <row r="87" ht="15.75" customHeight="1">
      <c r="A87" s="4" t="s">
        <v>5286</v>
      </c>
      <c r="B87" s="4"/>
      <c r="C87" s="4" t="s">
        <v>5335</v>
      </c>
      <c r="D87" s="4" t="s">
        <v>116</v>
      </c>
      <c r="E87" s="6">
        <v>370200.0</v>
      </c>
    </row>
    <row r="88" ht="15.75" customHeight="1">
      <c r="A88" s="4" t="s">
        <v>5253</v>
      </c>
      <c r="B88" s="4"/>
      <c r="C88" s="4" t="s">
        <v>5336</v>
      </c>
      <c r="D88" s="4" t="s">
        <v>116</v>
      </c>
      <c r="E88" s="6">
        <v>352300.0</v>
      </c>
    </row>
    <row r="89" ht="15.75" customHeight="1">
      <c r="A89" s="4"/>
      <c r="B89" s="4"/>
      <c r="C89" s="4" t="s">
        <v>5337</v>
      </c>
      <c r="D89" s="4" t="s">
        <v>116</v>
      </c>
      <c r="E89" s="6">
        <v>352300.0</v>
      </c>
    </row>
    <row r="90" ht="15.75" customHeight="1">
      <c r="A90" s="4" t="s">
        <v>5288</v>
      </c>
      <c r="B90" s="4"/>
      <c r="C90" s="4" t="s">
        <v>5338</v>
      </c>
      <c r="D90" s="4" t="s">
        <v>116</v>
      </c>
      <c r="E90" s="6">
        <v>121600.0</v>
      </c>
    </row>
    <row r="91" ht="15.75" customHeight="1">
      <c r="A91" s="4" t="s">
        <v>5262</v>
      </c>
      <c r="B91" s="4"/>
      <c r="C91" s="4" t="s">
        <v>5339</v>
      </c>
      <c r="D91" s="4" t="s">
        <v>389</v>
      </c>
      <c r="E91" s="6">
        <v>600.0</v>
      </c>
    </row>
    <row r="92" ht="15.75" customHeight="1">
      <c r="A92" s="4" t="s">
        <v>5265</v>
      </c>
      <c r="B92" s="4"/>
      <c r="C92" s="4" t="s">
        <v>5340</v>
      </c>
      <c r="D92" s="4" t="s">
        <v>43</v>
      </c>
      <c r="E92" s="6">
        <v>12000.0</v>
      </c>
    </row>
    <row r="93" ht="15.75" customHeight="1">
      <c r="A93" s="4" t="s">
        <v>5290</v>
      </c>
      <c r="B93" s="4"/>
      <c r="C93" s="4" t="s">
        <v>5341</v>
      </c>
      <c r="D93" s="4" t="s">
        <v>43</v>
      </c>
      <c r="E93" s="6">
        <v>12000.0</v>
      </c>
    </row>
    <row r="94" ht="15.75" customHeight="1">
      <c r="A94" s="4" t="s">
        <v>5342</v>
      </c>
      <c r="B94" s="4"/>
      <c r="C94" s="4" t="s">
        <v>5343</v>
      </c>
      <c r="D94" s="4" t="s">
        <v>43</v>
      </c>
      <c r="E94" s="6">
        <v>13000.0</v>
      </c>
    </row>
    <row r="95" ht="15.75" customHeight="1">
      <c r="A95" s="4"/>
      <c r="B95" s="4"/>
      <c r="C95" s="4" t="s">
        <v>5344</v>
      </c>
      <c r="D95" s="4" t="s">
        <v>389</v>
      </c>
      <c r="E95" s="6">
        <v>210.0</v>
      </c>
    </row>
    <row r="96" ht="15.75" customHeight="1">
      <c r="A96" s="4"/>
      <c r="B96" s="4"/>
      <c r="C96" s="4" t="s">
        <v>5345</v>
      </c>
      <c r="D96" s="4" t="s">
        <v>116</v>
      </c>
      <c r="E96" s="6">
        <v>352300.0</v>
      </c>
    </row>
    <row r="97" ht="15.75" customHeight="1">
      <c r="A97" s="4" t="s">
        <v>5346</v>
      </c>
      <c r="B97" s="4"/>
      <c r="C97" s="4" t="s">
        <v>5347</v>
      </c>
      <c r="D97" s="4" t="s">
        <v>116</v>
      </c>
      <c r="E97" s="6">
        <v>225000.0</v>
      </c>
    </row>
    <row r="98" ht="15.75" customHeight="1">
      <c r="A98" s="4" t="s">
        <v>5348</v>
      </c>
      <c r="B98" s="4"/>
      <c r="C98" s="4" t="s">
        <v>5349</v>
      </c>
      <c r="D98" s="4" t="s">
        <v>389</v>
      </c>
      <c r="E98" s="6">
        <v>300.0</v>
      </c>
    </row>
    <row r="99" ht="15.75" customHeight="1">
      <c r="A99" s="4"/>
      <c r="B99" s="4"/>
      <c r="C99" s="4" t="s">
        <v>5349</v>
      </c>
      <c r="D99" s="4" t="s">
        <v>116</v>
      </c>
      <c r="E99" s="6">
        <v>370200.0</v>
      </c>
    </row>
    <row r="100" ht="15.75" customHeight="1">
      <c r="A100" s="4" t="s">
        <v>5350</v>
      </c>
      <c r="B100" s="4"/>
      <c r="C100" s="4" t="s">
        <v>5351</v>
      </c>
      <c r="D100" s="4" t="s">
        <v>116</v>
      </c>
      <c r="E100" s="6">
        <v>422600.0</v>
      </c>
    </row>
    <row r="101" ht="15.75" customHeight="1">
      <c r="A101" s="4" t="s">
        <v>5352</v>
      </c>
      <c r="B101" s="4"/>
      <c r="C101" s="4" t="s">
        <v>5353</v>
      </c>
      <c r="D101" s="4" t="s">
        <v>116</v>
      </c>
      <c r="E101" s="6">
        <v>325200.0</v>
      </c>
    </row>
    <row r="102" ht="15.75" customHeight="1">
      <c r="A102" s="4" t="s">
        <v>5354</v>
      </c>
      <c r="B102" s="4"/>
      <c r="C102" s="4" t="s">
        <v>5355</v>
      </c>
      <c r="D102" s="4" t="s">
        <v>116</v>
      </c>
      <c r="E102" s="6">
        <v>370200.0</v>
      </c>
    </row>
    <row r="103" ht="15.75" customHeight="1">
      <c r="A103" s="4" t="s">
        <v>5356</v>
      </c>
      <c r="B103" s="4"/>
      <c r="C103" s="4" t="s">
        <v>5357</v>
      </c>
      <c r="D103" s="4" t="s">
        <v>116</v>
      </c>
      <c r="E103" s="6">
        <v>170000.0</v>
      </c>
    </row>
    <row r="104" ht="15.75" customHeight="1">
      <c r="A104" s="4"/>
      <c r="B104" s="4"/>
      <c r="C104" s="4" t="s">
        <v>5358</v>
      </c>
      <c r="D104" s="4" t="s">
        <v>116</v>
      </c>
      <c r="E104" s="6">
        <v>200000.0</v>
      </c>
    </row>
    <row r="105" ht="15.75" customHeight="1">
      <c r="A105" s="4" t="s">
        <v>5359</v>
      </c>
      <c r="B105" s="4"/>
      <c r="C105" s="4" t="s">
        <v>5360</v>
      </c>
      <c r="D105" s="4" t="s">
        <v>116</v>
      </c>
      <c r="E105" s="6">
        <v>200000.0</v>
      </c>
    </row>
    <row r="106" ht="15.75" customHeight="1">
      <c r="A106" s="4" t="s">
        <v>5361</v>
      </c>
      <c r="B106" s="4"/>
      <c r="C106" s="4" t="s">
        <v>5362</v>
      </c>
      <c r="D106" s="4" t="s">
        <v>116</v>
      </c>
      <c r="E106" s="6">
        <v>275000.0</v>
      </c>
    </row>
    <row r="107" ht="15.75" customHeight="1">
      <c r="A107" s="4" t="s">
        <v>5363</v>
      </c>
      <c r="B107" s="4"/>
      <c r="C107" s="4" t="s">
        <v>5364</v>
      </c>
      <c r="D107" s="4" t="s">
        <v>116</v>
      </c>
      <c r="E107" s="6">
        <v>150000.0</v>
      </c>
    </row>
    <row r="108" ht="15.75" customHeight="1">
      <c r="A108" s="4" t="s">
        <v>5365</v>
      </c>
      <c r="B108" s="4"/>
      <c r="C108" s="4" t="s">
        <v>5366</v>
      </c>
      <c r="D108" s="4" t="s">
        <v>116</v>
      </c>
      <c r="E108" s="6">
        <v>165500.0</v>
      </c>
    </row>
    <row r="109" ht="15.75" customHeight="1">
      <c r="A109" s="4" t="s">
        <v>5367</v>
      </c>
      <c r="B109" s="4"/>
      <c r="C109" s="4" t="s">
        <v>5368</v>
      </c>
      <c r="D109" s="4" t="s">
        <v>116</v>
      </c>
      <c r="E109" s="6">
        <v>254700.0</v>
      </c>
    </row>
    <row r="110" ht="15.75" customHeight="1">
      <c r="A110" s="4" t="s">
        <v>5369</v>
      </c>
      <c r="B110" s="4"/>
      <c r="C110" s="4" t="s">
        <v>5370</v>
      </c>
      <c r="D110" s="4" t="s">
        <v>116</v>
      </c>
      <c r="E110" s="6">
        <v>120000.0</v>
      </c>
    </row>
    <row r="111" ht="15.75" customHeight="1">
      <c r="A111" s="4"/>
      <c r="B111" s="4"/>
      <c r="C111" s="4" t="s">
        <v>5371</v>
      </c>
      <c r="D111" s="4" t="s">
        <v>116</v>
      </c>
      <c r="E111" s="6">
        <v>488180.0</v>
      </c>
    </row>
    <row r="112" ht="15.75" customHeight="1">
      <c r="A112" s="4" t="s">
        <v>5372</v>
      </c>
      <c r="B112" s="4"/>
      <c r="C112" s="4" t="s">
        <v>5373</v>
      </c>
      <c r="D112" s="4" t="s">
        <v>389</v>
      </c>
      <c r="E112" s="6">
        <v>12000.0</v>
      </c>
    </row>
    <row r="113" ht="15.75" customHeight="1">
      <c r="A113" s="4" t="s">
        <v>5374</v>
      </c>
      <c r="B113" s="4"/>
      <c r="C113" s="4" t="s">
        <v>5375</v>
      </c>
      <c r="D113" s="4" t="s">
        <v>389</v>
      </c>
      <c r="E113" s="6">
        <v>13000.0</v>
      </c>
    </row>
    <row r="114" ht="15.75" customHeight="1">
      <c r="A114" s="4" t="s">
        <v>5376</v>
      </c>
      <c r="B114" s="4"/>
      <c r="C114" s="4" t="s">
        <v>5377</v>
      </c>
      <c r="D114" s="4" t="s">
        <v>116</v>
      </c>
      <c r="E114" s="6">
        <v>288700.0</v>
      </c>
    </row>
    <row r="115" ht="15.75" customHeight="1">
      <c r="A115" s="4" t="s">
        <v>5378</v>
      </c>
      <c r="B115" s="4"/>
      <c r="C115" s="4" t="s">
        <v>5379</v>
      </c>
      <c r="D115" s="4" t="s">
        <v>116</v>
      </c>
      <c r="E115" s="6">
        <v>184400.0</v>
      </c>
    </row>
    <row r="116" ht="15.75" customHeight="1">
      <c r="A116" s="4" t="s">
        <v>5380</v>
      </c>
      <c r="B116" s="4"/>
      <c r="C116" s="4" t="s">
        <v>5381</v>
      </c>
      <c r="D116" s="4" t="s">
        <v>116</v>
      </c>
      <c r="E116" s="6">
        <v>261800.0</v>
      </c>
    </row>
    <row r="117" ht="15.75" customHeight="1">
      <c r="A117" s="4" t="s">
        <v>5382</v>
      </c>
      <c r="B117" s="4"/>
      <c r="C117" s="4" t="s">
        <v>5383</v>
      </c>
      <c r="D117" s="4" t="s">
        <v>116</v>
      </c>
      <c r="E117" s="6">
        <v>120000.0</v>
      </c>
    </row>
    <row r="118" ht="15.75" customHeight="1">
      <c r="A118" s="4" t="s">
        <v>5384</v>
      </c>
      <c r="B118" s="4"/>
      <c r="C118" s="4" t="s">
        <v>5385</v>
      </c>
      <c r="D118" s="4" t="s">
        <v>116</v>
      </c>
      <c r="E118" s="6">
        <v>146900.0</v>
      </c>
    </row>
    <row r="119" ht="15.75" customHeight="1">
      <c r="A119" s="4" t="s">
        <v>5386</v>
      </c>
      <c r="B119" s="4"/>
      <c r="C119" s="4" t="s">
        <v>5387</v>
      </c>
      <c r="D119" s="4" t="s">
        <v>116</v>
      </c>
      <c r="E119" s="6">
        <v>44000.0</v>
      </c>
    </row>
    <row r="120" ht="15.75" customHeight="1">
      <c r="A120" s="4" t="s">
        <v>5388</v>
      </c>
      <c r="B120" s="4"/>
      <c r="C120" s="4" t="s">
        <v>5389</v>
      </c>
      <c r="D120" s="4" t="s">
        <v>116</v>
      </c>
      <c r="E120" s="6">
        <v>64500.0</v>
      </c>
    </row>
    <row r="121" ht="15.75" customHeight="1">
      <c r="A121" s="4" t="s">
        <v>5390</v>
      </c>
      <c r="B121" s="4"/>
      <c r="C121" s="4" t="s">
        <v>5391</v>
      </c>
      <c r="D121" s="4" t="s">
        <v>116</v>
      </c>
      <c r="E121" s="6">
        <v>160000.0</v>
      </c>
    </row>
    <row r="122" ht="15.75" customHeight="1">
      <c r="A122" s="4" t="s">
        <v>5392</v>
      </c>
      <c r="B122" s="4"/>
      <c r="C122" s="4" t="s">
        <v>5393</v>
      </c>
      <c r="D122" s="4" t="s">
        <v>116</v>
      </c>
      <c r="E122" s="6">
        <v>163600.0</v>
      </c>
    </row>
    <row r="123" ht="15.75" customHeight="1">
      <c r="A123" s="4" t="s">
        <v>5394</v>
      </c>
      <c r="B123" s="4"/>
      <c r="C123" s="4" t="s">
        <v>5395</v>
      </c>
      <c r="D123" s="4" t="s">
        <v>116</v>
      </c>
      <c r="E123" s="6">
        <v>47500.0</v>
      </c>
    </row>
    <row r="124" ht="15.75" customHeight="1">
      <c r="A124" s="4" t="s">
        <v>5396</v>
      </c>
      <c r="B124" s="4"/>
      <c r="C124" s="4" t="s">
        <v>5397</v>
      </c>
      <c r="D124" s="4" t="s">
        <v>116</v>
      </c>
      <c r="E124" s="6">
        <v>146900.0</v>
      </c>
    </row>
    <row r="125" ht="15.75" customHeight="1">
      <c r="A125" s="4" t="s">
        <v>5398</v>
      </c>
      <c r="B125" s="4"/>
      <c r="C125" s="4" t="s">
        <v>5399</v>
      </c>
      <c r="D125" s="4" t="s">
        <v>116</v>
      </c>
      <c r="E125" s="6">
        <v>48000.0</v>
      </c>
    </row>
    <row r="126" ht="15.75" customHeight="1">
      <c r="A126" s="4"/>
      <c r="B126" s="4"/>
      <c r="C126" s="4" t="s">
        <v>5400</v>
      </c>
      <c r="D126" s="4" t="s">
        <v>116</v>
      </c>
      <c r="E126" s="6">
        <v>165000.0</v>
      </c>
    </row>
    <row r="127" ht="15.75" customHeight="1">
      <c r="A127" s="4"/>
      <c r="B127" s="4"/>
      <c r="C127" s="4" t="s">
        <v>5401</v>
      </c>
      <c r="D127" s="4"/>
      <c r="E127" s="6"/>
    </row>
    <row r="128" ht="15.75" customHeight="1">
      <c r="A128" s="4" t="s">
        <v>5212</v>
      </c>
      <c r="B128" s="4"/>
      <c r="C128" s="4" t="s">
        <v>5402</v>
      </c>
      <c r="D128" s="4" t="s">
        <v>5403</v>
      </c>
      <c r="E128" s="6">
        <v>17800.0</v>
      </c>
    </row>
    <row r="129" ht="15.75" customHeight="1">
      <c r="A129" s="4" t="s">
        <v>353</v>
      </c>
      <c r="B129" s="4"/>
      <c r="C129" s="4" t="s">
        <v>5404</v>
      </c>
      <c r="D129" s="4" t="s">
        <v>5403</v>
      </c>
      <c r="E129" s="6">
        <v>22600.0</v>
      </c>
    </row>
    <row r="130" ht="15.75" customHeight="1">
      <c r="A130" s="4" t="s">
        <v>791</v>
      </c>
      <c r="B130" s="4"/>
      <c r="C130" s="4" t="s">
        <v>5405</v>
      </c>
      <c r="D130" s="4" t="s">
        <v>5403</v>
      </c>
      <c r="E130" s="6">
        <v>14800.0</v>
      </c>
    </row>
    <row r="131" ht="15.75" customHeight="1">
      <c r="A131" s="4" t="s">
        <v>1626</v>
      </c>
      <c r="B131" s="4"/>
      <c r="C131" s="4" t="s">
        <v>5406</v>
      </c>
      <c r="D131" s="4" t="s">
        <v>5403</v>
      </c>
      <c r="E131" s="6">
        <v>12900.0</v>
      </c>
    </row>
    <row r="132" ht="15.75" customHeight="1">
      <c r="A132" s="4"/>
      <c r="B132" s="4"/>
      <c r="C132" s="4" t="s">
        <v>5407</v>
      </c>
      <c r="D132" s="4" t="s">
        <v>5403</v>
      </c>
      <c r="E132" s="6">
        <v>14500.0</v>
      </c>
    </row>
    <row r="133" ht="15.75" customHeight="1">
      <c r="A133" s="4"/>
      <c r="B133" s="4"/>
      <c r="C133" s="4" t="s">
        <v>5408</v>
      </c>
      <c r="D133" s="4" t="s">
        <v>5403</v>
      </c>
      <c r="E133" s="6">
        <v>7000.0</v>
      </c>
    </row>
    <row r="134" ht="15.75" customHeight="1">
      <c r="A134" s="4"/>
      <c r="B134" s="4"/>
      <c r="C134" s="4" t="s">
        <v>5409</v>
      </c>
      <c r="D134" s="4" t="s">
        <v>5410</v>
      </c>
      <c r="E134" s="6">
        <v>50000.0</v>
      </c>
    </row>
    <row r="135" ht="15.75" customHeight="1">
      <c r="A135" s="4" t="s">
        <v>2310</v>
      </c>
      <c r="B135" s="4"/>
      <c r="C135" s="4" t="s">
        <v>5411</v>
      </c>
      <c r="D135" s="4" t="s">
        <v>36</v>
      </c>
      <c r="E135" s="6">
        <v>21000.0</v>
      </c>
    </row>
    <row r="136" ht="15.75" customHeight="1">
      <c r="A136" s="4" t="s">
        <v>3568</v>
      </c>
      <c r="B136" s="4"/>
      <c r="C136" s="4" t="s">
        <v>5412</v>
      </c>
      <c r="D136" s="4" t="s">
        <v>36</v>
      </c>
      <c r="E136" s="6">
        <v>410600.0</v>
      </c>
    </row>
    <row r="137" ht="15.75" customHeight="1">
      <c r="A137" s="4" t="s">
        <v>4362</v>
      </c>
      <c r="B137" s="4"/>
      <c r="C137" s="4" t="s">
        <v>5413</v>
      </c>
      <c r="D137" s="4" t="s">
        <v>27</v>
      </c>
      <c r="E137" s="6">
        <v>5000.0</v>
      </c>
    </row>
    <row r="138" ht="15.75" customHeight="1">
      <c r="A138" s="4" t="s">
        <v>4423</v>
      </c>
      <c r="B138" s="4"/>
      <c r="C138" s="4" t="s">
        <v>5413</v>
      </c>
      <c r="D138" s="4" t="s">
        <v>5403</v>
      </c>
      <c r="E138" s="6">
        <v>20000.0</v>
      </c>
    </row>
    <row r="139" ht="15.75" customHeight="1">
      <c r="A139" s="4"/>
      <c r="B139" s="4"/>
      <c r="C139" s="4" t="s">
        <v>5414</v>
      </c>
      <c r="D139" s="4" t="s">
        <v>116</v>
      </c>
      <c r="E139" s="6">
        <v>1.195E7</v>
      </c>
    </row>
    <row r="140" ht="15.75" customHeight="1">
      <c r="A140" s="4"/>
      <c r="B140" s="4"/>
      <c r="C140" s="4" t="s">
        <v>5415</v>
      </c>
      <c r="D140" s="4" t="s">
        <v>5416</v>
      </c>
      <c r="E140" s="6">
        <v>2700000.0</v>
      </c>
    </row>
    <row r="141" ht="15.75" customHeight="1">
      <c r="A141" s="4" t="s">
        <v>4626</v>
      </c>
      <c r="B141" s="4"/>
      <c r="C141" s="4" t="s">
        <v>5417</v>
      </c>
      <c r="D141" s="4" t="s">
        <v>116</v>
      </c>
      <c r="E141" s="6">
        <v>2.5E7</v>
      </c>
    </row>
    <row r="142" ht="15.75" customHeight="1">
      <c r="A142" s="4" t="s">
        <v>5171</v>
      </c>
      <c r="B142" s="4"/>
      <c r="C142" s="4" t="s">
        <v>5418</v>
      </c>
      <c r="D142" s="4" t="s">
        <v>116</v>
      </c>
      <c r="E142" s="6">
        <v>1.195E7</v>
      </c>
    </row>
    <row r="143" ht="15.75" customHeight="1">
      <c r="A143" s="4"/>
      <c r="B143" s="4"/>
      <c r="C143" s="4" t="s">
        <v>5419</v>
      </c>
      <c r="D143" s="4" t="s">
        <v>5416</v>
      </c>
      <c r="E143" s="6">
        <v>2.0E7</v>
      </c>
    </row>
    <row r="144" ht="15.75" customHeight="1">
      <c r="A144" s="4" t="s">
        <v>5229</v>
      </c>
      <c r="B144" s="4"/>
      <c r="C144" s="4" t="s">
        <v>5420</v>
      </c>
      <c r="D144" s="4" t="s">
        <v>116</v>
      </c>
      <c r="E144" s="6">
        <v>2.5E7</v>
      </c>
    </row>
    <row r="145" ht="15.75" customHeight="1">
      <c r="A145" s="4" t="s">
        <v>5231</v>
      </c>
      <c r="B145" s="4"/>
      <c r="C145" s="4" t="s">
        <v>5421</v>
      </c>
      <c r="D145" s="4" t="s">
        <v>116</v>
      </c>
      <c r="E145" s="6">
        <v>1.195E7</v>
      </c>
    </row>
    <row r="146" ht="15.75" customHeight="1">
      <c r="A146" s="4" t="s">
        <v>5233</v>
      </c>
      <c r="B146" s="4"/>
      <c r="C146" s="4" t="s">
        <v>5422</v>
      </c>
      <c r="D146" s="4" t="s">
        <v>5403</v>
      </c>
      <c r="E146" s="6">
        <v>414000.0</v>
      </c>
    </row>
    <row r="147" ht="15.75" customHeight="1">
      <c r="A147" s="4"/>
      <c r="B147" s="4"/>
      <c r="C147" s="4" t="s">
        <v>5423</v>
      </c>
      <c r="D147" s="4" t="s">
        <v>116</v>
      </c>
      <c r="E147" s="6">
        <v>1.195E7</v>
      </c>
    </row>
    <row r="148" ht="15.75" customHeight="1">
      <c r="A148" s="4"/>
      <c r="B148" s="4"/>
      <c r="C148" s="4" t="s">
        <v>5424</v>
      </c>
      <c r="D148" s="4" t="s">
        <v>116</v>
      </c>
      <c r="E148" s="6">
        <v>1.195E7</v>
      </c>
    </row>
    <row r="149" ht="15.75" customHeight="1">
      <c r="A149" s="4"/>
      <c r="B149" s="4"/>
      <c r="C149" s="4" t="s">
        <v>5425</v>
      </c>
      <c r="D149" s="4" t="s">
        <v>116</v>
      </c>
      <c r="E149" s="6">
        <v>1.02142E7</v>
      </c>
    </row>
    <row r="150" ht="15.75" customHeight="1">
      <c r="A150" s="4" t="s">
        <v>5235</v>
      </c>
      <c r="B150" s="4"/>
      <c r="C150" s="4" t="s">
        <v>5426</v>
      </c>
      <c r="D150" s="4" t="s">
        <v>116</v>
      </c>
      <c r="E150" s="6">
        <v>1.02142E7</v>
      </c>
    </row>
    <row r="151" ht="15.75" customHeight="1">
      <c r="A151" s="4" t="s">
        <v>5237</v>
      </c>
      <c r="B151" s="4"/>
      <c r="C151" s="4" t="s">
        <v>5427</v>
      </c>
      <c r="D151" s="4" t="s">
        <v>116</v>
      </c>
      <c r="E151" s="6">
        <v>3500000.0</v>
      </c>
    </row>
    <row r="152" ht="15.75" customHeight="1">
      <c r="A152" s="4" t="s">
        <v>5272</v>
      </c>
      <c r="B152" s="4"/>
      <c r="C152" s="4" t="s">
        <v>5428</v>
      </c>
      <c r="D152" s="4" t="s">
        <v>5429</v>
      </c>
      <c r="E152" s="6">
        <v>6966600.0</v>
      </c>
    </row>
    <row r="153" ht="15.75" customHeight="1">
      <c r="A153" s="4" t="s">
        <v>5274</v>
      </c>
      <c r="B153" s="4"/>
      <c r="C153" s="4" t="s">
        <v>5430</v>
      </c>
      <c r="D153" s="4" t="s">
        <v>116</v>
      </c>
      <c r="E153" s="6">
        <v>2500000.0</v>
      </c>
    </row>
    <row r="154" ht="15.75" customHeight="1">
      <c r="A154" s="4"/>
      <c r="B154" s="4"/>
      <c r="C154" s="4" t="s">
        <v>5431</v>
      </c>
      <c r="D154" s="4" t="s">
        <v>116</v>
      </c>
      <c r="E154" s="6">
        <v>2500000.0</v>
      </c>
    </row>
    <row r="155" ht="15.75" customHeight="1">
      <c r="A155" s="4" t="s">
        <v>5276</v>
      </c>
      <c r="B155" s="4"/>
      <c r="C155" s="4" t="s">
        <v>5432</v>
      </c>
      <c r="D155" s="4" t="s">
        <v>116</v>
      </c>
      <c r="E155" s="6">
        <v>2825000.0</v>
      </c>
    </row>
    <row r="156" ht="15.75" customHeight="1">
      <c r="A156" s="4" t="s">
        <v>5278</v>
      </c>
      <c r="B156" s="4"/>
      <c r="C156" s="4" t="s">
        <v>5433</v>
      </c>
      <c r="D156" s="4" t="s">
        <v>116</v>
      </c>
      <c r="E156" s="6">
        <v>2.6E7</v>
      </c>
    </row>
    <row r="157" ht="15.75" customHeight="1">
      <c r="A157" s="4" t="s">
        <v>5280</v>
      </c>
      <c r="B157" s="4"/>
      <c r="C157" s="4" t="s">
        <v>5434</v>
      </c>
      <c r="D157" s="4" t="s">
        <v>116</v>
      </c>
      <c r="E157" s="6">
        <v>1.4E7</v>
      </c>
    </row>
    <row r="158" ht="15.75" customHeight="1">
      <c r="A158" s="4" t="s">
        <v>5250</v>
      </c>
      <c r="B158" s="4"/>
      <c r="C158" s="4" t="s">
        <v>5435</v>
      </c>
      <c r="D158" s="4" t="s">
        <v>116</v>
      </c>
      <c r="E158" s="6">
        <v>8000000.0</v>
      </c>
    </row>
    <row r="159" ht="15.75" customHeight="1">
      <c r="A159" s="4"/>
      <c r="B159" s="4"/>
      <c r="C159" s="4" t="s">
        <v>5436</v>
      </c>
      <c r="D159" s="4" t="s">
        <v>5416</v>
      </c>
      <c r="E159" s="6">
        <v>4750000.0</v>
      </c>
    </row>
    <row r="160" ht="15.75" customHeight="1">
      <c r="A160" s="4" t="s">
        <v>5268</v>
      </c>
      <c r="B160" s="4"/>
      <c r="C160" s="4" t="s">
        <v>5437</v>
      </c>
      <c r="D160" s="4" t="s">
        <v>36</v>
      </c>
      <c r="E160" s="6">
        <v>160000.0</v>
      </c>
    </row>
    <row r="161" ht="15.75" customHeight="1">
      <c r="A161" s="4" t="s">
        <v>5282</v>
      </c>
      <c r="B161" s="4"/>
      <c r="C161" s="4" t="s">
        <v>5438</v>
      </c>
      <c r="D161" s="4" t="s">
        <v>116</v>
      </c>
      <c r="E161" s="6">
        <v>4000000.0</v>
      </c>
    </row>
    <row r="162" ht="15.75" customHeight="1">
      <c r="A162" s="4" t="s">
        <v>5256</v>
      </c>
      <c r="B162" s="4"/>
      <c r="C162" s="4" t="s">
        <v>5439</v>
      </c>
      <c r="D162" s="4" t="s">
        <v>5429</v>
      </c>
      <c r="E162" s="6">
        <v>3573600.0</v>
      </c>
    </row>
    <row r="163" ht="15.75" customHeight="1">
      <c r="A163" s="4" t="s">
        <v>5259</v>
      </c>
      <c r="B163" s="4"/>
      <c r="C163" s="4" t="s">
        <v>5440</v>
      </c>
      <c r="D163" s="4" t="s">
        <v>116</v>
      </c>
      <c r="E163" s="6">
        <v>6000000.0</v>
      </c>
    </row>
    <row r="164" ht="15.75" customHeight="1">
      <c r="A164" s="4" t="s">
        <v>5284</v>
      </c>
      <c r="B164" s="4"/>
      <c r="C164" s="4" t="s">
        <v>5441</v>
      </c>
      <c r="D164" s="4" t="s">
        <v>27</v>
      </c>
      <c r="E164" s="6">
        <v>5000.0</v>
      </c>
    </row>
    <row r="165" ht="15.75" customHeight="1">
      <c r="A165" s="4" t="s">
        <v>5286</v>
      </c>
      <c r="B165" s="4"/>
      <c r="C165" s="4" t="s">
        <v>5442</v>
      </c>
      <c r="D165" s="4" t="s">
        <v>5443</v>
      </c>
      <c r="E165" s="6">
        <v>5500.0</v>
      </c>
    </row>
    <row r="166" ht="15.75" customHeight="1">
      <c r="A166" s="4" t="s">
        <v>5286</v>
      </c>
      <c r="B166" s="4"/>
      <c r="C166" s="4" t="s">
        <v>5444</v>
      </c>
      <c r="D166" s="4" t="s">
        <v>5445</v>
      </c>
      <c r="E166" s="6">
        <v>116700.0</v>
      </c>
    </row>
    <row r="167" ht="15.75" customHeight="1">
      <c r="A167" s="4" t="s">
        <v>5286</v>
      </c>
      <c r="B167" s="4"/>
      <c r="C167" s="4" t="s">
        <v>5446</v>
      </c>
      <c r="D167" s="4" t="s">
        <v>5445</v>
      </c>
      <c r="E167" s="6">
        <v>116700.0</v>
      </c>
    </row>
    <row r="168" ht="15.75" customHeight="1">
      <c r="A168" s="4" t="s">
        <v>5253</v>
      </c>
      <c r="B168" s="4"/>
      <c r="C168" s="4" t="s">
        <v>5447</v>
      </c>
      <c r="D168" s="4" t="s">
        <v>5445</v>
      </c>
      <c r="E168" s="6">
        <v>152600.0</v>
      </c>
    </row>
    <row r="169" ht="15.75" customHeight="1">
      <c r="A169" s="4" t="s">
        <v>5288</v>
      </c>
      <c r="B169" s="4"/>
      <c r="C169" s="4" t="s">
        <v>5448</v>
      </c>
      <c r="D169" s="4" t="s">
        <v>5445</v>
      </c>
      <c r="E169" s="6">
        <v>226600.0</v>
      </c>
    </row>
    <row r="170" ht="15.75" customHeight="1">
      <c r="A170" s="4" t="s">
        <v>5262</v>
      </c>
      <c r="B170" s="4"/>
      <c r="C170" s="4" t="s">
        <v>5449</v>
      </c>
      <c r="D170" s="4" t="s">
        <v>116</v>
      </c>
      <c r="E170" s="6">
        <v>2500000.0</v>
      </c>
    </row>
    <row r="171" ht="15.75" customHeight="1">
      <c r="A171" s="4" t="s">
        <v>5265</v>
      </c>
      <c r="B171" s="4"/>
      <c r="C171" s="4" t="s">
        <v>5450</v>
      </c>
      <c r="D171" s="4" t="s">
        <v>5445</v>
      </c>
      <c r="E171" s="6">
        <v>230000.0</v>
      </c>
    </row>
    <row r="172" ht="15.75" customHeight="1">
      <c r="A172" s="4"/>
      <c r="B172" s="4"/>
      <c r="C172" s="4" t="s">
        <v>5451</v>
      </c>
      <c r="D172" s="4" t="s">
        <v>36</v>
      </c>
      <c r="E172" s="6">
        <v>150000.0</v>
      </c>
    </row>
    <row r="173" ht="15.75" customHeight="1">
      <c r="A173" s="4" t="s">
        <v>5290</v>
      </c>
      <c r="B173" s="4"/>
      <c r="C173" s="4" t="s">
        <v>5452</v>
      </c>
      <c r="D173" s="4" t="s">
        <v>2608</v>
      </c>
      <c r="E173" s="6">
        <v>1.0E7</v>
      </c>
    </row>
    <row r="174" ht="15.75" customHeight="1">
      <c r="A174" s="4" t="s">
        <v>5342</v>
      </c>
      <c r="B174" s="4"/>
      <c r="C174" s="4" t="s">
        <v>5453</v>
      </c>
      <c r="D174" s="4" t="s">
        <v>5445</v>
      </c>
      <c r="E174" s="6">
        <v>167300.0</v>
      </c>
    </row>
    <row r="175" ht="15.75" customHeight="1">
      <c r="A175" s="4" t="s">
        <v>5346</v>
      </c>
      <c r="B175" s="4"/>
      <c r="C175" s="4" t="s">
        <v>5454</v>
      </c>
      <c r="D175" s="4" t="s">
        <v>116</v>
      </c>
      <c r="E175" s="6">
        <v>6298700.0</v>
      </c>
    </row>
    <row r="176" ht="15.75" customHeight="1">
      <c r="A176" s="4"/>
      <c r="B176" s="4"/>
      <c r="C176" s="4" t="s">
        <v>5455</v>
      </c>
      <c r="D176" s="4" t="s">
        <v>5445</v>
      </c>
      <c r="E176" s="6">
        <v>62500.0</v>
      </c>
    </row>
    <row r="177" ht="15.75" customHeight="1">
      <c r="A177" s="4" t="s">
        <v>5348</v>
      </c>
      <c r="B177" s="4"/>
      <c r="C177" s="4" t="s">
        <v>5456</v>
      </c>
      <c r="D177" s="4" t="s">
        <v>5445</v>
      </c>
      <c r="E177" s="6">
        <v>75000.0</v>
      </c>
    </row>
    <row r="178" ht="15.75" customHeight="1">
      <c r="A178" s="4" t="s">
        <v>5350</v>
      </c>
      <c r="B178" s="4"/>
      <c r="C178" s="4" t="s">
        <v>5457</v>
      </c>
      <c r="D178" s="4" t="s">
        <v>5445</v>
      </c>
      <c r="E178" s="6">
        <v>84200.0</v>
      </c>
    </row>
    <row r="179" ht="15.75" customHeight="1">
      <c r="A179" s="4" t="s">
        <v>5352</v>
      </c>
      <c r="B179" s="4"/>
      <c r="C179" s="4" t="s">
        <v>5458</v>
      </c>
      <c r="D179" s="4" t="s">
        <v>5445</v>
      </c>
      <c r="E179" s="6">
        <v>127000.0</v>
      </c>
    </row>
    <row r="180" ht="15.75" customHeight="1">
      <c r="A180" s="4" t="s">
        <v>5354</v>
      </c>
      <c r="B180" s="4"/>
      <c r="C180" s="4" t="s">
        <v>5459</v>
      </c>
      <c r="D180" s="4" t="s">
        <v>116</v>
      </c>
      <c r="E180" s="6">
        <v>8750000.0</v>
      </c>
    </row>
    <row r="181" ht="15.75" customHeight="1">
      <c r="A181" s="4" t="s">
        <v>5356</v>
      </c>
      <c r="B181" s="4"/>
      <c r="C181" s="4" t="s">
        <v>5460</v>
      </c>
      <c r="D181" s="4" t="s">
        <v>116</v>
      </c>
      <c r="E181" s="6">
        <v>9302000.0</v>
      </c>
    </row>
    <row r="182" ht="15.75" customHeight="1">
      <c r="A182" s="4" t="s">
        <v>5359</v>
      </c>
      <c r="B182" s="4"/>
      <c r="C182" s="4" t="s">
        <v>5461</v>
      </c>
      <c r="D182" s="4" t="s">
        <v>5445</v>
      </c>
      <c r="E182" s="6">
        <v>76300.0</v>
      </c>
    </row>
    <row r="183" ht="15.75" customHeight="1">
      <c r="A183" s="4" t="s">
        <v>5361</v>
      </c>
      <c r="B183" s="4"/>
      <c r="C183" s="4" t="s">
        <v>5462</v>
      </c>
      <c r="D183" s="4" t="s">
        <v>5445</v>
      </c>
      <c r="E183" s="6">
        <v>65600.0</v>
      </c>
    </row>
    <row r="184" ht="15.75" customHeight="1">
      <c r="A184" s="4" t="s">
        <v>5363</v>
      </c>
      <c r="B184" s="4"/>
      <c r="C184" s="4" t="s">
        <v>5463</v>
      </c>
      <c r="D184" s="4" t="s">
        <v>5445</v>
      </c>
      <c r="E184" s="6">
        <v>114000.0</v>
      </c>
    </row>
    <row r="185" ht="15.75" customHeight="1">
      <c r="A185" s="4" t="s">
        <v>5365</v>
      </c>
      <c r="B185" s="4"/>
      <c r="C185" s="4" t="s">
        <v>5464</v>
      </c>
      <c r="D185" s="4" t="s">
        <v>5445</v>
      </c>
      <c r="E185" s="6">
        <v>101200.0</v>
      </c>
    </row>
    <row r="186" ht="15.75" customHeight="1">
      <c r="A186" s="4" t="s">
        <v>5367</v>
      </c>
      <c r="B186" s="4"/>
      <c r="C186" s="4" t="s">
        <v>5465</v>
      </c>
      <c r="D186" s="4" t="s">
        <v>36</v>
      </c>
      <c r="E186" s="6">
        <v>150000.0</v>
      </c>
    </row>
    <row r="187" ht="15.75" customHeight="1">
      <c r="A187" s="4"/>
      <c r="B187" s="4"/>
      <c r="C187" s="4" t="s">
        <v>5466</v>
      </c>
      <c r="D187" s="4"/>
      <c r="E187" s="6"/>
    </row>
    <row r="188" ht="15.75" customHeight="1">
      <c r="A188" s="4" t="s">
        <v>5212</v>
      </c>
      <c r="B188" s="4"/>
      <c r="C188" s="4" t="s">
        <v>5467</v>
      </c>
      <c r="D188" s="4" t="s">
        <v>27</v>
      </c>
      <c r="E188" s="6">
        <v>5700.0</v>
      </c>
    </row>
    <row r="189" ht="15.75" customHeight="1">
      <c r="A189" s="4" t="s">
        <v>353</v>
      </c>
      <c r="B189" s="4"/>
      <c r="C189" s="4" t="s">
        <v>5468</v>
      </c>
      <c r="D189" s="4" t="s">
        <v>27</v>
      </c>
      <c r="E189" s="6">
        <v>13300.0</v>
      </c>
    </row>
    <row r="190" ht="15.75" customHeight="1">
      <c r="A190" s="4" t="s">
        <v>791</v>
      </c>
      <c r="B190" s="4"/>
      <c r="C190" s="4" t="s">
        <v>5469</v>
      </c>
      <c r="D190" s="4" t="s">
        <v>27</v>
      </c>
      <c r="E190" s="6">
        <v>23500.0</v>
      </c>
    </row>
    <row r="191" ht="15.75" customHeight="1">
      <c r="A191" s="4" t="s">
        <v>1626</v>
      </c>
      <c r="B191" s="4"/>
      <c r="C191" s="4" t="s">
        <v>5470</v>
      </c>
      <c r="D191" s="4" t="s">
        <v>27</v>
      </c>
      <c r="E191" s="6">
        <v>11250.0</v>
      </c>
    </row>
    <row r="192" ht="15.75" customHeight="1">
      <c r="A192" s="4"/>
      <c r="B192" s="4"/>
      <c r="C192" s="4" t="s">
        <v>5471</v>
      </c>
      <c r="D192" s="4" t="s">
        <v>27</v>
      </c>
      <c r="E192" s="6">
        <v>11500.0</v>
      </c>
    </row>
    <row r="193" ht="15.75" customHeight="1">
      <c r="A193" s="4"/>
      <c r="B193" s="4"/>
      <c r="C193" s="4" t="s">
        <v>5472</v>
      </c>
      <c r="D193" s="4" t="s">
        <v>27</v>
      </c>
      <c r="E193" s="6">
        <v>11700.0</v>
      </c>
    </row>
    <row r="194" ht="15.75" customHeight="1">
      <c r="A194" s="4" t="s">
        <v>2310</v>
      </c>
      <c r="B194" s="4"/>
      <c r="C194" s="4" t="s">
        <v>5473</v>
      </c>
      <c r="D194" s="4" t="s">
        <v>5403</v>
      </c>
      <c r="E194" s="6">
        <v>27500.0</v>
      </c>
    </row>
    <row r="195" ht="15.75" customHeight="1">
      <c r="A195" s="4" t="s">
        <v>3568</v>
      </c>
      <c r="B195" s="4"/>
      <c r="C195" s="4" t="s">
        <v>5474</v>
      </c>
      <c r="D195" s="4" t="s">
        <v>27</v>
      </c>
      <c r="E195" s="6">
        <v>6875.0</v>
      </c>
    </row>
    <row r="196" ht="15.75" customHeight="1">
      <c r="A196" s="4"/>
      <c r="B196" s="4"/>
      <c r="C196" s="4" t="s">
        <v>5475</v>
      </c>
      <c r="D196" s="4" t="s">
        <v>27</v>
      </c>
      <c r="E196" s="6">
        <v>6900.0</v>
      </c>
    </row>
    <row r="197" ht="15.75" customHeight="1">
      <c r="A197" s="4"/>
      <c r="B197" s="4"/>
      <c r="C197" s="4" t="s">
        <v>5476</v>
      </c>
      <c r="D197" s="4" t="s">
        <v>27</v>
      </c>
      <c r="E197" s="6">
        <v>7100.0</v>
      </c>
    </row>
    <row r="198" ht="15.75" customHeight="1">
      <c r="A198" s="4" t="s">
        <v>4362</v>
      </c>
      <c r="B198" s="4"/>
      <c r="C198" s="4" t="s">
        <v>5477</v>
      </c>
      <c r="D198" s="4" t="s">
        <v>27</v>
      </c>
      <c r="E198" s="6">
        <v>150000.0</v>
      </c>
    </row>
    <row r="199" ht="15.75" customHeight="1">
      <c r="A199" s="4" t="s">
        <v>4423</v>
      </c>
      <c r="B199" s="4"/>
      <c r="C199" s="4" t="s">
        <v>5478</v>
      </c>
      <c r="D199" s="4" t="s">
        <v>27</v>
      </c>
      <c r="E199" s="6">
        <v>20000.0</v>
      </c>
    </row>
    <row r="200" ht="15.75" customHeight="1">
      <c r="A200" s="4"/>
      <c r="B200" s="4"/>
      <c r="C200" s="4" t="s">
        <v>5479</v>
      </c>
      <c r="D200" s="4" t="s">
        <v>27</v>
      </c>
      <c r="E200" s="6">
        <v>20500.0</v>
      </c>
    </row>
    <row r="201" ht="15.75" customHeight="1">
      <c r="A201" s="4"/>
      <c r="B201" s="4"/>
      <c r="C201" s="4" t="s">
        <v>5480</v>
      </c>
      <c r="D201" s="4" t="s">
        <v>27</v>
      </c>
      <c r="E201" s="6">
        <v>22000.0</v>
      </c>
    </row>
    <row r="202" ht="15.75" customHeight="1">
      <c r="A202" s="4" t="s">
        <v>4626</v>
      </c>
      <c r="B202" s="4"/>
      <c r="C202" s="4" t="s">
        <v>5481</v>
      </c>
      <c r="D202" s="4" t="s">
        <v>27</v>
      </c>
      <c r="E202" s="6">
        <v>18500.0</v>
      </c>
    </row>
    <row r="203" ht="15.75" customHeight="1">
      <c r="A203" s="4"/>
      <c r="B203" s="4"/>
      <c r="C203" s="4" t="s">
        <v>5482</v>
      </c>
      <c r="D203" s="4" t="s">
        <v>27</v>
      </c>
      <c r="E203" s="6">
        <v>18900.0</v>
      </c>
    </row>
    <row r="204" ht="15.75" customHeight="1">
      <c r="A204" s="4"/>
      <c r="B204" s="4"/>
      <c r="C204" s="4" t="s">
        <v>5483</v>
      </c>
      <c r="D204" s="4" t="s">
        <v>27</v>
      </c>
      <c r="E204" s="6">
        <v>19000.0</v>
      </c>
    </row>
    <row r="205" ht="15.75" customHeight="1">
      <c r="A205" s="4" t="s">
        <v>5171</v>
      </c>
      <c r="B205" s="4"/>
      <c r="C205" s="4" t="s">
        <v>5484</v>
      </c>
      <c r="D205" s="4" t="s">
        <v>27</v>
      </c>
      <c r="E205" s="6">
        <v>177500.0</v>
      </c>
    </row>
    <row r="206" ht="15.75" customHeight="1">
      <c r="A206" s="4"/>
      <c r="B206" s="4"/>
      <c r="C206" s="4" t="s">
        <v>5485</v>
      </c>
      <c r="D206" s="4" t="s">
        <v>27</v>
      </c>
      <c r="E206" s="6">
        <v>179000.0</v>
      </c>
    </row>
    <row r="207" ht="15.75" customHeight="1">
      <c r="A207" s="4" t="s">
        <v>5229</v>
      </c>
      <c r="B207" s="4"/>
      <c r="C207" s="4" t="s">
        <v>5486</v>
      </c>
      <c r="D207" s="4" t="s">
        <v>27</v>
      </c>
      <c r="E207" s="6">
        <v>200000.0</v>
      </c>
    </row>
    <row r="208" ht="15.75" customHeight="1">
      <c r="A208" s="4"/>
      <c r="B208" s="4"/>
      <c r="C208" s="4" t="s">
        <v>5487</v>
      </c>
      <c r="D208" s="4" t="s">
        <v>27</v>
      </c>
      <c r="E208" s="6">
        <v>201000.0</v>
      </c>
    </row>
    <row r="209" ht="15.75" customHeight="1">
      <c r="A209" s="4" t="s">
        <v>5231</v>
      </c>
      <c r="B209" s="4"/>
      <c r="C209" s="4" t="s">
        <v>5488</v>
      </c>
      <c r="D209" s="4" t="s">
        <v>27</v>
      </c>
      <c r="E209" s="6">
        <v>233750.0</v>
      </c>
    </row>
    <row r="210" ht="15.75" customHeight="1">
      <c r="A210" s="4"/>
      <c r="B210" s="4"/>
      <c r="C210" s="4" t="s">
        <v>5489</v>
      </c>
      <c r="D210" s="4" t="s">
        <v>27</v>
      </c>
      <c r="E210" s="6">
        <v>234000.0</v>
      </c>
    </row>
    <row r="211" ht="15.75" customHeight="1">
      <c r="A211" s="4" t="s">
        <v>5233</v>
      </c>
      <c r="B211" s="4"/>
      <c r="C211" s="4" t="s">
        <v>5490</v>
      </c>
      <c r="D211" s="4" t="s">
        <v>27</v>
      </c>
      <c r="E211" s="6">
        <v>26000.0</v>
      </c>
    </row>
    <row r="212" ht="15.75" customHeight="1">
      <c r="A212" s="4"/>
      <c r="B212" s="4"/>
      <c r="C212" s="4" t="s">
        <v>5491</v>
      </c>
      <c r="D212" s="4" t="s">
        <v>27</v>
      </c>
      <c r="E212" s="6">
        <v>26500.0</v>
      </c>
    </row>
    <row r="213" ht="15.75" customHeight="1">
      <c r="A213" s="4"/>
      <c r="B213" s="4"/>
      <c r="C213" s="4" t="s">
        <v>5492</v>
      </c>
      <c r="D213" s="4" t="s">
        <v>27</v>
      </c>
      <c r="E213" s="6">
        <v>28000.0</v>
      </c>
    </row>
    <row r="214" ht="15.75" customHeight="1">
      <c r="A214" s="4" t="s">
        <v>5235</v>
      </c>
      <c r="B214" s="4"/>
      <c r="C214" s="4" t="s">
        <v>5493</v>
      </c>
      <c r="D214" s="4" t="s">
        <v>27</v>
      </c>
      <c r="E214" s="6">
        <v>33625.0</v>
      </c>
    </row>
    <row r="215" ht="15.75" customHeight="1">
      <c r="A215" s="4"/>
      <c r="B215" s="4"/>
      <c r="C215" s="4" t="s">
        <v>5494</v>
      </c>
      <c r="D215" s="4" t="s">
        <v>27</v>
      </c>
      <c r="E215" s="6">
        <v>33900.0</v>
      </c>
    </row>
    <row r="216" ht="15.75" customHeight="1">
      <c r="A216" s="4"/>
      <c r="B216" s="4"/>
      <c r="C216" s="4" t="s">
        <v>5495</v>
      </c>
      <c r="D216" s="4" t="s">
        <v>27</v>
      </c>
      <c r="E216" s="6">
        <v>40000.0</v>
      </c>
    </row>
    <row r="217" ht="15.75" customHeight="1">
      <c r="A217" s="4" t="s">
        <v>5237</v>
      </c>
      <c r="B217" s="4"/>
      <c r="C217" s="4" t="s">
        <v>5496</v>
      </c>
      <c r="D217" s="4" t="s">
        <v>27</v>
      </c>
      <c r="E217" s="6">
        <v>51075.0</v>
      </c>
    </row>
    <row r="218" ht="15.75" customHeight="1">
      <c r="A218" s="4"/>
      <c r="B218" s="4"/>
      <c r="C218" s="4" t="s">
        <v>5497</v>
      </c>
      <c r="D218" s="4" t="s">
        <v>27</v>
      </c>
      <c r="E218" s="6">
        <v>51500.0</v>
      </c>
    </row>
    <row r="219" ht="15.75" customHeight="1">
      <c r="A219" s="4"/>
      <c r="B219" s="4"/>
      <c r="C219" s="4" t="s">
        <v>5498</v>
      </c>
      <c r="D219" s="4" t="s">
        <v>27</v>
      </c>
      <c r="E219" s="6">
        <v>53000.0</v>
      </c>
    </row>
    <row r="220" ht="15.75" customHeight="1">
      <c r="A220" s="4" t="s">
        <v>5272</v>
      </c>
      <c r="B220" s="4"/>
      <c r="C220" s="4" t="s">
        <v>5499</v>
      </c>
      <c r="D220" s="4" t="s">
        <v>5403</v>
      </c>
      <c r="E220" s="6">
        <v>35000.0</v>
      </c>
    </row>
    <row r="221" ht="15.75" customHeight="1">
      <c r="A221" s="4" t="s">
        <v>5274</v>
      </c>
      <c r="B221" s="4"/>
      <c r="C221" s="4" t="s">
        <v>5500</v>
      </c>
      <c r="D221" s="4" t="s">
        <v>27</v>
      </c>
      <c r="E221" s="6">
        <v>8750.0</v>
      </c>
    </row>
    <row r="222" ht="15.75" customHeight="1">
      <c r="A222" s="4"/>
      <c r="B222" s="4"/>
      <c r="C222" s="4" t="s">
        <v>5501</v>
      </c>
      <c r="D222" s="4" t="s">
        <v>27</v>
      </c>
      <c r="E222" s="6">
        <v>8900.0</v>
      </c>
    </row>
    <row r="223" ht="15.75" customHeight="1">
      <c r="A223" s="4"/>
      <c r="B223" s="4"/>
      <c r="C223" s="4" t="s">
        <v>5502</v>
      </c>
      <c r="D223" s="4" t="s">
        <v>27</v>
      </c>
      <c r="E223" s="6">
        <v>9300.0</v>
      </c>
    </row>
    <row r="224" ht="15.75" customHeight="1">
      <c r="A224" s="4" t="s">
        <v>5276</v>
      </c>
      <c r="B224" s="4"/>
      <c r="C224" s="4" t="s">
        <v>5503</v>
      </c>
      <c r="D224" s="4" t="s">
        <v>27</v>
      </c>
      <c r="E224" s="6">
        <v>72375.0</v>
      </c>
    </row>
    <row r="225" ht="15.75" customHeight="1">
      <c r="A225" s="4"/>
      <c r="B225" s="4"/>
      <c r="C225" s="4" t="s">
        <v>5504</v>
      </c>
      <c r="D225" s="4" t="s">
        <v>27</v>
      </c>
      <c r="E225" s="6">
        <v>72700.0</v>
      </c>
    </row>
    <row r="226" ht="15.75" customHeight="1">
      <c r="A226" s="4"/>
      <c r="B226" s="4"/>
      <c r="C226" s="4" t="s">
        <v>5505</v>
      </c>
      <c r="D226" s="4" t="s">
        <v>27</v>
      </c>
      <c r="E226" s="6">
        <v>74000.0</v>
      </c>
    </row>
    <row r="227" ht="15.75" customHeight="1">
      <c r="A227" s="4" t="s">
        <v>5278</v>
      </c>
      <c r="B227" s="4"/>
      <c r="C227" s="4" t="s">
        <v>5506</v>
      </c>
      <c r="D227" s="4" t="s">
        <v>27</v>
      </c>
      <c r="E227" s="6">
        <v>100000.0</v>
      </c>
    </row>
    <row r="228" ht="15.75" customHeight="1">
      <c r="A228" s="4"/>
      <c r="B228" s="4"/>
      <c r="C228" s="4" t="s">
        <v>5507</v>
      </c>
      <c r="D228" s="4" t="s">
        <v>27</v>
      </c>
      <c r="E228" s="6">
        <v>101000.0</v>
      </c>
    </row>
    <row r="229" ht="15.75" customHeight="1">
      <c r="A229" s="4" t="s">
        <v>5280</v>
      </c>
      <c r="B229" s="4"/>
      <c r="C229" s="4" t="s">
        <v>5508</v>
      </c>
      <c r="D229" s="4" t="s">
        <v>27</v>
      </c>
      <c r="E229" s="6">
        <v>107500.0</v>
      </c>
    </row>
    <row r="230" ht="15.75" customHeight="1">
      <c r="A230" s="4"/>
      <c r="B230" s="4"/>
      <c r="C230" s="4" t="s">
        <v>3720</v>
      </c>
      <c r="D230" s="4" t="s">
        <v>27</v>
      </c>
      <c r="E230" s="6">
        <v>108000.0</v>
      </c>
    </row>
    <row r="231" ht="15.75" customHeight="1">
      <c r="A231" s="4" t="s">
        <v>5250</v>
      </c>
      <c r="B231" s="4"/>
      <c r="C231" s="4" t="s">
        <v>5509</v>
      </c>
      <c r="D231" s="4" t="s">
        <v>27</v>
      </c>
      <c r="E231" s="6">
        <v>132500.0</v>
      </c>
    </row>
    <row r="232" ht="15.75" customHeight="1">
      <c r="A232" s="4"/>
      <c r="B232" s="4"/>
      <c r="C232" s="4" t="s">
        <v>5510</v>
      </c>
      <c r="D232" s="4" t="s">
        <v>27</v>
      </c>
      <c r="E232" s="6">
        <v>133000.0</v>
      </c>
    </row>
    <row r="233" ht="15.75" customHeight="1">
      <c r="A233" s="4" t="s">
        <v>5268</v>
      </c>
      <c r="B233" s="4"/>
      <c r="C233" s="4" t="s">
        <v>5511</v>
      </c>
      <c r="D233" s="4" t="s">
        <v>27</v>
      </c>
      <c r="E233" s="6">
        <v>232900.0</v>
      </c>
    </row>
    <row r="234" ht="15.75" customHeight="1">
      <c r="A234" s="4"/>
      <c r="B234" s="4"/>
      <c r="C234" s="4" t="s">
        <v>5512</v>
      </c>
      <c r="D234" s="4" t="s">
        <v>27</v>
      </c>
      <c r="E234" s="6">
        <v>233000.0</v>
      </c>
    </row>
    <row r="235" ht="15.75" customHeight="1">
      <c r="A235" s="4"/>
      <c r="B235" s="4"/>
      <c r="C235" s="4" t="s">
        <v>5513</v>
      </c>
      <c r="D235" s="4" t="s">
        <v>27</v>
      </c>
      <c r="E235" s="6">
        <v>232000.0</v>
      </c>
    </row>
    <row r="236" ht="15.75" customHeight="1">
      <c r="A236" s="4" t="s">
        <v>5282</v>
      </c>
      <c r="B236" s="4"/>
      <c r="C236" s="4" t="s">
        <v>5514</v>
      </c>
      <c r="D236" s="4" t="s">
        <v>27</v>
      </c>
      <c r="E236" s="6">
        <v>11175.0</v>
      </c>
    </row>
    <row r="237" ht="15.75" customHeight="1">
      <c r="A237" s="4"/>
      <c r="B237" s="4"/>
      <c r="C237" s="4" t="s">
        <v>5515</v>
      </c>
      <c r="D237" s="4" t="s">
        <v>27</v>
      </c>
      <c r="E237" s="6">
        <v>12000.0</v>
      </c>
    </row>
    <row r="238" ht="15.75" customHeight="1">
      <c r="A238" s="4" t="s">
        <v>5256</v>
      </c>
      <c r="B238" s="4"/>
      <c r="C238" s="4" t="s">
        <v>5516</v>
      </c>
      <c r="D238" s="4" t="s">
        <v>27</v>
      </c>
      <c r="E238" s="6">
        <v>10000.0</v>
      </c>
    </row>
    <row r="239" ht="15.75" customHeight="1">
      <c r="A239" s="4"/>
      <c r="B239" s="4"/>
      <c r="C239" s="4" t="s">
        <v>5517</v>
      </c>
      <c r="D239" s="4" t="s">
        <v>27</v>
      </c>
      <c r="E239" s="6">
        <v>11000.0</v>
      </c>
    </row>
    <row r="240" ht="15.75" customHeight="1">
      <c r="A240" s="4" t="s">
        <v>5259</v>
      </c>
      <c r="B240" s="4"/>
      <c r="C240" s="4" t="s">
        <v>5518</v>
      </c>
      <c r="D240" s="4" t="s">
        <v>27</v>
      </c>
      <c r="E240" s="6">
        <v>319750.0</v>
      </c>
    </row>
    <row r="241" ht="15.75" customHeight="1">
      <c r="A241" s="4"/>
      <c r="B241" s="4"/>
      <c r="C241" s="4" t="s">
        <v>5519</v>
      </c>
      <c r="D241" s="4" t="s">
        <v>27</v>
      </c>
      <c r="E241" s="6">
        <v>320000.0</v>
      </c>
    </row>
    <row r="242" ht="15.75" customHeight="1">
      <c r="A242" s="4" t="s">
        <v>5284</v>
      </c>
      <c r="B242" s="4"/>
      <c r="C242" s="4" t="s">
        <v>5520</v>
      </c>
      <c r="D242" s="4" t="s">
        <v>27</v>
      </c>
      <c r="E242" s="6">
        <v>325000.0</v>
      </c>
    </row>
    <row r="243" ht="15.75" customHeight="1">
      <c r="A243" s="4"/>
      <c r="B243" s="4"/>
      <c r="C243" s="4" t="s">
        <v>5521</v>
      </c>
      <c r="D243" s="4" t="s">
        <v>27</v>
      </c>
      <c r="E243" s="6">
        <v>323000.0</v>
      </c>
    </row>
    <row r="244" ht="15.75" customHeight="1">
      <c r="A244" s="4" t="s">
        <v>5286</v>
      </c>
      <c r="B244" s="4"/>
      <c r="C244" s="4" t="s">
        <v>5522</v>
      </c>
      <c r="D244" s="4" t="s">
        <v>27</v>
      </c>
      <c r="E244" s="6">
        <v>362500.0</v>
      </c>
    </row>
    <row r="245" ht="15.75" customHeight="1">
      <c r="A245" s="4"/>
      <c r="B245" s="4"/>
      <c r="C245" s="4" t="s">
        <v>5523</v>
      </c>
      <c r="D245" s="4" t="s">
        <v>27</v>
      </c>
      <c r="E245" s="6">
        <v>363000.0</v>
      </c>
    </row>
    <row r="246" ht="15.75" customHeight="1">
      <c r="A246" s="4" t="s">
        <v>5253</v>
      </c>
      <c r="B246" s="4"/>
      <c r="C246" s="4" t="s">
        <v>5524</v>
      </c>
      <c r="D246" s="4" t="s">
        <v>27</v>
      </c>
      <c r="E246" s="6">
        <v>14750.0</v>
      </c>
    </row>
    <row r="247" ht="15.75" customHeight="1">
      <c r="A247" s="4"/>
      <c r="B247" s="4"/>
      <c r="C247" s="4" t="s">
        <v>5525</v>
      </c>
      <c r="D247" s="4" t="s">
        <v>27</v>
      </c>
      <c r="E247" s="6">
        <v>15000.0</v>
      </c>
    </row>
    <row r="248" ht="15.75" customHeight="1">
      <c r="A248" s="4" t="s">
        <v>5288</v>
      </c>
      <c r="B248" s="4"/>
      <c r="C248" s="4" t="s">
        <v>5526</v>
      </c>
      <c r="D248" s="4" t="s">
        <v>27</v>
      </c>
      <c r="E248" s="6">
        <v>20625.0</v>
      </c>
    </row>
    <row r="249" ht="15.75" customHeight="1">
      <c r="A249" s="4"/>
      <c r="B249" s="4"/>
      <c r="C249" s="4" t="s">
        <v>5527</v>
      </c>
      <c r="D249" s="4" t="s">
        <v>27</v>
      </c>
      <c r="E249" s="6">
        <v>21000.0</v>
      </c>
    </row>
    <row r="250" ht="15.75" customHeight="1">
      <c r="A250" s="4" t="s">
        <v>5262</v>
      </c>
      <c r="B250" s="4"/>
      <c r="C250" s="4" t="s">
        <v>5528</v>
      </c>
      <c r="D250" s="4" t="s">
        <v>27</v>
      </c>
      <c r="E250" s="6">
        <v>28600.0</v>
      </c>
    </row>
    <row r="251" ht="15.75" customHeight="1">
      <c r="A251" s="4"/>
      <c r="B251" s="4"/>
      <c r="C251" s="4" t="s">
        <v>5529</v>
      </c>
      <c r="D251" s="4" t="s">
        <v>27</v>
      </c>
      <c r="E251" s="6">
        <v>29000.0</v>
      </c>
    </row>
    <row r="252" ht="15.75" customHeight="1">
      <c r="A252" s="4" t="s">
        <v>5265</v>
      </c>
      <c r="B252" s="4"/>
      <c r="C252" s="4" t="s">
        <v>5530</v>
      </c>
      <c r="D252" s="4" t="s">
        <v>27</v>
      </c>
      <c r="E252" s="6">
        <v>39575.0</v>
      </c>
    </row>
    <row r="253" ht="15.75" customHeight="1">
      <c r="A253" s="4"/>
      <c r="B253" s="4"/>
      <c r="C253" s="4" t="s">
        <v>5531</v>
      </c>
      <c r="D253" s="4" t="s">
        <v>27</v>
      </c>
      <c r="E253" s="6">
        <v>40000.0</v>
      </c>
    </row>
    <row r="254" ht="15.75" customHeight="1">
      <c r="A254" s="4" t="s">
        <v>5290</v>
      </c>
      <c r="B254" s="4"/>
      <c r="C254" s="4" t="s">
        <v>5532</v>
      </c>
      <c r="D254" s="4" t="s">
        <v>27</v>
      </c>
      <c r="E254" s="6">
        <v>63200.0</v>
      </c>
    </row>
    <row r="255" ht="15.75" customHeight="1">
      <c r="A255" s="4"/>
      <c r="B255" s="4"/>
      <c r="C255" s="4" t="s">
        <v>5533</v>
      </c>
      <c r="D255" s="4" t="s">
        <v>27</v>
      </c>
      <c r="E255" s="6">
        <v>64000.0</v>
      </c>
    </row>
    <row r="256" ht="15.75" customHeight="1">
      <c r="A256" s="4" t="s">
        <v>5342</v>
      </c>
      <c r="B256" s="4"/>
      <c r="C256" s="4" t="s">
        <v>5534</v>
      </c>
      <c r="D256" s="4" t="s">
        <v>27</v>
      </c>
      <c r="E256" s="6">
        <v>79775.0</v>
      </c>
    </row>
    <row r="257" ht="15.75" customHeight="1">
      <c r="A257" s="4"/>
      <c r="B257" s="4"/>
      <c r="C257" s="4" t="s">
        <v>5535</v>
      </c>
      <c r="D257" s="4" t="s">
        <v>27</v>
      </c>
      <c r="E257" s="6">
        <v>80000.0</v>
      </c>
    </row>
    <row r="258" ht="15.75" customHeight="1">
      <c r="A258" s="4" t="s">
        <v>5346</v>
      </c>
      <c r="B258" s="4"/>
      <c r="C258" s="4" t="s">
        <v>5536</v>
      </c>
      <c r="D258" s="4" t="s">
        <v>27</v>
      </c>
      <c r="E258" s="6">
        <v>139575.0</v>
      </c>
    </row>
    <row r="259" ht="15.75" customHeight="1">
      <c r="A259" s="4"/>
      <c r="B259" s="4"/>
      <c r="C259" s="4" t="s">
        <v>5537</v>
      </c>
      <c r="D259" s="4" t="s">
        <v>27</v>
      </c>
      <c r="E259" s="6">
        <v>140000.0</v>
      </c>
    </row>
    <row r="260" ht="15.75" customHeight="1">
      <c r="A260" s="4"/>
      <c r="B260" s="4"/>
      <c r="C260" s="4" t="s">
        <v>5538</v>
      </c>
      <c r="D260" s="4" t="s">
        <v>27</v>
      </c>
      <c r="E260" s="6">
        <v>11250.0</v>
      </c>
    </row>
    <row r="261" ht="15.75" customHeight="1">
      <c r="A261" s="4"/>
      <c r="B261" s="4"/>
      <c r="C261" s="4" t="s">
        <v>5539</v>
      </c>
      <c r="D261" s="4" t="s">
        <v>27</v>
      </c>
      <c r="E261" s="6">
        <v>26000.0</v>
      </c>
    </row>
    <row r="262" ht="15.75" customHeight="1">
      <c r="A262" s="4"/>
      <c r="B262" s="4"/>
      <c r="C262" s="4" t="s">
        <v>5540</v>
      </c>
      <c r="D262" s="4" t="s">
        <v>27</v>
      </c>
      <c r="E262" s="6">
        <v>34300.0</v>
      </c>
    </row>
    <row r="263" ht="15.75" customHeight="1">
      <c r="A263" s="4"/>
      <c r="B263" s="4"/>
      <c r="C263" s="4" t="s">
        <v>5541</v>
      </c>
      <c r="D263" s="4" t="s">
        <v>5542</v>
      </c>
      <c r="E263" s="6">
        <v>9050.0</v>
      </c>
    </row>
    <row r="264" ht="15.75" customHeight="1">
      <c r="A264" s="4"/>
      <c r="B264" s="4"/>
      <c r="C264" s="4" t="s">
        <v>5543</v>
      </c>
      <c r="D264" s="4" t="s">
        <v>27</v>
      </c>
      <c r="E264" s="6">
        <v>45300.0</v>
      </c>
    </row>
    <row r="265" ht="15.75" customHeight="1">
      <c r="A265" s="4"/>
      <c r="B265" s="4"/>
      <c r="C265" s="4" t="s">
        <v>5544</v>
      </c>
      <c r="D265" s="4" t="s">
        <v>27</v>
      </c>
      <c r="E265" s="6">
        <v>46400.0</v>
      </c>
    </row>
    <row r="266" ht="15.75" customHeight="1">
      <c r="A266" s="4"/>
      <c r="B266" s="4"/>
      <c r="C266" s="4" t="s">
        <v>5545</v>
      </c>
      <c r="D266" s="4" t="s">
        <v>27</v>
      </c>
      <c r="E266" s="6">
        <v>101600.0</v>
      </c>
    </row>
    <row r="267" ht="15.75" customHeight="1">
      <c r="A267" s="4"/>
      <c r="B267" s="4"/>
      <c r="C267" s="4" t="s">
        <v>5546</v>
      </c>
      <c r="D267" s="4" t="s">
        <v>27</v>
      </c>
      <c r="E267" s="6">
        <v>122700.0</v>
      </c>
    </row>
    <row r="268" ht="15.75" customHeight="1">
      <c r="A268" s="4"/>
      <c r="B268" s="4"/>
      <c r="C268" s="4" t="s">
        <v>5547</v>
      </c>
      <c r="D268" s="4" t="s">
        <v>27</v>
      </c>
      <c r="E268" s="6">
        <v>351600.0</v>
      </c>
    </row>
    <row r="269" ht="15.75" customHeight="1">
      <c r="A269" s="4"/>
      <c r="B269" s="4"/>
      <c r="C269" s="4" t="s">
        <v>5548</v>
      </c>
      <c r="D269" s="4" t="s">
        <v>27</v>
      </c>
      <c r="E269" s="6">
        <v>370000.0</v>
      </c>
    </row>
    <row r="270" ht="15.75" customHeight="1">
      <c r="A270" s="4"/>
      <c r="B270" s="4"/>
      <c r="C270" s="4" t="s">
        <v>5549</v>
      </c>
      <c r="D270" s="4" t="s">
        <v>27</v>
      </c>
      <c r="E270" s="6">
        <v>375000.0</v>
      </c>
    </row>
    <row r="271" ht="15.75" customHeight="1">
      <c r="A271" s="4"/>
      <c r="B271" s="4"/>
      <c r="C271" s="4" t="s">
        <v>5550</v>
      </c>
      <c r="D271" s="4" t="s">
        <v>27</v>
      </c>
      <c r="E271" s="6">
        <v>380000.0</v>
      </c>
    </row>
    <row r="272" ht="15.75" customHeight="1">
      <c r="A272" s="4"/>
      <c r="B272" s="4"/>
      <c r="C272" s="4" t="s">
        <v>5551</v>
      </c>
      <c r="D272" s="4" t="s">
        <v>27</v>
      </c>
      <c r="E272" s="6">
        <v>290000.0</v>
      </c>
    </row>
    <row r="273" ht="15.75" customHeight="1">
      <c r="A273" s="4"/>
      <c r="B273" s="4"/>
      <c r="C273" s="4" t="s">
        <v>5552</v>
      </c>
      <c r="D273" s="4" t="s">
        <v>5553</v>
      </c>
      <c r="E273" s="6">
        <v>6131000.0</v>
      </c>
    </row>
    <row r="274" ht="15.75" customHeight="1">
      <c r="A274" s="4"/>
      <c r="B274" s="4"/>
      <c r="C274" s="4" t="s">
        <v>5554</v>
      </c>
      <c r="D274" s="4" t="s">
        <v>5553</v>
      </c>
      <c r="E274" s="6">
        <v>8397000.0</v>
      </c>
    </row>
    <row r="275" ht="15.75" customHeight="1">
      <c r="A275" s="4"/>
      <c r="B275" s="4"/>
      <c r="C275" s="4" t="s">
        <v>5555</v>
      </c>
      <c r="D275" s="4" t="s">
        <v>5553</v>
      </c>
      <c r="E275" s="6">
        <v>8550000.0</v>
      </c>
    </row>
    <row r="276" ht="15.75" customHeight="1">
      <c r="A276" s="4"/>
      <c r="B276" s="4"/>
      <c r="C276" s="4" t="s">
        <v>5556</v>
      </c>
      <c r="D276" s="4" t="s">
        <v>5553</v>
      </c>
      <c r="E276" s="6">
        <v>1.425E7</v>
      </c>
    </row>
    <row r="277" ht="15.75" customHeight="1">
      <c r="A277" s="4"/>
      <c r="B277" s="4"/>
      <c r="C277" s="4" t="s">
        <v>5557</v>
      </c>
      <c r="D277" s="4" t="s">
        <v>5553</v>
      </c>
      <c r="E277" s="6">
        <v>1.45E7</v>
      </c>
    </row>
    <row r="278" ht="15.75" customHeight="1">
      <c r="A278" s="4"/>
      <c r="B278" s="4"/>
      <c r="C278" s="4" t="s">
        <v>5558</v>
      </c>
      <c r="D278" s="4" t="s">
        <v>5553</v>
      </c>
      <c r="E278" s="6">
        <v>1.55E7</v>
      </c>
    </row>
    <row r="279" ht="15.75" customHeight="1">
      <c r="A279" s="4"/>
      <c r="B279" s="4"/>
      <c r="C279" s="4" t="s">
        <v>5559</v>
      </c>
      <c r="D279" s="4" t="s">
        <v>5553</v>
      </c>
      <c r="E279" s="6">
        <v>2.05E7</v>
      </c>
    </row>
    <row r="280" ht="15.75" customHeight="1">
      <c r="A280" s="4"/>
      <c r="B280" s="4"/>
      <c r="C280" s="4" t="s">
        <v>5560</v>
      </c>
      <c r="D280" s="4" t="s">
        <v>5553</v>
      </c>
      <c r="E280" s="6">
        <v>2.09E7</v>
      </c>
    </row>
    <row r="281" ht="15.75" customHeight="1">
      <c r="A281" s="4"/>
      <c r="B281" s="4"/>
      <c r="C281" s="4" t="s">
        <v>5561</v>
      </c>
      <c r="D281" s="4" t="s">
        <v>5553</v>
      </c>
      <c r="E281" s="6">
        <v>3.03E7</v>
      </c>
    </row>
    <row r="282" ht="15.75" customHeight="1">
      <c r="A282" s="4"/>
      <c r="B282" s="4"/>
      <c r="C282" s="4" t="s">
        <v>5562</v>
      </c>
      <c r="D282" s="4" t="s">
        <v>5563</v>
      </c>
      <c r="E282" s="6">
        <v>1700000.0</v>
      </c>
    </row>
    <row r="283" ht="15.75" customHeight="1">
      <c r="A283" s="4"/>
      <c r="B283" s="4"/>
      <c r="C283" s="4" t="s">
        <v>5564</v>
      </c>
      <c r="D283" s="4" t="s">
        <v>5313</v>
      </c>
      <c r="E283" s="6">
        <v>83000.0</v>
      </c>
    </row>
    <row r="284" ht="15.75" customHeight="1">
      <c r="A284" s="4"/>
      <c r="B284" s="4"/>
      <c r="C284" s="4" t="s">
        <v>5565</v>
      </c>
      <c r="D284" s="4" t="s">
        <v>5313</v>
      </c>
      <c r="E284" s="6">
        <v>85000.0</v>
      </c>
    </row>
    <row r="285" ht="15.75" customHeight="1">
      <c r="A285" s="4"/>
      <c r="B285" s="4"/>
      <c r="C285" s="4" t="s">
        <v>5566</v>
      </c>
      <c r="D285" s="4" t="s">
        <v>5313</v>
      </c>
      <c r="E285" s="6">
        <v>104000.0</v>
      </c>
    </row>
    <row r="286" ht="15.75" customHeight="1">
      <c r="A286" s="4"/>
      <c r="B286" s="4"/>
      <c r="C286" s="4" t="s">
        <v>5567</v>
      </c>
      <c r="D286" s="4" t="s">
        <v>5313</v>
      </c>
      <c r="E286" s="6">
        <v>750000.0</v>
      </c>
    </row>
    <row r="287" ht="15.75" customHeight="1">
      <c r="A287" s="4"/>
      <c r="B287" s="4"/>
      <c r="C287" s="4" t="s">
        <v>5568</v>
      </c>
      <c r="D287" s="4" t="s">
        <v>5563</v>
      </c>
      <c r="E287" s="6">
        <v>115000.0</v>
      </c>
    </row>
    <row r="288" ht="15.75" customHeight="1">
      <c r="A288" s="4"/>
      <c r="B288" s="4"/>
      <c r="C288" s="4" t="s">
        <v>5569</v>
      </c>
      <c r="D288" s="4" t="s">
        <v>5313</v>
      </c>
      <c r="E288" s="6">
        <v>700000.0</v>
      </c>
    </row>
    <row r="289" ht="15.75" customHeight="1">
      <c r="A289" s="4"/>
      <c r="B289" s="4"/>
      <c r="C289" s="4" t="s">
        <v>5570</v>
      </c>
      <c r="D289" s="4" t="s">
        <v>5563</v>
      </c>
      <c r="E289" s="6">
        <v>1900000.0</v>
      </c>
    </row>
    <row r="290" ht="15.75" customHeight="1">
      <c r="A290" s="4"/>
      <c r="B290" s="4"/>
      <c r="C290" s="4" t="s">
        <v>5571</v>
      </c>
      <c r="D290" s="4" t="s">
        <v>5563</v>
      </c>
      <c r="E290" s="6">
        <v>2100000.0</v>
      </c>
    </row>
    <row r="291" ht="15.75" customHeight="1">
      <c r="A291" s="4"/>
      <c r="B291" s="4"/>
      <c r="C291" s="4" t="s">
        <v>5572</v>
      </c>
      <c r="D291" s="4" t="s">
        <v>5563</v>
      </c>
      <c r="E291" s="6">
        <v>2400000.0</v>
      </c>
    </row>
    <row r="292" ht="15.75" customHeight="1">
      <c r="A292" s="4"/>
      <c r="B292" s="4"/>
      <c r="C292" s="4" t="s">
        <v>5573</v>
      </c>
      <c r="D292" s="4" t="s">
        <v>5563</v>
      </c>
      <c r="E292" s="6">
        <v>2600000.0</v>
      </c>
    </row>
    <row r="293" ht="15.75" customHeight="1">
      <c r="A293" s="4"/>
      <c r="B293" s="4"/>
      <c r="C293" s="4" t="s">
        <v>5574</v>
      </c>
      <c r="D293" s="4" t="s">
        <v>5553</v>
      </c>
      <c r="E293" s="6">
        <v>635000.0</v>
      </c>
    </row>
    <row r="294" ht="15.75" customHeight="1">
      <c r="A294" s="4"/>
      <c r="B294" s="4"/>
      <c r="C294" s="4" t="s">
        <v>5575</v>
      </c>
      <c r="D294" s="4" t="s">
        <v>2608</v>
      </c>
      <c r="E294" s="6">
        <v>766500.0</v>
      </c>
    </row>
    <row r="295" ht="15.75" customHeight="1">
      <c r="A295" s="4"/>
      <c r="B295" s="4"/>
      <c r="C295" s="4" t="s">
        <v>5576</v>
      </c>
      <c r="D295" s="4" t="s">
        <v>5553</v>
      </c>
      <c r="E295" s="6">
        <v>980000.0</v>
      </c>
    </row>
    <row r="296" ht="15.75" customHeight="1">
      <c r="A296" s="4"/>
      <c r="B296" s="4"/>
      <c r="C296" s="4" t="s">
        <v>5577</v>
      </c>
      <c r="D296" s="4" t="s">
        <v>2608</v>
      </c>
      <c r="E296" s="6">
        <v>1150000.0</v>
      </c>
    </row>
    <row r="297" ht="15.75" customHeight="1">
      <c r="A297" s="4"/>
      <c r="B297" s="4"/>
      <c r="C297" s="4" t="s">
        <v>5578</v>
      </c>
      <c r="D297" s="4" t="s">
        <v>5553</v>
      </c>
      <c r="E297" s="6">
        <v>1300000.0</v>
      </c>
    </row>
    <row r="298" ht="15.75" customHeight="1">
      <c r="A298" s="4"/>
      <c r="B298" s="4"/>
      <c r="C298" s="4" t="s">
        <v>5579</v>
      </c>
      <c r="D298" s="4" t="s">
        <v>5553</v>
      </c>
      <c r="E298" s="6">
        <v>1500000.0</v>
      </c>
    </row>
    <row r="299" ht="15.75" customHeight="1">
      <c r="A299" s="4"/>
      <c r="B299" s="4"/>
      <c r="C299" s="4" t="s">
        <v>5580</v>
      </c>
      <c r="D299" s="4" t="s">
        <v>5553</v>
      </c>
      <c r="E299" s="6">
        <v>1259000.0</v>
      </c>
    </row>
    <row r="300" ht="15.75" customHeight="1">
      <c r="A300" s="4"/>
      <c r="B300" s="4"/>
      <c r="C300" s="4" t="s">
        <v>5581</v>
      </c>
      <c r="D300" s="4" t="s">
        <v>5553</v>
      </c>
      <c r="E300" s="6">
        <v>1500000.0</v>
      </c>
    </row>
    <row r="301" ht="15.75" customHeight="1">
      <c r="A301" s="4"/>
      <c r="B301" s="4"/>
      <c r="C301" s="4" t="s">
        <v>5582</v>
      </c>
      <c r="D301" s="4" t="s">
        <v>5553</v>
      </c>
      <c r="E301" s="6">
        <v>85000.0</v>
      </c>
    </row>
    <row r="302" ht="15.75" customHeight="1">
      <c r="A302" s="4"/>
      <c r="B302" s="4"/>
      <c r="C302" s="4" t="s">
        <v>5583</v>
      </c>
      <c r="D302" s="4" t="s">
        <v>5553</v>
      </c>
      <c r="E302" s="6">
        <v>82900.0</v>
      </c>
    </row>
    <row r="303" ht="15.75" customHeight="1">
      <c r="A303" s="4"/>
      <c r="B303" s="4"/>
      <c r="C303" s="4" t="s">
        <v>5584</v>
      </c>
      <c r="D303" s="4" t="s">
        <v>5553</v>
      </c>
      <c r="E303" s="6">
        <v>3750000.0</v>
      </c>
    </row>
    <row r="304" ht="15.75" customHeight="1">
      <c r="A304" s="4"/>
      <c r="B304" s="4"/>
      <c r="C304" s="4" t="s">
        <v>5585</v>
      </c>
      <c r="D304" s="4" t="s">
        <v>5553</v>
      </c>
      <c r="E304" s="6">
        <v>1200000.0</v>
      </c>
    </row>
    <row r="305" ht="15.75" customHeight="1">
      <c r="A305" s="4"/>
      <c r="B305" s="4"/>
      <c r="C305" s="4" t="s">
        <v>5586</v>
      </c>
      <c r="D305" s="4" t="s">
        <v>5553</v>
      </c>
      <c r="E305" s="6">
        <v>1700000.0</v>
      </c>
    </row>
    <row r="306" ht="15.75" customHeight="1">
      <c r="A306" s="4"/>
      <c r="B306" s="4"/>
      <c r="C306" s="4" t="s">
        <v>5587</v>
      </c>
      <c r="D306" s="4" t="s">
        <v>5553</v>
      </c>
      <c r="E306" s="6">
        <v>2200000.0</v>
      </c>
    </row>
    <row r="307" ht="15.75" customHeight="1">
      <c r="A307" s="4"/>
      <c r="B307" s="4"/>
      <c r="C307" s="4" t="s">
        <v>5588</v>
      </c>
      <c r="D307" s="4" t="s">
        <v>5589</v>
      </c>
      <c r="E307" s="6">
        <v>171500.0</v>
      </c>
    </row>
    <row r="308" ht="15.75" customHeight="1">
      <c r="A308" s="4"/>
      <c r="B308" s="4"/>
      <c r="C308" s="4" t="s">
        <v>5590</v>
      </c>
      <c r="D308" s="4" t="s">
        <v>2608</v>
      </c>
      <c r="E308" s="6">
        <v>227900.0</v>
      </c>
    </row>
    <row r="309" ht="15.75" customHeight="1">
      <c r="A309" s="4"/>
      <c r="B309" s="4"/>
      <c r="C309" s="4" t="s">
        <v>5591</v>
      </c>
      <c r="D309" s="4" t="s">
        <v>5553</v>
      </c>
      <c r="E309" s="6">
        <v>1900000.0</v>
      </c>
    </row>
    <row r="310" ht="15.75" customHeight="1">
      <c r="A310" s="4"/>
      <c r="B310" s="4"/>
      <c r="C310" s="4" t="s">
        <v>5592</v>
      </c>
      <c r="D310" s="4" t="s">
        <v>5553</v>
      </c>
      <c r="E310" s="6">
        <v>7400000.0</v>
      </c>
    </row>
    <row r="311" ht="15.75" customHeight="1">
      <c r="A311" s="4"/>
      <c r="B311" s="4"/>
      <c r="C311" s="4" t="s">
        <v>5593</v>
      </c>
      <c r="D311" s="4" t="s">
        <v>5553</v>
      </c>
      <c r="E311" s="6">
        <v>1.0E7</v>
      </c>
    </row>
    <row r="312" ht="15.75" customHeight="1">
      <c r="A312" s="4"/>
      <c r="B312" s="4"/>
      <c r="C312" s="4" t="s">
        <v>5594</v>
      </c>
      <c r="D312" s="4" t="s">
        <v>5553</v>
      </c>
      <c r="E312" s="6">
        <v>1.2E7</v>
      </c>
    </row>
    <row r="313" ht="15.75" customHeight="1">
      <c r="A313" s="4"/>
      <c r="B313" s="4"/>
      <c r="C313" s="4" t="s">
        <v>5595</v>
      </c>
      <c r="D313" s="4" t="s">
        <v>5589</v>
      </c>
      <c r="E313" s="6">
        <v>1.4E7</v>
      </c>
    </row>
    <row r="314" ht="15.75" customHeight="1">
      <c r="A314" s="4"/>
      <c r="B314" s="4"/>
      <c r="C314" s="4" t="s">
        <v>5596</v>
      </c>
      <c r="D314" s="4" t="s">
        <v>5553</v>
      </c>
      <c r="E314" s="6">
        <v>1.2E7</v>
      </c>
    </row>
    <row r="315" ht="15.75" customHeight="1">
      <c r="A315" s="4"/>
      <c r="B315" s="4"/>
      <c r="C315" s="4" t="s">
        <v>5597</v>
      </c>
      <c r="D315" s="4" t="s">
        <v>27</v>
      </c>
      <c r="E315" s="6">
        <v>14750.0</v>
      </c>
    </row>
    <row r="316" ht="15.75" customHeight="1">
      <c r="A316" s="4"/>
      <c r="B316" s="4"/>
      <c r="C316" s="4" t="s">
        <v>5598</v>
      </c>
      <c r="D316" s="4" t="s">
        <v>27</v>
      </c>
      <c r="E316" s="6">
        <v>15000.0</v>
      </c>
    </row>
    <row r="317" ht="15.75" customHeight="1">
      <c r="A317" s="4"/>
      <c r="B317" s="4"/>
      <c r="C317" s="4" t="s">
        <v>5599</v>
      </c>
      <c r="D317" s="4" t="s">
        <v>27</v>
      </c>
      <c r="E317" s="6">
        <v>28600.0</v>
      </c>
    </row>
    <row r="318" ht="15.75" customHeight="1">
      <c r="A318" s="4"/>
      <c r="B318" s="4"/>
      <c r="C318" s="4" t="s">
        <v>5600</v>
      </c>
      <c r="D318" s="4" t="s">
        <v>27</v>
      </c>
      <c r="E318" s="6">
        <v>29000.0</v>
      </c>
    </row>
    <row r="319" ht="15.75" customHeight="1">
      <c r="A319" s="4"/>
      <c r="B319" s="4"/>
      <c r="C319" s="4" t="s">
        <v>5601</v>
      </c>
      <c r="D319" s="4" t="s">
        <v>27</v>
      </c>
      <c r="E319" s="6">
        <v>39575.0</v>
      </c>
    </row>
    <row r="320" ht="15.75" customHeight="1">
      <c r="A320" s="4"/>
      <c r="B320" s="4"/>
      <c r="C320" s="4" t="s">
        <v>5602</v>
      </c>
      <c r="D320" s="4" t="s">
        <v>27</v>
      </c>
      <c r="E320" s="6">
        <v>40000.0</v>
      </c>
    </row>
    <row r="321" ht="15.75" customHeight="1">
      <c r="A321" s="4"/>
      <c r="B321" s="4"/>
      <c r="C321" s="4" t="s">
        <v>5603</v>
      </c>
      <c r="D321" s="4" t="s">
        <v>27</v>
      </c>
      <c r="E321" s="6">
        <v>63200.0</v>
      </c>
    </row>
    <row r="322" ht="15.75" customHeight="1">
      <c r="A322" s="4"/>
      <c r="B322" s="4"/>
      <c r="C322" s="4" t="s">
        <v>5604</v>
      </c>
      <c r="D322" s="4" t="s">
        <v>27</v>
      </c>
      <c r="E322" s="6">
        <v>64000.0</v>
      </c>
    </row>
    <row r="323" ht="15.75" customHeight="1">
      <c r="A323" s="4"/>
      <c r="B323" s="4"/>
      <c r="C323" s="4" t="s">
        <v>5605</v>
      </c>
      <c r="D323" s="4" t="s">
        <v>27</v>
      </c>
      <c r="E323" s="6">
        <v>139575.0</v>
      </c>
    </row>
    <row r="324" ht="15.75" customHeight="1">
      <c r="A324" s="4"/>
      <c r="B324" s="4"/>
      <c r="C324" s="4" t="s">
        <v>5606</v>
      </c>
      <c r="D324" s="4" t="s">
        <v>27</v>
      </c>
      <c r="E324" s="6">
        <v>140000.0</v>
      </c>
    </row>
    <row r="325" ht="15.75" customHeight="1">
      <c r="A325" s="4"/>
      <c r="B325" s="4"/>
      <c r="C325" s="4" t="s">
        <v>5607</v>
      </c>
      <c r="D325" s="4" t="s">
        <v>27</v>
      </c>
      <c r="E325" s="6">
        <v>287500.0</v>
      </c>
    </row>
    <row r="326" ht="15.75" customHeight="1">
      <c r="A326" s="4"/>
      <c r="B326" s="4"/>
      <c r="C326" s="4" t="s">
        <v>5608</v>
      </c>
      <c r="D326" s="4" t="s">
        <v>27</v>
      </c>
      <c r="E326" s="6">
        <v>288000.0</v>
      </c>
    </row>
    <row r="327" ht="15.75" customHeight="1">
      <c r="A327" s="4"/>
      <c r="B327" s="4"/>
      <c r="C327" s="4" t="s">
        <v>5609</v>
      </c>
      <c r="D327" s="4" t="s">
        <v>5610</v>
      </c>
      <c r="E327" s="6">
        <v>108000.0</v>
      </c>
    </row>
    <row r="328" ht="15.75" customHeight="1">
      <c r="A328" s="4"/>
      <c r="B328" s="4"/>
      <c r="C328" s="4" t="s">
        <v>5611</v>
      </c>
      <c r="D328" s="4" t="s">
        <v>27</v>
      </c>
      <c r="E328" s="6">
        <v>305000.0</v>
      </c>
    </row>
    <row r="329" ht="15.75" customHeight="1">
      <c r="A329" s="4"/>
      <c r="B329" s="4"/>
      <c r="C329" s="4" t="s">
        <v>5612</v>
      </c>
      <c r="D329" s="4" t="s">
        <v>27</v>
      </c>
      <c r="E329" s="6">
        <v>306000.0</v>
      </c>
    </row>
    <row r="330" ht="15.75" customHeight="1">
      <c r="A330" s="4"/>
      <c r="B330" s="4"/>
      <c r="C330" s="4" t="s">
        <v>5613</v>
      </c>
      <c r="D330" s="4" t="s">
        <v>27</v>
      </c>
      <c r="E330" s="6">
        <v>336700.0</v>
      </c>
    </row>
    <row r="331" ht="15.75" customHeight="1">
      <c r="A331" s="4"/>
      <c r="B331" s="4"/>
      <c r="C331" s="4" t="s">
        <v>5614</v>
      </c>
      <c r="D331" s="4" t="s">
        <v>27</v>
      </c>
      <c r="E331" s="6">
        <v>337000.0</v>
      </c>
    </row>
    <row r="332" ht="15.75" customHeight="1">
      <c r="A332" s="4"/>
      <c r="B332" s="4"/>
      <c r="C332" s="4" t="s">
        <v>5615</v>
      </c>
      <c r="D332" s="4" t="s">
        <v>27</v>
      </c>
      <c r="E332" s="6">
        <v>368000.0</v>
      </c>
    </row>
    <row r="333" ht="15.75" customHeight="1">
      <c r="A333" s="4"/>
      <c r="B333" s="4"/>
      <c r="C333" s="4" t="s">
        <v>5616</v>
      </c>
      <c r="D333" s="4" t="s">
        <v>27</v>
      </c>
      <c r="E333" s="6">
        <v>369000.0</v>
      </c>
    </row>
    <row r="334" ht="15.75" customHeight="1">
      <c r="A334" s="4"/>
      <c r="B334" s="4"/>
      <c r="C334" s="4" t="s">
        <v>5617</v>
      </c>
      <c r="D334" s="4" t="s">
        <v>27</v>
      </c>
      <c r="E334" s="6">
        <v>398500.0</v>
      </c>
    </row>
    <row r="335" ht="15.75" customHeight="1">
      <c r="A335" s="4"/>
      <c r="B335" s="4"/>
      <c r="C335" s="4" t="s">
        <v>5618</v>
      </c>
      <c r="D335" s="4" t="s">
        <v>27</v>
      </c>
      <c r="E335" s="6">
        <v>399000.0</v>
      </c>
    </row>
    <row r="336" ht="15.75" customHeight="1">
      <c r="A336" s="4"/>
      <c r="B336" s="4"/>
      <c r="C336" s="4" t="s">
        <v>5619</v>
      </c>
      <c r="D336" s="4" t="s">
        <v>27</v>
      </c>
      <c r="E336" s="6">
        <v>425000.0</v>
      </c>
    </row>
    <row r="337" ht="15.75" customHeight="1">
      <c r="A337" s="4"/>
      <c r="B337" s="4"/>
      <c r="C337" s="4" t="s">
        <v>5620</v>
      </c>
      <c r="D337" s="4" t="s">
        <v>27</v>
      </c>
      <c r="E337" s="6">
        <v>426000.0</v>
      </c>
    </row>
    <row r="338" ht="15.75" customHeight="1">
      <c r="A338" s="4"/>
      <c r="B338" s="4"/>
      <c r="C338" s="4" t="s">
        <v>5621</v>
      </c>
      <c r="D338" s="4" t="s">
        <v>27</v>
      </c>
      <c r="E338" s="6">
        <v>487000.0</v>
      </c>
    </row>
    <row r="339" ht="15.75" customHeight="1">
      <c r="A339" s="4"/>
      <c r="B339" s="4"/>
      <c r="C339" s="4" t="s">
        <v>5622</v>
      </c>
      <c r="D339" s="4" t="s">
        <v>27</v>
      </c>
      <c r="E339" s="6">
        <v>488000.0</v>
      </c>
    </row>
    <row r="340" ht="15.75" customHeight="1">
      <c r="A340" s="4"/>
      <c r="B340" s="4"/>
      <c r="C340" s="4" t="s">
        <v>5623</v>
      </c>
      <c r="D340" s="4" t="s">
        <v>27</v>
      </c>
      <c r="E340" s="6">
        <v>515000.0</v>
      </c>
    </row>
    <row r="341" ht="15.75" customHeight="1">
      <c r="A341" s="4"/>
      <c r="B341" s="4"/>
      <c r="C341" s="4" t="s">
        <v>5624</v>
      </c>
      <c r="D341" s="4" t="s">
        <v>27</v>
      </c>
      <c r="E341" s="6">
        <v>516000.0</v>
      </c>
    </row>
    <row r="342" ht="15.75" customHeight="1">
      <c r="A342" s="4"/>
      <c r="B342" s="4"/>
      <c r="C342" s="4" t="s">
        <v>5625</v>
      </c>
      <c r="D342" s="4" t="s">
        <v>27</v>
      </c>
      <c r="E342" s="6">
        <v>547000.0</v>
      </c>
    </row>
    <row r="343" ht="15.75" customHeight="1">
      <c r="A343" s="4"/>
      <c r="B343" s="4"/>
      <c r="C343" s="4" t="s">
        <v>5626</v>
      </c>
      <c r="D343" s="4" t="s">
        <v>27</v>
      </c>
      <c r="E343" s="6">
        <v>548000.0</v>
      </c>
    </row>
    <row r="344" ht="15.75" customHeight="1">
      <c r="A344" s="4"/>
      <c r="B344" s="4"/>
      <c r="C344" s="4" t="s">
        <v>5627</v>
      </c>
      <c r="D344" s="4" t="s">
        <v>27</v>
      </c>
      <c r="E344" s="6">
        <v>589000.0</v>
      </c>
    </row>
    <row r="345" ht="15.75" customHeight="1">
      <c r="A345" s="4"/>
      <c r="B345" s="4"/>
      <c r="C345" s="4" t="s">
        <v>5628</v>
      </c>
      <c r="D345" s="4" t="s">
        <v>27</v>
      </c>
      <c r="E345" s="6">
        <v>590000.0</v>
      </c>
    </row>
    <row r="346" ht="15.75" customHeight="1">
      <c r="A346" s="4"/>
      <c r="B346" s="4"/>
      <c r="C346" s="4" t="s">
        <v>5629</v>
      </c>
      <c r="D346" s="4" t="s">
        <v>27</v>
      </c>
      <c r="E346" s="6">
        <v>617000.0</v>
      </c>
    </row>
    <row r="347" ht="15.75" customHeight="1">
      <c r="A347" s="4"/>
      <c r="B347" s="4"/>
      <c r="C347" s="4" t="s">
        <v>5630</v>
      </c>
      <c r="D347" s="4" t="s">
        <v>27</v>
      </c>
      <c r="E347" s="6">
        <v>618000.0</v>
      </c>
    </row>
    <row r="348" ht="15.75" customHeight="1">
      <c r="A348" s="4"/>
      <c r="B348" s="4"/>
      <c r="C348" s="4" t="s">
        <v>5631</v>
      </c>
      <c r="D348" s="4" t="s">
        <v>27</v>
      </c>
      <c r="E348" s="6">
        <v>5200.0</v>
      </c>
    </row>
    <row r="349" ht="15.75" customHeight="1">
      <c r="A349" s="4"/>
      <c r="B349" s="4"/>
      <c r="C349" s="4" t="s">
        <v>5632</v>
      </c>
      <c r="D349" s="4" t="s">
        <v>27</v>
      </c>
      <c r="E349" s="6">
        <v>5300.0</v>
      </c>
    </row>
    <row r="350" ht="15.75" customHeight="1">
      <c r="A350" s="4"/>
      <c r="B350" s="4"/>
      <c r="C350" s="4" t="s">
        <v>5633</v>
      </c>
      <c r="D350" s="4" t="s">
        <v>27</v>
      </c>
      <c r="E350" s="6">
        <v>7500.0</v>
      </c>
    </row>
    <row r="351" ht="15.75" customHeight="1">
      <c r="A351" s="4"/>
      <c r="B351" s="4"/>
      <c r="C351" s="4" t="s">
        <v>5634</v>
      </c>
      <c r="D351" s="4" t="s">
        <v>27</v>
      </c>
      <c r="E351" s="6">
        <v>7600.0</v>
      </c>
    </row>
    <row r="352" ht="15.75" customHeight="1">
      <c r="A352" s="4"/>
      <c r="B352" s="4"/>
      <c r="C352" s="4" t="s">
        <v>5635</v>
      </c>
      <c r="D352" s="4" t="s">
        <v>27</v>
      </c>
      <c r="E352" s="6">
        <v>8300.0</v>
      </c>
    </row>
    <row r="353" ht="15.75" customHeight="1">
      <c r="A353" s="4"/>
      <c r="B353" s="4"/>
      <c r="C353" s="4" t="s">
        <v>5636</v>
      </c>
      <c r="D353" s="4" t="s">
        <v>27</v>
      </c>
      <c r="E353" s="6">
        <v>8400.0</v>
      </c>
    </row>
    <row r="354" ht="15.75" customHeight="1">
      <c r="A354" s="4"/>
      <c r="B354" s="4"/>
      <c r="C354" s="4" t="s">
        <v>5637</v>
      </c>
      <c r="D354" s="4" t="s">
        <v>27</v>
      </c>
      <c r="E354" s="6">
        <v>9700.0</v>
      </c>
    </row>
    <row r="355" ht="15.75" customHeight="1">
      <c r="A355" s="4"/>
      <c r="B355" s="4"/>
      <c r="C355" s="4" t="s">
        <v>5638</v>
      </c>
      <c r="D355" s="4" t="s">
        <v>27</v>
      </c>
      <c r="E355" s="6">
        <v>10000.0</v>
      </c>
    </row>
    <row r="356" ht="15.75" customHeight="1">
      <c r="A356" s="4"/>
      <c r="B356" s="4"/>
      <c r="C356" s="4" t="s">
        <v>5639</v>
      </c>
      <c r="D356" s="4" t="s">
        <v>27</v>
      </c>
      <c r="E356" s="6">
        <v>10500.0</v>
      </c>
    </row>
    <row r="357" ht="15.75" customHeight="1">
      <c r="A357" s="4"/>
      <c r="B357" s="4"/>
      <c r="C357" s="4" t="s">
        <v>5640</v>
      </c>
      <c r="D357" s="4" t="s">
        <v>27</v>
      </c>
      <c r="E357" s="6">
        <v>10600.0</v>
      </c>
    </row>
    <row r="358" ht="15.75" customHeight="1">
      <c r="A358" s="4"/>
      <c r="B358" s="4"/>
      <c r="C358" s="4" t="s">
        <v>5641</v>
      </c>
      <c r="D358" s="4" t="s">
        <v>27</v>
      </c>
      <c r="E358" s="6">
        <v>13700.0</v>
      </c>
    </row>
    <row r="359" ht="15.75" customHeight="1">
      <c r="A359" s="4"/>
      <c r="B359" s="4"/>
      <c r="C359" s="4" t="s">
        <v>5642</v>
      </c>
      <c r="D359" s="4" t="s">
        <v>27</v>
      </c>
      <c r="E359" s="6">
        <v>13800.0</v>
      </c>
    </row>
    <row r="360" ht="15.75" customHeight="1">
      <c r="A360" s="4"/>
      <c r="B360" s="4"/>
      <c r="C360" s="4" t="s">
        <v>5643</v>
      </c>
      <c r="D360" s="4" t="s">
        <v>5610</v>
      </c>
      <c r="E360" s="6">
        <v>32500.0</v>
      </c>
    </row>
    <row r="361" ht="15.75" customHeight="1">
      <c r="A361" s="4"/>
      <c r="B361" s="4"/>
      <c r="C361" s="4" t="s">
        <v>5644</v>
      </c>
      <c r="D361" s="4" t="s">
        <v>5610</v>
      </c>
      <c r="E361" s="6">
        <v>35000.0</v>
      </c>
    </row>
    <row r="362" ht="15.75" customHeight="1">
      <c r="A362" s="4"/>
      <c r="B362" s="4"/>
      <c r="C362" s="4" t="s">
        <v>5645</v>
      </c>
      <c r="D362" s="4" t="s">
        <v>27</v>
      </c>
      <c r="E362" s="6">
        <v>183333.3333333333</v>
      </c>
    </row>
    <row r="363" ht="15.75" customHeight="1">
      <c r="A363" s="4"/>
      <c r="B363" s="4"/>
      <c r="C363" s="4" t="s">
        <v>5646</v>
      </c>
      <c r="D363" s="4" t="s">
        <v>27</v>
      </c>
      <c r="E363" s="6">
        <v>185000.0</v>
      </c>
    </row>
    <row r="364" ht="15.75" customHeight="1">
      <c r="A364" s="4"/>
      <c r="B364" s="4"/>
      <c r="C364" s="4" t="s">
        <v>5647</v>
      </c>
      <c r="D364" s="4" t="s">
        <v>27</v>
      </c>
      <c r="E364" s="6">
        <v>309000.0</v>
      </c>
    </row>
    <row r="365" ht="15.75" customHeight="1">
      <c r="A365" s="4"/>
      <c r="B365" s="4"/>
      <c r="C365" s="4" t="s">
        <v>5648</v>
      </c>
      <c r="D365" s="4" t="s">
        <v>27</v>
      </c>
      <c r="E365" s="6">
        <v>310000.0</v>
      </c>
    </row>
    <row r="366" ht="15.75" customHeight="1">
      <c r="A366" s="4"/>
      <c r="B366" s="4"/>
      <c r="C366" s="4" t="s">
        <v>5649</v>
      </c>
      <c r="D366" s="4" t="s">
        <v>27</v>
      </c>
      <c r="E366" s="6">
        <v>435000.0</v>
      </c>
    </row>
    <row r="367" ht="15.75" customHeight="1">
      <c r="A367" s="4"/>
      <c r="B367" s="4"/>
      <c r="C367" s="4" t="s">
        <v>5650</v>
      </c>
      <c r="D367" s="4" t="s">
        <v>27</v>
      </c>
      <c r="E367" s="6">
        <v>436000.0</v>
      </c>
    </row>
    <row r="368" ht="15.75" customHeight="1">
      <c r="A368" s="4"/>
      <c r="B368" s="4"/>
      <c r="C368" s="4" t="s">
        <v>5651</v>
      </c>
      <c r="D368" s="4" t="s">
        <v>27</v>
      </c>
      <c r="E368" s="6">
        <v>395000.0</v>
      </c>
    </row>
    <row r="369" ht="15.75" customHeight="1">
      <c r="A369" s="4"/>
      <c r="B369" s="4"/>
      <c r="C369" s="4" t="s">
        <v>5652</v>
      </c>
      <c r="D369" s="4" t="s">
        <v>27</v>
      </c>
      <c r="E369" s="6">
        <v>396000.0</v>
      </c>
    </row>
    <row r="370" ht="15.75" customHeight="1">
      <c r="A370" s="4"/>
      <c r="B370" s="4"/>
      <c r="C370" s="4" t="s">
        <v>5653</v>
      </c>
      <c r="D370" s="4" t="s">
        <v>27</v>
      </c>
      <c r="E370" s="6">
        <v>417000.0</v>
      </c>
    </row>
    <row r="371" ht="15.75" customHeight="1">
      <c r="A371" s="4"/>
      <c r="B371" s="4"/>
      <c r="C371" s="4" t="s">
        <v>5654</v>
      </c>
      <c r="D371" s="4" t="s">
        <v>27</v>
      </c>
      <c r="E371" s="6">
        <v>418000.0</v>
      </c>
    </row>
    <row r="372" ht="15.75" customHeight="1">
      <c r="A372" s="4"/>
      <c r="B372" s="4"/>
      <c r="C372" s="4" t="s">
        <v>5655</v>
      </c>
      <c r="D372" s="4" t="s">
        <v>27</v>
      </c>
      <c r="E372" s="6">
        <v>467000.0</v>
      </c>
    </row>
    <row r="373" ht="15.75" customHeight="1">
      <c r="A373" s="4"/>
      <c r="B373" s="4"/>
      <c r="C373" s="4" t="s">
        <v>5656</v>
      </c>
      <c r="D373" s="4" t="s">
        <v>27</v>
      </c>
      <c r="E373" s="6">
        <v>468000.0</v>
      </c>
    </row>
    <row r="374" ht="15.75" customHeight="1">
      <c r="A374" s="4"/>
      <c r="B374" s="4"/>
      <c r="C374" s="4" t="s">
        <v>5657</v>
      </c>
      <c r="D374" s="4" t="s">
        <v>27</v>
      </c>
      <c r="E374" s="6">
        <v>512000.0</v>
      </c>
    </row>
    <row r="375" ht="15.75" customHeight="1">
      <c r="A375" s="4"/>
      <c r="B375" s="4"/>
      <c r="C375" s="4" t="s">
        <v>5658</v>
      </c>
      <c r="D375" s="4" t="s">
        <v>27</v>
      </c>
      <c r="E375" s="6">
        <v>513000.0</v>
      </c>
    </row>
    <row r="376" ht="15.75" customHeight="1">
      <c r="A376" s="4"/>
      <c r="B376" s="4"/>
      <c r="C376" s="4" t="s">
        <v>5659</v>
      </c>
      <c r="D376" s="4" t="s">
        <v>27</v>
      </c>
      <c r="E376" s="6">
        <v>593000.0</v>
      </c>
    </row>
    <row r="377" ht="15.75" customHeight="1">
      <c r="A377" s="4"/>
      <c r="B377" s="4"/>
      <c r="C377" s="4" t="s">
        <v>5660</v>
      </c>
      <c r="D377" s="4" t="s">
        <v>27</v>
      </c>
      <c r="E377" s="6">
        <v>594000.0</v>
      </c>
    </row>
    <row r="378" ht="15.75" customHeight="1">
      <c r="A378" s="4"/>
      <c r="B378" s="4"/>
      <c r="C378" s="4" t="s">
        <v>5661</v>
      </c>
      <c r="D378" s="4" t="s">
        <v>27</v>
      </c>
      <c r="E378" s="6">
        <v>612000.0</v>
      </c>
    </row>
    <row r="379" ht="15.75" customHeight="1">
      <c r="A379" s="4"/>
      <c r="B379" s="4"/>
      <c r="C379" s="4" t="s">
        <v>5662</v>
      </c>
      <c r="D379" s="4" t="s">
        <v>27</v>
      </c>
      <c r="E379" s="6">
        <v>61300.0</v>
      </c>
    </row>
    <row r="380" ht="15.75" customHeight="1">
      <c r="A380" s="4"/>
      <c r="B380" s="4"/>
      <c r="C380" s="4" t="s">
        <v>5663</v>
      </c>
      <c r="D380" s="4" t="s">
        <v>27</v>
      </c>
      <c r="E380" s="6">
        <v>655000.0</v>
      </c>
    </row>
    <row r="381" ht="15.75" customHeight="1">
      <c r="A381" s="4"/>
      <c r="B381" s="4"/>
      <c r="C381" s="4" t="s">
        <v>5664</v>
      </c>
      <c r="D381" s="4" t="s">
        <v>27</v>
      </c>
      <c r="E381" s="6">
        <v>656000.0</v>
      </c>
    </row>
    <row r="382" ht="15.75" customHeight="1">
      <c r="A382" s="4"/>
      <c r="B382" s="4"/>
      <c r="C382" s="4" t="s">
        <v>5665</v>
      </c>
      <c r="D382" s="4" t="s">
        <v>27</v>
      </c>
      <c r="E382" s="6">
        <v>697000.0</v>
      </c>
    </row>
    <row r="383" ht="15.75" customHeight="1">
      <c r="A383" s="4"/>
      <c r="B383" s="4"/>
      <c r="C383" s="4" t="s">
        <v>5666</v>
      </c>
      <c r="D383" s="4" t="s">
        <v>27</v>
      </c>
      <c r="E383" s="6">
        <v>698000.0</v>
      </c>
    </row>
    <row r="384" ht="15.75" customHeight="1">
      <c r="A384" s="4"/>
      <c r="B384" s="4"/>
      <c r="C384" s="4" t="s">
        <v>5667</v>
      </c>
      <c r="D384" s="4" t="s">
        <v>27</v>
      </c>
      <c r="E384" s="6">
        <v>715000.0</v>
      </c>
    </row>
    <row r="385" ht="15.75" customHeight="1">
      <c r="A385" s="4"/>
      <c r="B385" s="4"/>
      <c r="C385" s="4" t="s">
        <v>5668</v>
      </c>
      <c r="D385" s="4" t="s">
        <v>27</v>
      </c>
      <c r="E385" s="6">
        <v>716000.0</v>
      </c>
    </row>
    <row r="386" ht="15.75" customHeight="1">
      <c r="A386" s="4"/>
      <c r="B386" s="4"/>
      <c r="C386" s="4" t="s">
        <v>5669</v>
      </c>
      <c r="D386" s="4" t="s">
        <v>27</v>
      </c>
      <c r="E386" s="6">
        <v>756000.0</v>
      </c>
    </row>
    <row r="387" ht="15.75" customHeight="1">
      <c r="A387" s="4"/>
      <c r="B387" s="4"/>
      <c r="C387" s="4" t="s">
        <v>5670</v>
      </c>
      <c r="D387" s="4" t="s">
        <v>27</v>
      </c>
      <c r="E387" s="6">
        <v>757000.0</v>
      </c>
    </row>
    <row r="388" ht="15.75" customHeight="1">
      <c r="A388" s="4"/>
      <c r="B388" s="4"/>
      <c r="C388" s="4" t="s">
        <v>5671</v>
      </c>
      <c r="D388" s="4" t="s">
        <v>27</v>
      </c>
      <c r="E388" s="6">
        <v>799000.0</v>
      </c>
    </row>
    <row r="389" ht="15.75" customHeight="1">
      <c r="A389" s="4"/>
      <c r="B389" s="4"/>
      <c r="C389" s="4" t="s">
        <v>5672</v>
      </c>
      <c r="D389" s="4" t="s">
        <v>27</v>
      </c>
      <c r="E389" s="6">
        <v>780000.0</v>
      </c>
    </row>
    <row r="390" ht="15.75" customHeight="1">
      <c r="A390" s="4"/>
      <c r="B390" s="4"/>
      <c r="C390" s="4" t="s">
        <v>5673</v>
      </c>
      <c r="D390" s="4" t="s">
        <v>27</v>
      </c>
      <c r="E390" s="6">
        <v>830000.0</v>
      </c>
    </row>
    <row r="391" ht="15.75" customHeight="1">
      <c r="A391" s="4"/>
      <c r="B391" s="4"/>
      <c r="C391" s="4" t="s">
        <v>5674</v>
      </c>
      <c r="D391" s="4" t="s">
        <v>27</v>
      </c>
      <c r="E391" s="6">
        <v>831000.0</v>
      </c>
    </row>
    <row r="392" ht="15.75" customHeight="1">
      <c r="A392" s="4"/>
      <c r="B392" s="4"/>
      <c r="C392" s="4" t="s">
        <v>5675</v>
      </c>
      <c r="D392" s="4" t="s">
        <v>27</v>
      </c>
      <c r="E392" s="6">
        <v>867000.0</v>
      </c>
    </row>
    <row r="393" ht="15.75" customHeight="1">
      <c r="A393" s="4"/>
      <c r="B393" s="4"/>
      <c r="C393" s="4" t="s">
        <v>5676</v>
      </c>
      <c r="D393" s="4" t="s">
        <v>27</v>
      </c>
      <c r="E393" s="6">
        <v>868000.0</v>
      </c>
    </row>
    <row r="394" ht="15.75" customHeight="1">
      <c r="A394" s="4"/>
      <c r="B394" s="4"/>
      <c r="C394" s="4" t="s">
        <v>5677</v>
      </c>
      <c r="D394" s="4" t="s">
        <v>27</v>
      </c>
      <c r="E394" s="6">
        <v>51000.0</v>
      </c>
    </row>
    <row r="395" ht="15.75" customHeight="1">
      <c r="A395" s="4"/>
      <c r="B395" s="4"/>
      <c r="C395" s="4" t="s">
        <v>5678</v>
      </c>
      <c r="D395" s="4" t="s">
        <v>27</v>
      </c>
      <c r="E395" s="6">
        <v>52000.0</v>
      </c>
    </row>
    <row r="396" ht="15.75" customHeight="1">
      <c r="A396" s="4"/>
      <c r="B396" s="4"/>
      <c r="C396" s="4" t="s">
        <v>5679</v>
      </c>
      <c r="D396" s="4" t="s">
        <v>27</v>
      </c>
      <c r="E396" s="6">
        <v>67000.0</v>
      </c>
    </row>
    <row r="397" ht="15.75" customHeight="1">
      <c r="A397" s="4"/>
      <c r="B397" s="4"/>
      <c r="C397" s="4" t="s">
        <v>5680</v>
      </c>
      <c r="D397" s="4" t="s">
        <v>27</v>
      </c>
      <c r="E397" s="6">
        <v>68000.0</v>
      </c>
    </row>
    <row r="398" ht="15.75" customHeight="1">
      <c r="A398" s="4"/>
      <c r="B398" s="4"/>
      <c r="C398" s="4" t="s">
        <v>5681</v>
      </c>
      <c r="D398" s="4" t="s">
        <v>27</v>
      </c>
      <c r="E398" s="6">
        <v>71000.0</v>
      </c>
    </row>
    <row r="399" ht="15.75" customHeight="1">
      <c r="A399" s="4"/>
      <c r="B399" s="4"/>
      <c r="C399" s="4" t="s">
        <v>5682</v>
      </c>
      <c r="D399" s="4" t="s">
        <v>27</v>
      </c>
      <c r="E399" s="6">
        <v>72000.0</v>
      </c>
    </row>
    <row r="400" ht="15.75" customHeight="1">
      <c r="A400" s="4"/>
      <c r="B400" s="4"/>
      <c r="C400" s="4" t="s">
        <v>5683</v>
      </c>
      <c r="D400" s="4" t="s">
        <v>27</v>
      </c>
      <c r="E400" s="6">
        <v>79000.0</v>
      </c>
    </row>
    <row r="401" ht="15.75" customHeight="1">
      <c r="A401" s="4"/>
      <c r="B401" s="4"/>
      <c r="C401" s="4" t="s">
        <v>5684</v>
      </c>
      <c r="D401" s="4" t="s">
        <v>27</v>
      </c>
      <c r="E401" s="6">
        <v>80000.0</v>
      </c>
    </row>
    <row r="402" ht="15.75" customHeight="1">
      <c r="A402" s="4"/>
      <c r="B402" s="4"/>
      <c r="C402" s="4" t="s">
        <v>5685</v>
      </c>
      <c r="D402" s="4" t="s">
        <v>27</v>
      </c>
      <c r="E402" s="6">
        <v>86000.0</v>
      </c>
    </row>
    <row r="403" ht="15.75" customHeight="1">
      <c r="A403" s="4"/>
      <c r="B403" s="4"/>
      <c r="C403" s="4" t="s">
        <v>5686</v>
      </c>
      <c r="D403" s="4" t="s">
        <v>27</v>
      </c>
      <c r="E403" s="6">
        <v>87000.0</v>
      </c>
    </row>
    <row r="404" ht="15.75" customHeight="1">
      <c r="A404" s="4"/>
      <c r="B404" s="4"/>
      <c r="C404" s="4" t="s">
        <v>5687</v>
      </c>
      <c r="D404" s="4" t="s">
        <v>27</v>
      </c>
      <c r="E404" s="6">
        <v>94000.0</v>
      </c>
    </row>
    <row r="405" ht="15.75" customHeight="1">
      <c r="A405" s="4"/>
      <c r="B405" s="4"/>
      <c r="C405" s="4" t="s">
        <v>5688</v>
      </c>
      <c r="D405" s="4" t="s">
        <v>27</v>
      </c>
      <c r="E405" s="6">
        <v>95000.0</v>
      </c>
    </row>
    <row r="406" ht="15.75" customHeight="1">
      <c r="A406" s="4"/>
      <c r="B406" s="4"/>
      <c r="C406" s="4" t="s">
        <v>5689</v>
      </c>
      <c r="D406" s="4" t="s">
        <v>5610</v>
      </c>
      <c r="E406" s="6">
        <v>75000.0</v>
      </c>
    </row>
    <row r="407" ht="15.75" customHeight="1">
      <c r="A407" s="4"/>
      <c r="B407" s="4"/>
      <c r="C407" s="4" t="s">
        <v>5690</v>
      </c>
      <c r="D407" s="4" t="s">
        <v>5610</v>
      </c>
      <c r="E407" s="6">
        <v>75000.0</v>
      </c>
    </row>
    <row r="408" ht="15.75" customHeight="1">
      <c r="A408" s="4"/>
      <c r="B408" s="4"/>
      <c r="C408" s="4" t="s">
        <v>5691</v>
      </c>
      <c r="D408" s="4" t="s">
        <v>27</v>
      </c>
      <c r="E408" s="6">
        <v>24700.0</v>
      </c>
    </row>
    <row r="409" ht="15.75" customHeight="1">
      <c r="A409" s="4"/>
      <c r="B409" s="4"/>
      <c r="C409" s="4" t="s">
        <v>5692</v>
      </c>
      <c r="D409" s="4" t="s">
        <v>27</v>
      </c>
      <c r="E409" s="6">
        <v>25000.0</v>
      </c>
    </row>
    <row r="410" ht="15.75" customHeight="1">
      <c r="A410" s="4"/>
      <c r="B410" s="4"/>
      <c r="C410" s="4" t="s">
        <v>5693</v>
      </c>
      <c r="D410" s="4" t="s">
        <v>27</v>
      </c>
      <c r="E410" s="6">
        <v>49000.0</v>
      </c>
    </row>
    <row r="411" ht="15.75" customHeight="1">
      <c r="A411" s="4"/>
      <c r="B411" s="4"/>
      <c r="C411" s="4" t="s">
        <v>5694</v>
      </c>
      <c r="D411" s="4" t="s">
        <v>27</v>
      </c>
      <c r="E411" s="6">
        <v>50000.0</v>
      </c>
    </row>
    <row r="412" ht="15.75" customHeight="1">
      <c r="A412" s="4"/>
      <c r="B412" s="4"/>
      <c r="C412" s="4" t="s">
        <v>5695</v>
      </c>
      <c r="D412" s="4" t="s">
        <v>27</v>
      </c>
      <c r="E412" s="6">
        <v>57000.0</v>
      </c>
    </row>
    <row r="413" ht="15.75" customHeight="1">
      <c r="A413" s="4"/>
      <c r="B413" s="4"/>
      <c r="C413" s="4" t="s">
        <v>5696</v>
      </c>
      <c r="D413" s="4" t="s">
        <v>27</v>
      </c>
      <c r="E413" s="6">
        <v>58000.0</v>
      </c>
    </row>
    <row r="414" ht="15.75" customHeight="1">
      <c r="A414" s="4"/>
      <c r="B414" s="4"/>
      <c r="C414" s="4" t="s">
        <v>5697</v>
      </c>
      <c r="D414" s="4" t="s">
        <v>27</v>
      </c>
      <c r="E414" s="6">
        <v>63000.0</v>
      </c>
    </row>
    <row r="415" ht="15.75" customHeight="1">
      <c r="A415" s="4"/>
      <c r="B415" s="4"/>
      <c r="C415" s="4" t="s">
        <v>5698</v>
      </c>
      <c r="D415" s="4" t="s">
        <v>27</v>
      </c>
      <c r="E415" s="6">
        <v>64000.0</v>
      </c>
    </row>
    <row r="416" ht="15.75" customHeight="1">
      <c r="A416" s="4"/>
      <c r="B416" s="4"/>
      <c r="C416" s="4" t="s">
        <v>5699</v>
      </c>
      <c r="D416" s="4" t="s">
        <v>27</v>
      </c>
      <c r="E416" s="6">
        <v>74000.0</v>
      </c>
    </row>
    <row r="417" ht="15.75" customHeight="1">
      <c r="A417" s="4"/>
      <c r="B417" s="4"/>
      <c r="C417" s="4" t="s">
        <v>5700</v>
      </c>
      <c r="D417" s="4" t="s">
        <v>27</v>
      </c>
      <c r="E417" s="6">
        <v>75000.0</v>
      </c>
    </row>
    <row r="418" ht="15.75" customHeight="1">
      <c r="A418" s="4"/>
      <c r="B418" s="4"/>
      <c r="C418" s="4" t="s">
        <v>5701</v>
      </c>
      <c r="D418" s="4" t="s">
        <v>27</v>
      </c>
      <c r="E418" s="6">
        <v>81000.0</v>
      </c>
    </row>
    <row r="419" ht="15.75" customHeight="1">
      <c r="A419" s="4"/>
      <c r="B419" s="4"/>
      <c r="C419" s="4" t="s">
        <v>5702</v>
      </c>
      <c r="D419" s="4" t="s">
        <v>27</v>
      </c>
      <c r="E419" s="6">
        <v>82000.0</v>
      </c>
    </row>
    <row r="420" ht="15.75" customHeight="1">
      <c r="A420" s="4"/>
      <c r="B420" s="4"/>
      <c r="C420" s="4" t="s">
        <v>5703</v>
      </c>
      <c r="D420" s="4" t="s">
        <v>27</v>
      </c>
      <c r="E420" s="6">
        <v>93000.0</v>
      </c>
    </row>
    <row r="421" ht="15.75" customHeight="1">
      <c r="A421" s="4"/>
      <c r="B421" s="4"/>
      <c r="C421" s="4" t="s">
        <v>5704</v>
      </c>
      <c r="D421" s="4" t="s">
        <v>27</v>
      </c>
      <c r="E421" s="6">
        <v>94000.0</v>
      </c>
    </row>
    <row r="422" ht="15.75" customHeight="1">
      <c r="A422" s="4"/>
      <c r="B422" s="4"/>
      <c r="C422" s="4" t="s">
        <v>5705</v>
      </c>
      <c r="D422" s="4" t="s">
        <v>27</v>
      </c>
      <c r="E422" s="6">
        <v>101000.0</v>
      </c>
    </row>
    <row r="423" ht="15.75" customHeight="1">
      <c r="A423" s="4"/>
      <c r="B423" s="4"/>
      <c r="C423" s="4" t="s">
        <v>5706</v>
      </c>
      <c r="D423" s="4" t="s">
        <v>27</v>
      </c>
      <c r="E423" s="6">
        <v>102000.0</v>
      </c>
    </row>
    <row r="424" ht="15.75" customHeight="1">
      <c r="A424" s="4"/>
      <c r="B424" s="4"/>
      <c r="C424" s="4" t="s">
        <v>5707</v>
      </c>
      <c r="D424" s="4" t="s">
        <v>27</v>
      </c>
      <c r="E424" s="6">
        <v>123000.0</v>
      </c>
    </row>
    <row r="425" ht="15.75" customHeight="1">
      <c r="A425" s="4"/>
      <c r="B425" s="4"/>
      <c r="C425" s="4" t="s">
        <v>5708</v>
      </c>
      <c r="D425" s="4" t="s">
        <v>27</v>
      </c>
      <c r="E425" s="6">
        <v>124000.0</v>
      </c>
    </row>
    <row r="426" ht="15.75" customHeight="1">
      <c r="A426" s="4"/>
      <c r="B426" s="4"/>
      <c r="C426" s="4" t="s">
        <v>5709</v>
      </c>
      <c r="D426" s="4" t="s">
        <v>27</v>
      </c>
      <c r="E426" s="6">
        <v>142000.0</v>
      </c>
    </row>
    <row r="427" ht="15.75" customHeight="1">
      <c r="A427" s="4"/>
      <c r="B427" s="4"/>
      <c r="C427" s="4" t="s">
        <v>5710</v>
      </c>
      <c r="D427" s="4" t="s">
        <v>27</v>
      </c>
      <c r="E427" s="6">
        <v>143000.0</v>
      </c>
    </row>
    <row r="428" ht="15.75" customHeight="1">
      <c r="A428" s="4"/>
      <c r="B428" s="4"/>
      <c r="C428" s="4" t="s">
        <v>5711</v>
      </c>
      <c r="D428" s="4" t="s">
        <v>27</v>
      </c>
      <c r="E428" s="6">
        <v>156000.0</v>
      </c>
    </row>
    <row r="429" ht="15.75" customHeight="1">
      <c r="A429" s="4"/>
      <c r="B429" s="4"/>
      <c r="C429" s="4" t="s">
        <v>5712</v>
      </c>
      <c r="D429" s="4" t="s">
        <v>27</v>
      </c>
      <c r="E429" s="6">
        <v>157000.0</v>
      </c>
    </row>
    <row r="430" ht="15.75" customHeight="1">
      <c r="A430" s="4"/>
      <c r="B430" s="4"/>
      <c r="C430" s="4" t="s">
        <v>5713</v>
      </c>
      <c r="D430" s="4" t="s">
        <v>27</v>
      </c>
      <c r="E430" s="6">
        <v>164000.0</v>
      </c>
    </row>
    <row r="431" ht="15.75" customHeight="1">
      <c r="A431" s="4"/>
      <c r="B431" s="4"/>
      <c r="C431" s="4" t="s">
        <v>5714</v>
      </c>
      <c r="D431" s="4" t="s">
        <v>27</v>
      </c>
      <c r="E431" s="6">
        <v>165000.0</v>
      </c>
    </row>
    <row r="432" ht="15.75" customHeight="1">
      <c r="A432" s="4"/>
      <c r="B432" s="4"/>
      <c r="C432" s="4" t="s">
        <v>5715</v>
      </c>
      <c r="D432" s="4" t="s">
        <v>27</v>
      </c>
      <c r="E432" s="6">
        <v>172000.0</v>
      </c>
    </row>
    <row r="433" ht="15.75" customHeight="1">
      <c r="A433" s="4"/>
      <c r="B433" s="4"/>
      <c r="C433" s="4" t="s">
        <v>5716</v>
      </c>
      <c r="D433" s="4" t="s">
        <v>27</v>
      </c>
      <c r="E433" s="6">
        <v>173000.0</v>
      </c>
    </row>
    <row r="434" ht="15.75" customHeight="1">
      <c r="A434" s="4"/>
      <c r="B434" s="4"/>
      <c r="C434" s="4" t="s">
        <v>5717</v>
      </c>
      <c r="D434" s="4" t="s">
        <v>27</v>
      </c>
      <c r="E434" s="6">
        <v>186000.0</v>
      </c>
    </row>
    <row r="435" ht="15.75" customHeight="1">
      <c r="A435" s="4"/>
      <c r="B435" s="4"/>
      <c r="C435" s="4" t="s">
        <v>5718</v>
      </c>
      <c r="D435" s="4" t="s">
        <v>27</v>
      </c>
      <c r="E435" s="6">
        <v>187000.0</v>
      </c>
    </row>
    <row r="436" ht="15.75" customHeight="1">
      <c r="A436" s="4"/>
      <c r="B436" s="4"/>
      <c r="C436" s="4" t="s">
        <v>5719</v>
      </c>
      <c r="D436" s="4" t="s">
        <v>27</v>
      </c>
      <c r="E436" s="6">
        <v>197000.0</v>
      </c>
    </row>
    <row r="437" ht="15.75" customHeight="1">
      <c r="A437" s="4"/>
      <c r="B437" s="4"/>
      <c r="C437" s="4" t="s">
        <v>5720</v>
      </c>
      <c r="D437" s="4" t="s">
        <v>27</v>
      </c>
      <c r="E437" s="6">
        <v>198000.0</v>
      </c>
    </row>
    <row r="438" ht="15.75" customHeight="1">
      <c r="A438" s="4"/>
      <c r="B438" s="4"/>
      <c r="C438" s="4" t="s">
        <v>5721</v>
      </c>
      <c r="D438" s="4" t="s">
        <v>27</v>
      </c>
      <c r="E438" s="6">
        <v>215000.0</v>
      </c>
    </row>
    <row r="439" ht="15.75" customHeight="1">
      <c r="A439" s="4"/>
      <c r="B439" s="4"/>
      <c r="C439" s="4" t="s">
        <v>5722</v>
      </c>
      <c r="D439" s="4" t="s">
        <v>27</v>
      </c>
      <c r="E439" s="6">
        <v>216000.0</v>
      </c>
    </row>
    <row r="440" ht="15.75" customHeight="1">
      <c r="A440" s="4"/>
      <c r="B440" s="4"/>
      <c r="C440" s="4" t="s">
        <v>5723</v>
      </c>
      <c r="D440" s="4" t="s">
        <v>27</v>
      </c>
      <c r="E440" s="6">
        <v>12500.0</v>
      </c>
    </row>
    <row r="441" ht="15.75" customHeight="1">
      <c r="A441" s="4"/>
      <c r="B441" s="4"/>
      <c r="C441" s="4" t="s">
        <v>5724</v>
      </c>
      <c r="D441" s="4" t="s">
        <v>27</v>
      </c>
      <c r="E441" s="6">
        <v>13000.0</v>
      </c>
    </row>
    <row r="442" ht="15.75" customHeight="1">
      <c r="A442" s="4"/>
      <c r="B442" s="4"/>
      <c r="C442" s="4" t="s">
        <v>5725</v>
      </c>
      <c r="D442" s="4" t="s">
        <v>27</v>
      </c>
      <c r="E442" s="6">
        <v>17900.0</v>
      </c>
    </row>
    <row r="443" ht="15.75" customHeight="1">
      <c r="A443" s="4"/>
      <c r="B443" s="4"/>
      <c r="C443" s="4" t="s">
        <v>5726</v>
      </c>
      <c r="D443" s="4" t="s">
        <v>27</v>
      </c>
      <c r="E443" s="6">
        <v>18000.0</v>
      </c>
    </row>
    <row r="444" ht="15.75" customHeight="1">
      <c r="A444" s="4"/>
      <c r="B444" s="4"/>
      <c r="C444" s="4" t="s">
        <v>5727</v>
      </c>
      <c r="D444" s="4" t="s">
        <v>27</v>
      </c>
      <c r="E444" s="6">
        <v>20700.0</v>
      </c>
    </row>
    <row r="445" ht="15.75" customHeight="1">
      <c r="A445" s="4"/>
      <c r="B445" s="4"/>
      <c r="C445" s="4" t="s">
        <v>5728</v>
      </c>
      <c r="D445" s="4" t="s">
        <v>27</v>
      </c>
      <c r="E445" s="6">
        <v>21000.0</v>
      </c>
    </row>
    <row r="446" ht="15.75" customHeight="1">
      <c r="A446" s="4"/>
      <c r="B446" s="4"/>
      <c r="C446" s="4" t="s">
        <v>5729</v>
      </c>
      <c r="D446" s="4" t="s">
        <v>27</v>
      </c>
      <c r="E446" s="6">
        <v>21300.0</v>
      </c>
    </row>
    <row r="447" ht="15.75" customHeight="1">
      <c r="A447" s="4"/>
      <c r="B447" s="4"/>
      <c r="C447" s="4" t="s">
        <v>5730</v>
      </c>
      <c r="D447" s="4" t="s">
        <v>27</v>
      </c>
      <c r="E447" s="6">
        <v>22000.0</v>
      </c>
    </row>
    <row r="448" ht="15.75" customHeight="1">
      <c r="A448" s="4"/>
      <c r="B448" s="4"/>
      <c r="C448" s="4" t="s">
        <v>5731</v>
      </c>
      <c r="D448" s="4" t="s">
        <v>27</v>
      </c>
      <c r="E448" s="6">
        <v>22500.0</v>
      </c>
    </row>
    <row r="449" ht="15.75" customHeight="1">
      <c r="A449" s="4"/>
      <c r="B449" s="4"/>
      <c r="C449" s="4" t="s">
        <v>5732</v>
      </c>
      <c r="D449" s="4" t="s">
        <v>27</v>
      </c>
      <c r="E449" s="6">
        <v>23000.0</v>
      </c>
    </row>
    <row r="450" ht="15.75" customHeight="1">
      <c r="A450" s="4"/>
      <c r="B450" s="4"/>
      <c r="C450" s="4" t="s">
        <v>5733</v>
      </c>
      <c r="D450" s="4" t="s">
        <v>27</v>
      </c>
      <c r="E450" s="6">
        <v>23100.0</v>
      </c>
    </row>
    <row r="451" ht="15.75" customHeight="1">
      <c r="A451" s="4"/>
      <c r="B451" s="4"/>
      <c r="C451" s="4" t="s">
        <v>5734</v>
      </c>
      <c r="D451" s="4" t="s">
        <v>27</v>
      </c>
      <c r="E451" s="6">
        <v>24000.0</v>
      </c>
    </row>
    <row r="452" ht="15.75" customHeight="1">
      <c r="A452" s="4"/>
      <c r="B452" s="4"/>
      <c r="C452" s="4" t="s">
        <v>5735</v>
      </c>
      <c r="D452" s="4" t="s">
        <v>27</v>
      </c>
      <c r="E452" s="6">
        <v>520000.0</v>
      </c>
    </row>
    <row r="453" ht="15.75" customHeight="1">
      <c r="A453" s="4"/>
      <c r="B453" s="4"/>
      <c r="C453" s="4" t="s">
        <v>5736</v>
      </c>
      <c r="D453" s="4" t="s">
        <v>27</v>
      </c>
      <c r="E453" s="6">
        <v>525000.0</v>
      </c>
    </row>
    <row r="454" ht="15.75" customHeight="1">
      <c r="A454" s="4"/>
      <c r="B454" s="4"/>
      <c r="C454" s="4" t="s">
        <v>5737</v>
      </c>
      <c r="D454" s="4" t="s">
        <v>27</v>
      </c>
      <c r="E454" s="6">
        <v>645000.0</v>
      </c>
    </row>
    <row r="455" ht="15.75" customHeight="1">
      <c r="A455" s="4"/>
      <c r="B455" s="4"/>
      <c r="C455" s="4" t="s">
        <v>5738</v>
      </c>
      <c r="D455" s="4" t="s">
        <v>27</v>
      </c>
      <c r="E455" s="6">
        <v>650000.0</v>
      </c>
    </row>
    <row r="456" ht="15.75" customHeight="1">
      <c r="A456" s="4"/>
      <c r="B456" s="4"/>
      <c r="C456" s="4" t="s">
        <v>5739</v>
      </c>
      <c r="D456" s="4" t="s">
        <v>27</v>
      </c>
      <c r="E456" s="6">
        <v>766000.0</v>
      </c>
    </row>
    <row r="457" ht="15.75" customHeight="1">
      <c r="A457" s="4"/>
      <c r="B457" s="4"/>
      <c r="C457" s="4" t="s">
        <v>5740</v>
      </c>
      <c r="D457" s="4" t="s">
        <v>27</v>
      </c>
      <c r="E457" s="6">
        <v>770000.0</v>
      </c>
    </row>
    <row r="458" ht="15.75" customHeight="1">
      <c r="A458" s="4"/>
      <c r="B458" s="4"/>
      <c r="C458" s="4" t="s">
        <v>5741</v>
      </c>
      <c r="D458" s="4" t="s">
        <v>27</v>
      </c>
      <c r="E458" s="6">
        <v>810000.0</v>
      </c>
    </row>
    <row r="459" ht="15.75" customHeight="1">
      <c r="A459" s="4"/>
      <c r="B459" s="4"/>
      <c r="C459" s="4" t="s">
        <v>5742</v>
      </c>
      <c r="D459" s="4" t="s">
        <v>27</v>
      </c>
      <c r="E459" s="6">
        <v>815000.0</v>
      </c>
    </row>
    <row r="460" ht="15.75" customHeight="1">
      <c r="A460" s="4"/>
      <c r="B460" s="4"/>
      <c r="C460" s="4" t="s">
        <v>5743</v>
      </c>
      <c r="D460" s="4" t="s">
        <v>27</v>
      </c>
      <c r="E460" s="6">
        <v>890000.0</v>
      </c>
    </row>
    <row r="461" ht="15.75" customHeight="1">
      <c r="A461" s="4"/>
      <c r="B461" s="4"/>
      <c r="C461" s="4" t="s">
        <v>5744</v>
      </c>
      <c r="D461" s="4" t="s">
        <v>27</v>
      </c>
      <c r="E461" s="6">
        <v>895000.0</v>
      </c>
    </row>
    <row r="462" ht="15.75" customHeight="1">
      <c r="A462" s="4"/>
      <c r="B462" s="4"/>
      <c r="C462" s="4" t="s">
        <v>5745</v>
      </c>
      <c r="D462" s="4" t="s">
        <v>27</v>
      </c>
      <c r="E462" s="6">
        <v>940000.0</v>
      </c>
    </row>
    <row r="463" ht="15.75" customHeight="1">
      <c r="A463" s="4"/>
      <c r="B463" s="4"/>
      <c r="C463" s="4" t="s">
        <v>5746</v>
      </c>
      <c r="D463" s="4" t="s">
        <v>27</v>
      </c>
      <c r="E463" s="6">
        <v>945000.0</v>
      </c>
    </row>
    <row r="464" ht="15.75" customHeight="1">
      <c r="A464" s="4"/>
      <c r="B464" s="4"/>
      <c r="C464" s="4" t="s">
        <v>5747</v>
      </c>
      <c r="D464" s="4" t="s">
        <v>27</v>
      </c>
      <c r="E464" s="6">
        <v>1050000.0</v>
      </c>
    </row>
    <row r="465" ht="15.75" customHeight="1">
      <c r="A465" s="4"/>
      <c r="B465" s="4"/>
      <c r="C465" s="4" t="s">
        <v>5748</v>
      </c>
      <c r="D465" s="4" t="s">
        <v>27</v>
      </c>
      <c r="E465" s="6">
        <v>1055000.0</v>
      </c>
    </row>
    <row r="466" ht="15.75" customHeight="1">
      <c r="A466" s="4"/>
      <c r="B466" s="4"/>
      <c r="C466" s="4" t="s">
        <v>5749</v>
      </c>
      <c r="D466" s="4" t="s">
        <v>27</v>
      </c>
      <c r="E466" s="6">
        <v>2300000.0</v>
      </c>
    </row>
    <row r="467" ht="15.75" customHeight="1">
      <c r="A467" s="4"/>
      <c r="B467" s="4"/>
      <c r="C467" s="4" t="s">
        <v>5750</v>
      </c>
      <c r="D467" s="4" t="s">
        <v>27</v>
      </c>
      <c r="E467" s="6">
        <v>2305000.0</v>
      </c>
    </row>
    <row r="468" ht="15.75" customHeight="1">
      <c r="A468" s="4"/>
      <c r="B468" s="4"/>
      <c r="C468" s="4" t="s">
        <v>5751</v>
      </c>
      <c r="D468" s="4" t="s">
        <v>27</v>
      </c>
      <c r="E468" s="6">
        <v>2450000.0</v>
      </c>
    </row>
    <row r="469" ht="15.75" customHeight="1">
      <c r="A469" s="4"/>
      <c r="B469" s="4"/>
      <c r="C469" s="4" t="s">
        <v>5752</v>
      </c>
      <c r="D469" s="4" t="s">
        <v>27</v>
      </c>
      <c r="E469" s="6">
        <v>2455000.0</v>
      </c>
    </row>
    <row r="470" ht="15.75" customHeight="1">
      <c r="A470" s="4"/>
      <c r="B470" s="4"/>
      <c r="C470" s="4" t="s">
        <v>5753</v>
      </c>
      <c r="D470" s="4" t="s">
        <v>27</v>
      </c>
      <c r="E470" s="6">
        <v>2560000.0</v>
      </c>
    </row>
    <row r="471" ht="15.75" customHeight="1">
      <c r="A471" s="4"/>
      <c r="B471" s="4"/>
      <c r="C471" s="4" t="s">
        <v>5754</v>
      </c>
      <c r="D471" s="4" t="s">
        <v>27</v>
      </c>
      <c r="E471" s="6">
        <v>2565000.0</v>
      </c>
    </row>
    <row r="472" ht="15.75" customHeight="1">
      <c r="A472" s="4"/>
      <c r="B472" s="4"/>
      <c r="C472" s="4" t="s">
        <v>5755</v>
      </c>
      <c r="D472" s="4" t="s">
        <v>27</v>
      </c>
      <c r="E472" s="6">
        <v>2650000.0</v>
      </c>
    </row>
    <row r="473" ht="15.75" customHeight="1">
      <c r="A473" s="4"/>
      <c r="B473" s="4"/>
      <c r="C473" s="4" t="s">
        <v>5756</v>
      </c>
      <c r="D473" s="4" t="s">
        <v>27</v>
      </c>
      <c r="E473" s="6">
        <v>2655000.0</v>
      </c>
    </row>
    <row r="474" ht="15.75" customHeight="1">
      <c r="A474" s="4"/>
      <c r="B474" s="4"/>
      <c r="C474" s="4" t="s">
        <v>5757</v>
      </c>
      <c r="D474" s="4" t="s">
        <v>27</v>
      </c>
      <c r="E474" s="6">
        <v>2790000.0</v>
      </c>
    </row>
    <row r="475" ht="15.75" customHeight="1">
      <c r="A475" s="4"/>
      <c r="B475" s="4"/>
      <c r="C475" s="4" t="s">
        <v>5758</v>
      </c>
      <c r="D475" s="4" t="s">
        <v>27</v>
      </c>
      <c r="E475" s="6">
        <v>2795000.0</v>
      </c>
    </row>
    <row r="476" ht="15.75" customHeight="1">
      <c r="A476" s="4"/>
      <c r="B476" s="4"/>
      <c r="C476" s="4" t="s">
        <v>5759</v>
      </c>
      <c r="D476" s="4" t="s">
        <v>27</v>
      </c>
      <c r="E476" s="6">
        <v>2950000.0</v>
      </c>
    </row>
    <row r="477" ht="15.75" customHeight="1">
      <c r="A477" s="4"/>
      <c r="B477" s="4"/>
      <c r="C477" s="4" t="s">
        <v>5760</v>
      </c>
      <c r="D477" s="4" t="s">
        <v>27</v>
      </c>
      <c r="E477" s="6">
        <v>2955000.0</v>
      </c>
    </row>
    <row r="478" ht="15.75" customHeight="1">
      <c r="A478" s="4"/>
      <c r="B478" s="4"/>
      <c r="C478" s="4" t="s">
        <v>5761</v>
      </c>
      <c r="D478" s="4" t="s">
        <v>27</v>
      </c>
      <c r="E478" s="6">
        <v>3110000.0</v>
      </c>
    </row>
    <row r="479" ht="15.75" customHeight="1">
      <c r="A479" s="4"/>
      <c r="B479" s="4"/>
      <c r="C479" s="4" t="s">
        <v>5762</v>
      </c>
      <c r="D479" s="4" t="s">
        <v>27</v>
      </c>
      <c r="E479" s="6">
        <v>3115000.0</v>
      </c>
    </row>
    <row r="480" ht="15.75" customHeight="1">
      <c r="A480" s="4"/>
      <c r="B480" s="4"/>
      <c r="C480" s="4" t="s">
        <v>5763</v>
      </c>
      <c r="D480" s="4" t="s">
        <v>27</v>
      </c>
      <c r="E480" s="6">
        <v>3230000.0</v>
      </c>
    </row>
    <row r="481" ht="15.75" customHeight="1">
      <c r="A481" s="4"/>
      <c r="B481" s="4"/>
      <c r="C481" s="4" t="s">
        <v>5764</v>
      </c>
      <c r="D481" s="4" t="s">
        <v>27</v>
      </c>
      <c r="E481" s="6">
        <v>3235000.0</v>
      </c>
    </row>
    <row r="482" ht="15.75" customHeight="1">
      <c r="A482" s="4"/>
      <c r="B482" s="4"/>
      <c r="C482" s="4" t="s">
        <v>5765</v>
      </c>
      <c r="D482" s="4" t="s">
        <v>27</v>
      </c>
      <c r="E482" s="6">
        <v>3350000.0</v>
      </c>
    </row>
    <row r="483" ht="15.75" customHeight="1">
      <c r="A483" s="4"/>
      <c r="B483" s="4"/>
      <c r="C483" s="4" t="s">
        <v>5766</v>
      </c>
      <c r="D483" s="4" t="s">
        <v>27</v>
      </c>
      <c r="E483" s="6">
        <v>3355000.0</v>
      </c>
    </row>
    <row r="484" ht="15.75" customHeight="1">
      <c r="A484" s="4" t="s">
        <v>5348</v>
      </c>
      <c r="B484" s="4"/>
      <c r="C484" s="4" t="s">
        <v>5767</v>
      </c>
      <c r="D484" s="4" t="s">
        <v>5403</v>
      </c>
      <c r="E484" s="6">
        <v>79700.0</v>
      </c>
    </row>
    <row r="485" ht="15.75" customHeight="1">
      <c r="A485" s="4" t="s">
        <v>5350</v>
      </c>
      <c r="B485" s="4"/>
      <c r="C485" s="4" t="s">
        <v>5768</v>
      </c>
      <c r="D485" s="4" t="s">
        <v>5403</v>
      </c>
      <c r="E485" s="6">
        <v>145400.0</v>
      </c>
    </row>
    <row r="486" ht="15.75" customHeight="1">
      <c r="A486" s="4" t="s">
        <v>5352</v>
      </c>
      <c r="B486" s="4"/>
      <c r="C486" s="4" t="s">
        <v>5769</v>
      </c>
      <c r="D486" s="4" t="s">
        <v>5403</v>
      </c>
      <c r="E486" s="6">
        <v>51600.0</v>
      </c>
    </row>
    <row r="487" ht="15.75" customHeight="1">
      <c r="A487" s="4" t="s">
        <v>5354</v>
      </c>
      <c r="B487" s="4"/>
      <c r="C487" s="4" t="s">
        <v>5770</v>
      </c>
      <c r="D487" s="4" t="s">
        <v>5403</v>
      </c>
      <c r="E487" s="6">
        <v>30700.0</v>
      </c>
    </row>
    <row r="488" ht="15.75" customHeight="1">
      <c r="A488" s="4" t="s">
        <v>5356</v>
      </c>
      <c r="B488" s="4"/>
      <c r="C488" s="4" t="s">
        <v>5771</v>
      </c>
      <c r="D488" s="4" t="s">
        <v>5403</v>
      </c>
      <c r="E488" s="6">
        <v>214900.0</v>
      </c>
    </row>
    <row r="489" ht="15.75" customHeight="1">
      <c r="A489" s="4" t="s">
        <v>5359</v>
      </c>
      <c r="B489" s="4"/>
      <c r="C489" s="4" t="s">
        <v>5772</v>
      </c>
      <c r="D489" s="4" t="s">
        <v>5403</v>
      </c>
      <c r="E489" s="6">
        <v>423300.0</v>
      </c>
    </row>
    <row r="490" ht="15.75" customHeight="1">
      <c r="A490" s="4" t="s">
        <v>5361</v>
      </c>
      <c r="B490" s="4"/>
      <c r="C490" s="4" t="s">
        <v>5773</v>
      </c>
      <c r="D490" s="4" t="s">
        <v>5403</v>
      </c>
      <c r="E490" s="6">
        <v>33400.0</v>
      </c>
    </row>
    <row r="491" ht="15.75" customHeight="1">
      <c r="A491" s="4" t="s">
        <v>5363</v>
      </c>
      <c r="B491" s="4"/>
      <c r="C491" s="4" t="s">
        <v>5774</v>
      </c>
      <c r="D491" s="4" t="s">
        <v>5403</v>
      </c>
      <c r="E491" s="6">
        <v>641300.0</v>
      </c>
    </row>
    <row r="492" ht="15.75" customHeight="1">
      <c r="A492" s="4" t="s">
        <v>5365</v>
      </c>
      <c r="B492" s="4"/>
      <c r="C492" s="4" t="s">
        <v>5775</v>
      </c>
      <c r="D492" s="4" t="s">
        <v>5403</v>
      </c>
      <c r="E492" s="6">
        <v>1823000.0</v>
      </c>
    </row>
    <row r="493" ht="15.75" customHeight="1">
      <c r="A493" s="4" t="s">
        <v>5367</v>
      </c>
      <c r="B493" s="4"/>
      <c r="C493" s="4" t="s">
        <v>5776</v>
      </c>
      <c r="D493" s="4" t="s">
        <v>5403</v>
      </c>
      <c r="E493" s="6">
        <v>2043200.0</v>
      </c>
    </row>
    <row r="494" ht="15.75" customHeight="1">
      <c r="A494" s="4"/>
      <c r="B494" s="4"/>
      <c r="C494" s="4" t="s">
        <v>5777</v>
      </c>
      <c r="D494" s="4"/>
      <c r="E494" s="6"/>
    </row>
    <row r="495" ht="15.75" customHeight="1">
      <c r="A495" s="4" t="s">
        <v>5212</v>
      </c>
      <c r="B495" s="4"/>
      <c r="C495" s="4" t="s">
        <v>5778</v>
      </c>
      <c r="D495" s="4" t="s">
        <v>27</v>
      </c>
      <c r="E495" s="6">
        <v>5500.0</v>
      </c>
    </row>
    <row r="496" ht="15.75" customHeight="1">
      <c r="A496" s="4" t="s">
        <v>353</v>
      </c>
      <c r="B496" s="4"/>
      <c r="C496" s="4" t="s">
        <v>5779</v>
      </c>
      <c r="D496" s="4" t="s">
        <v>5403</v>
      </c>
      <c r="E496" s="6">
        <v>405700.0</v>
      </c>
    </row>
    <row r="497" ht="15.75" customHeight="1">
      <c r="A497" s="4" t="s">
        <v>791</v>
      </c>
      <c r="B497" s="4"/>
      <c r="C497" s="4" t="s">
        <v>5780</v>
      </c>
      <c r="D497" s="4" t="s">
        <v>5403</v>
      </c>
      <c r="E497" s="6">
        <v>263000.0</v>
      </c>
    </row>
    <row r="498" ht="15.75" customHeight="1">
      <c r="A498" s="4" t="s">
        <v>1626</v>
      </c>
      <c r="B498" s="4"/>
      <c r="C498" s="4" t="s">
        <v>5781</v>
      </c>
      <c r="D498" s="4" t="s">
        <v>27</v>
      </c>
      <c r="E498" s="6">
        <v>24400.0</v>
      </c>
    </row>
    <row r="499" ht="15.75" customHeight="1">
      <c r="A499" s="4" t="s">
        <v>2310</v>
      </c>
      <c r="B499" s="4"/>
      <c r="C499" s="4" t="s">
        <v>5782</v>
      </c>
      <c r="D499" s="4" t="s">
        <v>5403</v>
      </c>
      <c r="E499" s="6">
        <v>550000.0</v>
      </c>
    </row>
    <row r="500" ht="15.75" customHeight="1">
      <c r="A500" s="4" t="s">
        <v>3568</v>
      </c>
      <c r="B500" s="4"/>
      <c r="C500" s="4" t="s">
        <v>5783</v>
      </c>
      <c r="D500" s="4" t="s">
        <v>5403</v>
      </c>
      <c r="E500" s="6">
        <v>1035100.0</v>
      </c>
    </row>
    <row r="501" ht="15.75" customHeight="1">
      <c r="A501" s="4" t="s">
        <v>4362</v>
      </c>
      <c r="B501" s="4"/>
      <c r="C501" s="4" t="s">
        <v>5784</v>
      </c>
      <c r="D501" s="4" t="s">
        <v>5403</v>
      </c>
      <c r="E501" s="6">
        <v>181200.0</v>
      </c>
    </row>
    <row r="502" ht="15.75" customHeight="1">
      <c r="A502" s="4" t="s">
        <v>4423</v>
      </c>
      <c r="B502" s="4"/>
      <c r="C502" s="4" t="s">
        <v>5785</v>
      </c>
      <c r="D502" s="4" t="s">
        <v>5403</v>
      </c>
      <c r="E502" s="6">
        <v>1475300.0</v>
      </c>
    </row>
    <row r="503" ht="15.75" customHeight="1">
      <c r="A503" s="4" t="s">
        <v>4626</v>
      </c>
      <c r="B503" s="4"/>
      <c r="C503" s="4" t="s">
        <v>5786</v>
      </c>
      <c r="D503" s="4" t="s">
        <v>27</v>
      </c>
      <c r="E503" s="6">
        <v>44800.0</v>
      </c>
    </row>
    <row r="504" ht="15.75" customHeight="1">
      <c r="A504" s="4" t="s">
        <v>5171</v>
      </c>
      <c r="B504" s="4"/>
      <c r="C504" s="4" t="s">
        <v>5787</v>
      </c>
      <c r="D504" s="4" t="s">
        <v>27</v>
      </c>
      <c r="E504" s="6">
        <v>92400.0</v>
      </c>
    </row>
    <row r="505" ht="15.75" customHeight="1">
      <c r="A505" s="4" t="s">
        <v>5229</v>
      </c>
      <c r="B505" s="4"/>
      <c r="C505" s="4" t="s">
        <v>5788</v>
      </c>
      <c r="D505" s="4" t="s">
        <v>5403</v>
      </c>
      <c r="E505" s="6">
        <v>461800.0</v>
      </c>
    </row>
    <row r="506" ht="15.75" customHeight="1">
      <c r="A506" s="4" t="s">
        <v>5231</v>
      </c>
      <c r="B506" s="4"/>
      <c r="C506" s="4" t="s">
        <v>5789</v>
      </c>
      <c r="D506" s="4" t="s">
        <v>5403</v>
      </c>
      <c r="E506" s="6">
        <v>266100.0</v>
      </c>
    </row>
    <row r="507" ht="15.75" customHeight="1">
      <c r="A507" s="4" t="s">
        <v>5233</v>
      </c>
      <c r="B507" s="4"/>
      <c r="C507" s="4" t="s">
        <v>5790</v>
      </c>
      <c r="D507" s="4" t="s">
        <v>5403</v>
      </c>
      <c r="E507" s="6">
        <v>132500.0</v>
      </c>
    </row>
    <row r="508" ht="15.75" customHeight="1">
      <c r="A508" s="4" t="s">
        <v>5235</v>
      </c>
      <c r="B508" s="4"/>
      <c r="C508" s="4" t="s">
        <v>5791</v>
      </c>
      <c r="D508" s="4" t="s">
        <v>5403</v>
      </c>
      <c r="E508" s="6">
        <v>528600.0</v>
      </c>
    </row>
    <row r="509" ht="15.75" customHeight="1">
      <c r="A509" s="4" t="s">
        <v>5237</v>
      </c>
      <c r="B509" s="4"/>
      <c r="C509" s="4" t="s">
        <v>5792</v>
      </c>
      <c r="D509" s="4" t="s">
        <v>5403</v>
      </c>
      <c r="E509" s="6">
        <v>1021000.0</v>
      </c>
    </row>
    <row r="510" ht="15.75" customHeight="1">
      <c r="A510" s="4" t="s">
        <v>5272</v>
      </c>
      <c r="B510" s="4"/>
      <c r="C510" s="4" t="s">
        <v>5793</v>
      </c>
      <c r="D510" s="4" t="s">
        <v>5403</v>
      </c>
      <c r="E510" s="6">
        <v>177900.0</v>
      </c>
    </row>
    <row r="511" ht="15.75" customHeight="1">
      <c r="A511" s="4" t="s">
        <v>5274</v>
      </c>
      <c r="B511" s="4"/>
      <c r="C511" s="4" t="s">
        <v>5794</v>
      </c>
      <c r="D511" s="4" t="s">
        <v>5403</v>
      </c>
      <c r="E511" s="6">
        <v>1487200.0</v>
      </c>
    </row>
    <row r="512" ht="15.75" customHeight="1">
      <c r="A512" s="4" t="s">
        <v>5276</v>
      </c>
      <c r="B512" s="4"/>
      <c r="C512" s="4" t="s">
        <v>5795</v>
      </c>
      <c r="D512" s="4" t="s">
        <v>5403</v>
      </c>
      <c r="E512" s="6">
        <v>1981200.0</v>
      </c>
    </row>
    <row r="513" ht="15.75" customHeight="1">
      <c r="A513" s="4" t="s">
        <v>5278</v>
      </c>
      <c r="B513" s="4"/>
      <c r="C513" s="4" t="s">
        <v>5796</v>
      </c>
      <c r="D513" s="4" t="s">
        <v>5403</v>
      </c>
      <c r="E513" s="6">
        <v>1558300.0</v>
      </c>
    </row>
    <row r="514" ht="15.75" customHeight="1">
      <c r="A514" s="4" t="s">
        <v>5280</v>
      </c>
      <c r="B514" s="4"/>
      <c r="C514" s="4" t="s">
        <v>5797</v>
      </c>
      <c r="D514" s="4" t="s">
        <v>5403</v>
      </c>
      <c r="E514" s="6">
        <v>2267400.0</v>
      </c>
    </row>
    <row r="515" ht="15.75" customHeight="1">
      <c r="A515" s="4" t="s">
        <v>5250</v>
      </c>
      <c r="B515" s="4"/>
      <c r="C515" s="4" t="s">
        <v>5798</v>
      </c>
      <c r="D515" s="4" t="s">
        <v>5403</v>
      </c>
      <c r="E515" s="6">
        <v>598800.0</v>
      </c>
    </row>
    <row r="516" ht="15.75" customHeight="1">
      <c r="A516" s="4" t="s">
        <v>5268</v>
      </c>
      <c r="B516" s="4"/>
      <c r="C516" s="4" t="s">
        <v>5799</v>
      </c>
      <c r="D516" s="4" t="s">
        <v>5403</v>
      </c>
      <c r="E516" s="6">
        <v>2031000.0</v>
      </c>
    </row>
    <row r="517" ht="15.75" customHeight="1">
      <c r="A517" s="4" t="s">
        <v>5282</v>
      </c>
      <c r="B517" s="4"/>
      <c r="C517" s="4" t="s">
        <v>5800</v>
      </c>
      <c r="D517" s="4" t="s">
        <v>5403</v>
      </c>
      <c r="E517" s="6">
        <v>2451200.0</v>
      </c>
    </row>
    <row r="518" ht="15.75" customHeight="1">
      <c r="A518" s="4" t="s">
        <v>5256</v>
      </c>
      <c r="B518" s="4"/>
      <c r="C518" s="4" t="s">
        <v>5801</v>
      </c>
      <c r="D518" s="4" t="s">
        <v>5403</v>
      </c>
      <c r="E518" s="6">
        <v>3466200.0</v>
      </c>
    </row>
    <row r="519" ht="15.75" customHeight="1">
      <c r="A519" s="4"/>
      <c r="B519" s="4"/>
      <c r="C519" s="4" t="s">
        <v>5802</v>
      </c>
      <c r="D519" s="4" t="s">
        <v>27</v>
      </c>
      <c r="E519" s="6">
        <v>82466.66666666667</v>
      </c>
    </row>
    <row r="520" ht="15.75" customHeight="1">
      <c r="A520" s="4"/>
      <c r="B520" s="4"/>
      <c r="C520" s="4" t="s">
        <v>5803</v>
      </c>
      <c r="D520" s="4" t="s">
        <v>27</v>
      </c>
      <c r="E520" s="6">
        <v>82500.0</v>
      </c>
    </row>
    <row r="521" ht="15.75" customHeight="1">
      <c r="A521" s="4"/>
      <c r="B521" s="4"/>
      <c r="C521" s="4" t="s">
        <v>5804</v>
      </c>
      <c r="D521" s="4" t="s">
        <v>27</v>
      </c>
      <c r="E521" s="6">
        <v>80633.33333333331</v>
      </c>
    </row>
    <row r="522" ht="15.75" customHeight="1">
      <c r="A522" s="4"/>
      <c r="B522" s="4"/>
      <c r="C522" s="4" t="s">
        <v>5805</v>
      </c>
      <c r="D522" s="4" t="s">
        <v>27</v>
      </c>
      <c r="E522" s="6">
        <v>81000.0</v>
      </c>
    </row>
    <row r="523" ht="15.75" customHeight="1">
      <c r="A523" s="4"/>
      <c r="B523" s="4"/>
      <c r="C523" s="4" t="s">
        <v>5806</v>
      </c>
      <c r="D523" s="4" t="s">
        <v>27</v>
      </c>
      <c r="E523" s="6">
        <v>49850.0</v>
      </c>
    </row>
    <row r="524" ht="15.75" customHeight="1">
      <c r="A524" s="4"/>
      <c r="B524" s="4"/>
      <c r="C524" s="4" t="s">
        <v>5807</v>
      </c>
      <c r="D524" s="4" t="s">
        <v>27</v>
      </c>
      <c r="E524" s="6">
        <v>50000.0</v>
      </c>
    </row>
    <row r="525" ht="15.75" customHeight="1">
      <c r="A525" s="4"/>
      <c r="B525" s="4"/>
      <c r="C525" s="4" t="s">
        <v>5808</v>
      </c>
      <c r="D525" s="4" t="s">
        <v>27</v>
      </c>
      <c r="E525" s="6">
        <v>27583.33333333333</v>
      </c>
    </row>
    <row r="526" ht="15.75" customHeight="1">
      <c r="A526" s="4"/>
      <c r="B526" s="4"/>
      <c r="C526" s="4" t="s">
        <v>5809</v>
      </c>
      <c r="D526" s="4" t="s">
        <v>27</v>
      </c>
      <c r="E526" s="6">
        <v>28000.0</v>
      </c>
    </row>
    <row r="527" ht="15.75" customHeight="1">
      <c r="A527" s="4"/>
      <c r="B527" s="4"/>
      <c r="C527" s="4" t="s">
        <v>5810</v>
      </c>
      <c r="D527" s="4" t="s">
        <v>27</v>
      </c>
      <c r="E527" s="6">
        <v>93600.0</v>
      </c>
    </row>
    <row r="528" ht="15.75" customHeight="1">
      <c r="A528" s="4"/>
      <c r="B528" s="4"/>
      <c r="C528" s="4" t="s">
        <v>5811</v>
      </c>
      <c r="D528" s="4" t="s">
        <v>27</v>
      </c>
      <c r="E528" s="6">
        <v>94000.0</v>
      </c>
    </row>
    <row r="529" ht="15.75" customHeight="1">
      <c r="A529" s="4"/>
      <c r="B529" s="4"/>
      <c r="C529" s="4" t="s">
        <v>5812</v>
      </c>
      <c r="D529" s="4" t="s">
        <v>27</v>
      </c>
      <c r="E529" s="6">
        <v>94666.66666666669</v>
      </c>
    </row>
    <row r="530" ht="15.75" customHeight="1">
      <c r="A530" s="4"/>
      <c r="B530" s="4"/>
      <c r="C530" s="4" t="s">
        <v>5813</v>
      </c>
      <c r="D530" s="4" t="s">
        <v>27</v>
      </c>
      <c r="E530" s="6">
        <v>95000.0</v>
      </c>
    </row>
    <row r="531" ht="15.75" customHeight="1">
      <c r="A531" s="4"/>
      <c r="B531" s="4"/>
      <c r="C531" s="4" t="s">
        <v>5814</v>
      </c>
      <c r="D531" s="4" t="s">
        <v>27</v>
      </c>
      <c r="E531" s="6">
        <v>175666.6666666667</v>
      </c>
    </row>
    <row r="532" ht="15.75" customHeight="1">
      <c r="A532" s="4"/>
      <c r="B532" s="4"/>
      <c r="C532" s="4" t="s">
        <v>5815</v>
      </c>
      <c r="D532" s="4" t="s">
        <v>27</v>
      </c>
      <c r="E532" s="6">
        <v>176000.0</v>
      </c>
    </row>
    <row r="533" ht="15.75" customHeight="1">
      <c r="A533" s="4"/>
      <c r="B533" s="4"/>
      <c r="C533" s="4" t="s">
        <v>5816</v>
      </c>
      <c r="D533" s="4" t="s">
        <v>27</v>
      </c>
      <c r="E533" s="6">
        <v>35150.0</v>
      </c>
    </row>
    <row r="534" ht="15.75" customHeight="1">
      <c r="A534" s="4"/>
      <c r="B534" s="4"/>
      <c r="C534" s="4" t="s">
        <v>5817</v>
      </c>
      <c r="D534" s="4" t="s">
        <v>27</v>
      </c>
      <c r="E534" s="6">
        <v>36000.0</v>
      </c>
    </row>
    <row r="535" ht="15.75" customHeight="1">
      <c r="A535" s="4"/>
      <c r="B535" s="4"/>
      <c r="C535" s="4" t="s">
        <v>5818</v>
      </c>
      <c r="D535" s="4" t="s">
        <v>27</v>
      </c>
      <c r="E535" s="6">
        <v>253366.6666666666</v>
      </c>
    </row>
    <row r="536" ht="15.75" customHeight="1">
      <c r="A536" s="4"/>
      <c r="B536" s="4"/>
      <c r="C536" s="4" t="s">
        <v>5819</v>
      </c>
      <c r="D536" s="4" t="s">
        <v>27</v>
      </c>
      <c r="E536" s="6">
        <v>253500.0</v>
      </c>
    </row>
    <row r="537" ht="15.75" customHeight="1">
      <c r="A537" s="4"/>
      <c r="B537" s="4"/>
      <c r="C537" s="4" t="s">
        <v>5820</v>
      </c>
      <c r="D537" s="4" t="s">
        <v>27</v>
      </c>
      <c r="E537" s="6">
        <v>335700.0</v>
      </c>
    </row>
    <row r="538" ht="15.75" customHeight="1">
      <c r="A538" s="4"/>
      <c r="B538" s="4"/>
      <c r="C538" s="4" t="s">
        <v>5821</v>
      </c>
      <c r="D538" s="4" t="s">
        <v>27</v>
      </c>
      <c r="E538" s="6">
        <v>336000.0</v>
      </c>
    </row>
    <row r="539" ht="15.75" customHeight="1">
      <c r="A539" s="4"/>
      <c r="B539" s="4"/>
      <c r="C539" s="4" t="s">
        <v>5822</v>
      </c>
      <c r="D539" s="4" t="s">
        <v>27</v>
      </c>
      <c r="E539" s="6">
        <v>265216.6666666666</v>
      </c>
    </row>
    <row r="540" ht="15.75" customHeight="1">
      <c r="A540" s="4"/>
      <c r="B540" s="4"/>
      <c r="C540" s="4" t="s">
        <v>5823</v>
      </c>
      <c r="D540" s="4" t="s">
        <v>27</v>
      </c>
      <c r="E540" s="6">
        <v>266000.0</v>
      </c>
    </row>
    <row r="541" ht="15.75" customHeight="1">
      <c r="A541" s="4"/>
      <c r="B541" s="4"/>
      <c r="C541" s="4" t="s">
        <v>5824</v>
      </c>
      <c r="D541" s="4" t="s">
        <v>27</v>
      </c>
      <c r="E541" s="6">
        <v>383400.0</v>
      </c>
    </row>
    <row r="542" ht="15.75" customHeight="1">
      <c r="A542" s="4"/>
      <c r="B542" s="4"/>
      <c r="C542" s="4" t="s">
        <v>5825</v>
      </c>
      <c r="D542" s="4" t="s">
        <v>27</v>
      </c>
      <c r="E542" s="6">
        <v>384000.0</v>
      </c>
    </row>
    <row r="543" ht="15.75" customHeight="1">
      <c r="A543" s="4"/>
      <c r="B543" s="4"/>
      <c r="C543" s="4" t="s">
        <v>5826</v>
      </c>
      <c r="D543" s="4" t="s">
        <v>27</v>
      </c>
      <c r="E543" s="6">
        <v>390500.0</v>
      </c>
    </row>
    <row r="544" ht="15.75" customHeight="1">
      <c r="A544" s="4"/>
      <c r="B544" s="4"/>
      <c r="C544" s="4" t="s">
        <v>5827</v>
      </c>
      <c r="D544" s="4" t="s">
        <v>27</v>
      </c>
      <c r="E544" s="6">
        <v>391000.0</v>
      </c>
    </row>
    <row r="545" ht="15.75" customHeight="1">
      <c r="A545" s="4"/>
      <c r="B545" s="4"/>
      <c r="C545" s="4" t="s">
        <v>5828</v>
      </c>
      <c r="D545" s="4" t="s">
        <v>27</v>
      </c>
      <c r="E545" s="6">
        <v>399500.0</v>
      </c>
    </row>
    <row r="546" ht="15.75" customHeight="1">
      <c r="A546" s="4"/>
      <c r="B546" s="4"/>
      <c r="C546" s="4" t="s">
        <v>5829</v>
      </c>
      <c r="D546" s="4" t="s">
        <v>27</v>
      </c>
      <c r="E546" s="6">
        <v>340000.0</v>
      </c>
    </row>
    <row r="547" ht="15.75" customHeight="1">
      <c r="A547" s="4"/>
      <c r="B547" s="4"/>
      <c r="C547" s="4" t="s">
        <v>5830</v>
      </c>
      <c r="D547" s="4" t="s">
        <v>27</v>
      </c>
      <c r="E547" s="6">
        <v>410500.0</v>
      </c>
    </row>
    <row r="548" ht="15.75" customHeight="1">
      <c r="A548" s="4"/>
      <c r="B548" s="4"/>
      <c r="C548" s="4" t="s">
        <v>5831</v>
      </c>
      <c r="D548" s="4" t="s">
        <v>27</v>
      </c>
      <c r="E548" s="6">
        <v>411000.0</v>
      </c>
    </row>
    <row r="549" ht="15.75" customHeight="1">
      <c r="A549" s="4"/>
      <c r="B549" s="4"/>
      <c r="C549" s="4" t="s">
        <v>5832</v>
      </c>
      <c r="D549" s="4" t="s">
        <v>27</v>
      </c>
      <c r="E549" s="6">
        <v>417500.0</v>
      </c>
    </row>
    <row r="550" ht="15.75" customHeight="1">
      <c r="A550" s="4"/>
      <c r="B550" s="4"/>
      <c r="C550" s="4" t="s">
        <v>5833</v>
      </c>
      <c r="D550" s="4" t="s">
        <v>27</v>
      </c>
      <c r="E550" s="6">
        <v>418000.0</v>
      </c>
    </row>
    <row r="551" ht="15.75" customHeight="1">
      <c r="A551" s="4"/>
      <c r="B551" s="4"/>
      <c r="C551" s="4" t="s">
        <v>5834</v>
      </c>
      <c r="D551" s="4" t="s">
        <v>27</v>
      </c>
      <c r="E551" s="6">
        <v>39666.66666666666</v>
      </c>
    </row>
    <row r="552" ht="15.75" customHeight="1">
      <c r="A552" s="4"/>
      <c r="B552" s="4"/>
      <c r="C552" s="4" t="s">
        <v>5835</v>
      </c>
      <c r="D552" s="4" t="s">
        <v>27</v>
      </c>
      <c r="E552" s="6">
        <v>40000.0</v>
      </c>
    </row>
    <row r="553" ht="15.75" customHeight="1">
      <c r="A553" s="4"/>
      <c r="B553" s="4"/>
      <c r="C553" s="4" t="s">
        <v>5836</v>
      </c>
      <c r="D553" s="4" t="s">
        <v>27</v>
      </c>
      <c r="E553" s="6">
        <v>47666.66666666666</v>
      </c>
    </row>
    <row r="554" ht="15.75" customHeight="1">
      <c r="A554" s="4"/>
      <c r="B554" s="4"/>
      <c r="C554" s="4" t="s">
        <v>5837</v>
      </c>
      <c r="D554" s="4" t="s">
        <v>27</v>
      </c>
      <c r="E554" s="6">
        <v>48000.0</v>
      </c>
    </row>
    <row r="555" ht="15.75" customHeight="1">
      <c r="A555" s="4"/>
      <c r="B555" s="4"/>
      <c r="C555" s="4" t="s">
        <v>5838</v>
      </c>
      <c r="D555" s="4" t="s">
        <v>27</v>
      </c>
      <c r="E555" s="6">
        <v>66333.33333333334</v>
      </c>
    </row>
    <row r="556" ht="15.75" customHeight="1">
      <c r="A556" s="4"/>
      <c r="B556" s="4"/>
      <c r="C556" s="4" t="s">
        <v>5839</v>
      </c>
      <c r="D556" s="4" t="s">
        <v>27</v>
      </c>
      <c r="E556" s="6">
        <v>66500.0</v>
      </c>
    </row>
    <row r="557" ht="15.75" customHeight="1">
      <c r="A557" s="4"/>
      <c r="B557" s="4"/>
      <c r="C557" s="4" t="s">
        <v>5840</v>
      </c>
      <c r="D557" s="4" t="s">
        <v>27</v>
      </c>
      <c r="E557" s="6">
        <v>88000.0</v>
      </c>
    </row>
    <row r="558" ht="15.75" customHeight="1">
      <c r="A558" s="4"/>
      <c r="B558" s="4"/>
      <c r="C558" s="4" t="s">
        <v>5841</v>
      </c>
      <c r="D558" s="4" t="s">
        <v>27</v>
      </c>
      <c r="E558" s="6">
        <v>88500.0</v>
      </c>
    </row>
    <row r="559" ht="15.75" customHeight="1">
      <c r="A559" s="4"/>
      <c r="B559" s="4"/>
      <c r="C559" s="4" t="s">
        <v>5842</v>
      </c>
      <c r="D559" s="4" t="s">
        <v>27</v>
      </c>
      <c r="E559" s="6">
        <v>102500.0</v>
      </c>
    </row>
    <row r="560" ht="15.75" customHeight="1">
      <c r="A560" s="4"/>
      <c r="B560" s="4"/>
      <c r="C560" s="4" t="s">
        <v>5843</v>
      </c>
      <c r="D560" s="4" t="s">
        <v>27</v>
      </c>
      <c r="E560" s="6">
        <v>103000.0</v>
      </c>
    </row>
    <row r="561" ht="15.75" customHeight="1">
      <c r="A561" s="4"/>
      <c r="B561" s="4"/>
      <c r="C561" s="4" t="s">
        <v>5844</v>
      </c>
      <c r="D561" s="4" t="s">
        <v>27</v>
      </c>
      <c r="E561" s="6">
        <v>188833.3333333333</v>
      </c>
    </row>
    <row r="562" ht="15.75" customHeight="1">
      <c r="A562" s="4"/>
      <c r="B562" s="4"/>
      <c r="C562" s="4" t="s">
        <v>5845</v>
      </c>
      <c r="D562" s="4" t="s">
        <v>27</v>
      </c>
      <c r="E562" s="6">
        <v>189000.0</v>
      </c>
    </row>
    <row r="563" ht="15.75" customHeight="1">
      <c r="A563" s="4"/>
      <c r="B563" s="4"/>
      <c r="C563" s="4" t="s">
        <v>5846</v>
      </c>
      <c r="D563" s="4" t="s">
        <v>27</v>
      </c>
      <c r="E563" s="6">
        <v>205500.0</v>
      </c>
    </row>
    <row r="564" ht="15.75" customHeight="1">
      <c r="A564" s="4"/>
      <c r="B564" s="4"/>
      <c r="C564" s="4" t="s">
        <v>5847</v>
      </c>
      <c r="D564" s="4" t="s">
        <v>27</v>
      </c>
      <c r="E564" s="6">
        <v>206000.0</v>
      </c>
    </row>
    <row r="565" ht="15.75" customHeight="1">
      <c r="A565" s="4"/>
      <c r="B565" s="4"/>
      <c r="C565" s="4" t="s">
        <v>5848</v>
      </c>
      <c r="D565" s="4" t="s">
        <v>27</v>
      </c>
      <c r="E565" s="6">
        <v>359666.6666666667</v>
      </c>
    </row>
    <row r="566" ht="15.75" customHeight="1">
      <c r="A566" s="4"/>
      <c r="B566" s="4"/>
      <c r="C566" s="4" t="s">
        <v>5849</v>
      </c>
      <c r="D566" s="4" t="s">
        <v>27</v>
      </c>
      <c r="E566" s="6">
        <v>360000.0</v>
      </c>
    </row>
    <row r="567" ht="15.75" customHeight="1">
      <c r="A567" s="4"/>
      <c r="B567" s="4"/>
      <c r="C567" s="4" t="s">
        <v>5850</v>
      </c>
      <c r="D567" s="4" t="s">
        <v>27</v>
      </c>
      <c r="E567" s="6">
        <v>380500.0</v>
      </c>
    </row>
    <row r="568" ht="15.75" customHeight="1">
      <c r="A568" s="4"/>
      <c r="B568" s="4"/>
      <c r="C568" s="4" t="s">
        <v>5851</v>
      </c>
      <c r="D568" s="4" t="s">
        <v>27</v>
      </c>
      <c r="E568" s="6">
        <v>381000.0</v>
      </c>
    </row>
    <row r="569" ht="15.75" customHeight="1">
      <c r="A569" s="4"/>
      <c r="B569" s="4"/>
      <c r="C569" s="4" t="s">
        <v>5852</v>
      </c>
      <c r="D569" s="4" t="s">
        <v>27</v>
      </c>
      <c r="E569" s="6">
        <v>505500.0</v>
      </c>
    </row>
    <row r="570" ht="15.75" customHeight="1">
      <c r="A570" s="4"/>
      <c r="B570" s="4"/>
      <c r="C570" s="4" t="s">
        <v>5853</v>
      </c>
      <c r="D570" s="4" t="s">
        <v>27</v>
      </c>
      <c r="E570" s="6">
        <v>502000.0</v>
      </c>
    </row>
    <row r="571" ht="15.75" customHeight="1">
      <c r="A571" s="4"/>
      <c r="B571" s="4"/>
      <c r="C571" s="4" t="s">
        <v>5854</v>
      </c>
      <c r="D571" s="4" t="s">
        <v>27</v>
      </c>
      <c r="E571" s="6">
        <v>635500.0</v>
      </c>
    </row>
    <row r="572" ht="15.75" customHeight="1">
      <c r="A572" s="4"/>
      <c r="B572" s="4"/>
      <c r="C572" s="4" t="s">
        <v>5855</v>
      </c>
      <c r="D572" s="4" t="s">
        <v>27</v>
      </c>
      <c r="E572" s="6">
        <v>636000.0</v>
      </c>
    </row>
    <row r="573" ht="15.75" customHeight="1">
      <c r="A573" s="4"/>
      <c r="B573" s="4"/>
      <c r="C573" s="4" t="s">
        <v>5856</v>
      </c>
      <c r="D573" s="4" t="s">
        <v>27</v>
      </c>
      <c r="E573" s="6">
        <v>987166.6666666665</v>
      </c>
    </row>
    <row r="574" ht="15.75" customHeight="1">
      <c r="A574" s="4"/>
      <c r="B574" s="4"/>
      <c r="C574" s="4" t="s">
        <v>5857</v>
      </c>
      <c r="D574" s="4" t="s">
        <v>27</v>
      </c>
      <c r="E574" s="6">
        <v>987500.0</v>
      </c>
    </row>
    <row r="575" ht="15.75" customHeight="1">
      <c r="A575" s="4"/>
      <c r="B575" s="4"/>
      <c r="C575" s="4" t="s">
        <v>5858</v>
      </c>
      <c r="D575" s="4" t="s">
        <v>27</v>
      </c>
      <c r="E575" s="6">
        <v>1322166.666666667</v>
      </c>
    </row>
    <row r="576" ht="15.75" customHeight="1">
      <c r="A576" s="4"/>
      <c r="B576" s="4"/>
      <c r="C576" s="4" t="s">
        <v>5859</v>
      </c>
      <c r="D576" s="4" t="s">
        <v>27</v>
      </c>
      <c r="E576" s="6">
        <v>1322500.0</v>
      </c>
    </row>
    <row r="577" ht="15.75" customHeight="1">
      <c r="A577" s="4"/>
      <c r="B577" s="4"/>
      <c r="C577" s="4" t="s">
        <v>5860</v>
      </c>
      <c r="D577" s="4" t="s">
        <v>27</v>
      </c>
      <c r="E577" s="6">
        <v>1405500.0</v>
      </c>
    </row>
    <row r="578" ht="15.75" customHeight="1">
      <c r="A578" s="4"/>
      <c r="B578" s="4"/>
      <c r="C578" s="4" t="s">
        <v>5861</v>
      </c>
      <c r="D578" s="4" t="s">
        <v>27</v>
      </c>
      <c r="E578" s="6">
        <v>1406000.0</v>
      </c>
    </row>
    <row r="579" ht="15.75" customHeight="1">
      <c r="A579" s="4"/>
      <c r="B579" s="4"/>
      <c r="C579" s="4" t="s">
        <v>5862</v>
      </c>
      <c r="D579" s="4" t="s">
        <v>27</v>
      </c>
      <c r="E579" s="6">
        <v>1463833.333333333</v>
      </c>
    </row>
    <row r="580" ht="15.75" customHeight="1">
      <c r="A580" s="4"/>
      <c r="B580" s="4"/>
      <c r="C580" s="4" t="s">
        <v>5863</v>
      </c>
      <c r="D580" s="4" t="s">
        <v>27</v>
      </c>
      <c r="E580" s="6">
        <v>1464000.0</v>
      </c>
    </row>
    <row r="581" ht="15.75" customHeight="1">
      <c r="A581" s="4"/>
      <c r="B581" s="4"/>
      <c r="C581" s="4" t="s">
        <v>5864</v>
      </c>
      <c r="D581" s="4" t="s">
        <v>27</v>
      </c>
      <c r="E581" s="6">
        <v>1501666.666666667</v>
      </c>
    </row>
    <row r="582" ht="15.75" customHeight="1">
      <c r="A582" s="4"/>
      <c r="B582" s="4"/>
      <c r="C582" s="4" t="s">
        <v>5865</v>
      </c>
      <c r="D582" s="4" t="s">
        <v>27</v>
      </c>
      <c r="E582" s="6">
        <v>1502000.0</v>
      </c>
    </row>
    <row r="583" ht="15.75" customHeight="1">
      <c r="A583" s="4"/>
      <c r="B583" s="4"/>
      <c r="C583" s="4" t="s">
        <v>5866</v>
      </c>
      <c r="D583" s="4" t="s">
        <v>27</v>
      </c>
      <c r="E583" s="6">
        <v>16050.0</v>
      </c>
    </row>
    <row r="584" ht="15.75" customHeight="1">
      <c r="A584" s="4"/>
      <c r="B584" s="4"/>
      <c r="C584" s="4" t="s">
        <v>5867</v>
      </c>
      <c r="D584" s="4" t="s">
        <v>27</v>
      </c>
      <c r="E584" s="6">
        <v>16100.0</v>
      </c>
    </row>
    <row r="585" ht="15.75" customHeight="1">
      <c r="A585" s="4"/>
      <c r="B585" s="4"/>
      <c r="C585" s="4" t="s">
        <v>5868</v>
      </c>
      <c r="D585" s="4" t="s">
        <v>27</v>
      </c>
      <c r="E585" s="6">
        <v>19475.0</v>
      </c>
    </row>
    <row r="586" ht="15.75" customHeight="1">
      <c r="A586" s="4"/>
      <c r="B586" s="4"/>
      <c r="C586" s="4" t="s">
        <v>5869</v>
      </c>
      <c r="D586" s="4" t="s">
        <v>27</v>
      </c>
      <c r="E586" s="6">
        <v>19700.0</v>
      </c>
    </row>
    <row r="587" ht="15.75" customHeight="1">
      <c r="A587" s="4"/>
      <c r="B587" s="4"/>
      <c r="C587" s="4" t="s">
        <v>5870</v>
      </c>
      <c r="D587" s="4" t="s">
        <v>27</v>
      </c>
      <c r="E587" s="6">
        <v>28275.0</v>
      </c>
    </row>
    <row r="588" ht="15.75" customHeight="1">
      <c r="A588" s="4"/>
      <c r="B588" s="4"/>
      <c r="C588" s="4" t="s">
        <v>5871</v>
      </c>
      <c r="D588" s="4" t="s">
        <v>27</v>
      </c>
      <c r="E588" s="6">
        <v>28500.0</v>
      </c>
    </row>
    <row r="589" ht="15.75" customHeight="1">
      <c r="A589" s="4"/>
      <c r="B589" s="4"/>
      <c r="C589" s="4" t="s">
        <v>5872</v>
      </c>
      <c r="D589" s="4" t="s">
        <v>27</v>
      </c>
      <c r="E589" s="6">
        <v>41875.0</v>
      </c>
    </row>
    <row r="590" ht="15.75" customHeight="1">
      <c r="A590" s="4"/>
      <c r="B590" s="4"/>
      <c r="C590" s="4" t="s">
        <v>5873</v>
      </c>
      <c r="D590" s="4" t="s">
        <v>27</v>
      </c>
      <c r="E590" s="6">
        <v>42000.0</v>
      </c>
    </row>
    <row r="591" ht="15.75" customHeight="1">
      <c r="A591" s="4"/>
      <c r="B591" s="4"/>
      <c r="C591" s="4" t="s">
        <v>5874</v>
      </c>
      <c r="D591" s="4" t="s">
        <v>27</v>
      </c>
      <c r="E591" s="6">
        <v>62175.0</v>
      </c>
    </row>
    <row r="592" ht="15.75" customHeight="1">
      <c r="A592" s="4"/>
      <c r="B592" s="4"/>
      <c r="C592" s="4" t="s">
        <v>5875</v>
      </c>
      <c r="D592" s="4" t="s">
        <v>27</v>
      </c>
      <c r="E592" s="6">
        <v>62500.0</v>
      </c>
    </row>
    <row r="593" ht="15.75" customHeight="1">
      <c r="A593" s="4"/>
      <c r="B593" s="4"/>
      <c r="C593" s="4" t="s">
        <v>5876</v>
      </c>
      <c r="D593" s="4" t="s">
        <v>27</v>
      </c>
      <c r="E593" s="6">
        <v>95500.0</v>
      </c>
    </row>
    <row r="594" ht="15.75" customHeight="1">
      <c r="A594" s="4"/>
      <c r="B594" s="4"/>
      <c r="C594" s="4" t="s">
        <v>5877</v>
      </c>
      <c r="D594" s="4" t="s">
        <v>27</v>
      </c>
      <c r="E594" s="6">
        <v>96000.0</v>
      </c>
    </row>
    <row r="595" ht="15.75" customHeight="1">
      <c r="A595" s="4"/>
      <c r="B595" s="4"/>
      <c r="C595" s="4" t="s">
        <v>5878</v>
      </c>
      <c r="D595" s="4" t="s">
        <v>27</v>
      </c>
      <c r="E595" s="6">
        <v>131625.0</v>
      </c>
    </row>
    <row r="596" ht="15.75" customHeight="1">
      <c r="A596" s="4"/>
      <c r="B596" s="4"/>
      <c r="C596" s="4" t="s">
        <v>5879</v>
      </c>
      <c r="D596" s="4" t="s">
        <v>27</v>
      </c>
      <c r="E596" s="6">
        <v>132000.0</v>
      </c>
    </row>
    <row r="597" ht="15.75" customHeight="1">
      <c r="A597" s="4"/>
      <c r="B597" s="4"/>
      <c r="C597" s="4" t="s">
        <v>5880</v>
      </c>
      <c r="D597" s="4" t="s">
        <v>27</v>
      </c>
      <c r="E597" s="6">
        <v>183275.0</v>
      </c>
    </row>
    <row r="598" ht="15.75" customHeight="1">
      <c r="A598" s="4"/>
      <c r="B598" s="4"/>
      <c r="C598" s="4" t="s">
        <v>5881</v>
      </c>
      <c r="D598" s="4" t="s">
        <v>27</v>
      </c>
      <c r="E598" s="6">
        <v>183500.0</v>
      </c>
    </row>
    <row r="599" ht="15.75" customHeight="1">
      <c r="A599" s="4"/>
      <c r="B599" s="4"/>
      <c r="C599" s="4" t="s">
        <v>5882</v>
      </c>
      <c r="D599" s="4" t="s">
        <v>27</v>
      </c>
      <c r="E599" s="6">
        <v>276425.0</v>
      </c>
    </row>
    <row r="600" ht="15.75" customHeight="1">
      <c r="A600" s="4"/>
      <c r="B600" s="4"/>
      <c r="C600" s="4" t="s">
        <v>5883</v>
      </c>
      <c r="D600" s="4" t="s">
        <v>27</v>
      </c>
      <c r="E600" s="6">
        <v>276600.0</v>
      </c>
    </row>
    <row r="601" ht="15.75" customHeight="1">
      <c r="A601" s="4"/>
      <c r="B601" s="4"/>
      <c r="C601" s="4" t="s">
        <v>5884</v>
      </c>
      <c r="D601" s="4" t="s">
        <v>27</v>
      </c>
      <c r="E601" s="6">
        <v>930025.0</v>
      </c>
    </row>
    <row r="602" ht="15.75" customHeight="1">
      <c r="A602" s="4"/>
      <c r="B602" s="4"/>
      <c r="C602" s="4" t="s">
        <v>5885</v>
      </c>
      <c r="D602" s="4" t="s">
        <v>27</v>
      </c>
      <c r="E602" s="6">
        <v>930500.0</v>
      </c>
    </row>
    <row r="603" ht="15.75" customHeight="1">
      <c r="A603" s="4"/>
      <c r="B603" s="4"/>
      <c r="C603" s="4" t="s">
        <v>5886</v>
      </c>
      <c r="D603" s="4" t="s">
        <v>27</v>
      </c>
      <c r="E603" s="6">
        <v>20325.0</v>
      </c>
    </row>
    <row r="604" ht="15.75" customHeight="1">
      <c r="A604" s="4"/>
      <c r="B604" s="4"/>
      <c r="C604" s="4" t="s">
        <v>5887</v>
      </c>
      <c r="D604" s="4" t="s">
        <v>27</v>
      </c>
      <c r="E604" s="6">
        <v>931000.0</v>
      </c>
    </row>
    <row r="605" ht="15.75" customHeight="1">
      <c r="A605" s="4"/>
      <c r="B605" s="4"/>
      <c r="C605" s="4" t="s">
        <v>5888</v>
      </c>
      <c r="D605" s="4" t="s">
        <v>27</v>
      </c>
      <c r="E605" s="6">
        <v>28525.0</v>
      </c>
    </row>
    <row r="606" ht="15.75" customHeight="1">
      <c r="A606" s="4"/>
      <c r="B606" s="4"/>
      <c r="C606" s="4" t="s">
        <v>5889</v>
      </c>
      <c r="D606" s="4" t="s">
        <v>27</v>
      </c>
      <c r="E606" s="6">
        <v>29000.0</v>
      </c>
    </row>
    <row r="607" ht="15.75" customHeight="1">
      <c r="A607" s="4"/>
      <c r="B607" s="4"/>
      <c r="C607" s="4" t="s">
        <v>5890</v>
      </c>
      <c r="D607" s="4" t="s">
        <v>27</v>
      </c>
      <c r="E607" s="6">
        <v>43675.0</v>
      </c>
    </row>
    <row r="608" ht="15.75" customHeight="1">
      <c r="A608" s="4"/>
      <c r="B608" s="4"/>
      <c r="C608" s="4" t="s">
        <v>5891</v>
      </c>
      <c r="D608" s="4" t="s">
        <v>27</v>
      </c>
      <c r="E608" s="6">
        <v>44000.0</v>
      </c>
    </row>
    <row r="609" ht="15.75" customHeight="1">
      <c r="A609" s="4"/>
      <c r="B609" s="4"/>
      <c r="C609" s="4" t="s">
        <v>5892</v>
      </c>
      <c r="D609" s="4" t="s">
        <v>27</v>
      </c>
      <c r="E609" s="6">
        <v>64625.0</v>
      </c>
    </row>
    <row r="610" ht="15.75" customHeight="1">
      <c r="A610" s="4"/>
      <c r="B610" s="4"/>
      <c r="C610" s="4" t="s">
        <v>5893</v>
      </c>
      <c r="D610" s="4" t="s">
        <v>27</v>
      </c>
      <c r="E610" s="6">
        <v>65000.0</v>
      </c>
    </row>
    <row r="611" ht="15.75" customHeight="1">
      <c r="A611" s="4"/>
      <c r="B611" s="4"/>
      <c r="C611" s="4" t="s">
        <v>5894</v>
      </c>
      <c r="D611" s="4" t="s">
        <v>27</v>
      </c>
      <c r="E611" s="6">
        <v>98175.0</v>
      </c>
    </row>
    <row r="612" ht="15.75" customHeight="1">
      <c r="A612" s="4"/>
      <c r="B612" s="4"/>
      <c r="C612" s="4" t="s">
        <v>5895</v>
      </c>
      <c r="D612" s="4" t="s">
        <v>27</v>
      </c>
      <c r="E612" s="6">
        <v>98500.0</v>
      </c>
    </row>
    <row r="613" ht="15.75" customHeight="1">
      <c r="A613" s="4"/>
      <c r="B613" s="4"/>
      <c r="C613" s="4" t="s">
        <v>5896</v>
      </c>
      <c r="D613" s="4" t="s">
        <v>27</v>
      </c>
      <c r="E613" s="6">
        <v>152625.0</v>
      </c>
    </row>
    <row r="614" ht="15.75" customHeight="1">
      <c r="A614" s="4"/>
      <c r="B614" s="4"/>
      <c r="C614" s="4" t="s">
        <v>5897</v>
      </c>
      <c r="D614" s="4" t="s">
        <v>27</v>
      </c>
      <c r="E614" s="6">
        <v>153000.0</v>
      </c>
    </row>
    <row r="615" ht="15.75" customHeight="1">
      <c r="A615" s="4"/>
      <c r="B615" s="4"/>
      <c r="C615" s="4" t="s">
        <v>5898</v>
      </c>
      <c r="D615" s="4" t="s">
        <v>27</v>
      </c>
      <c r="E615" s="6">
        <v>214000.0</v>
      </c>
    </row>
    <row r="616" ht="15.75" customHeight="1">
      <c r="A616" s="4"/>
      <c r="B616" s="4"/>
      <c r="C616" s="4" t="s">
        <v>5899</v>
      </c>
      <c r="D616" s="4" t="s">
        <v>27</v>
      </c>
      <c r="E616" s="6">
        <v>214500.0</v>
      </c>
    </row>
    <row r="617" ht="15.75" customHeight="1">
      <c r="A617" s="4"/>
      <c r="B617" s="4"/>
      <c r="C617" s="4" t="s">
        <v>5900</v>
      </c>
      <c r="D617" s="4" t="s">
        <v>27</v>
      </c>
      <c r="E617" s="6">
        <v>305375.0</v>
      </c>
    </row>
    <row r="618" ht="15.75" customHeight="1">
      <c r="A618" s="4"/>
      <c r="B618" s="4"/>
      <c r="C618" s="4" t="s">
        <v>5901</v>
      </c>
      <c r="D618" s="4" t="s">
        <v>27</v>
      </c>
      <c r="E618" s="6">
        <v>305500.0</v>
      </c>
    </row>
    <row r="619" ht="15.75" customHeight="1">
      <c r="A619" s="4"/>
      <c r="B619" s="4"/>
      <c r="C619" s="4" t="s">
        <v>5902</v>
      </c>
      <c r="D619" s="4" t="s">
        <v>27</v>
      </c>
      <c r="E619" s="6">
        <v>453900.0</v>
      </c>
    </row>
    <row r="620" ht="15.75" customHeight="1">
      <c r="A620" s="4"/>
      <c r="B620" s="4"/>
      <c r="C620" s="4" t="s">
        <v>5903</v>
      </c>
      <c r="D620" s="4" t="s">
        <v>27</v>
      </c>
      <c r="E620" s="6">
        <v>454000.0</v>
      </c>
    </row>
    <row r="621" ht="15.75" customHeight="1">
      <c r="A621" s="4"/>
      <c r="B621" s="4"/>
      <c r="C621" s="4" t="s">
        <v>5904</v>
      </c>
      <c r="D621" s="4" t="s">
        <v>27</v>
      </c>
      <c r="E621" s="6">
        <v>1534825.0</v>
      </c>
    </row>
    <row r="622" ht="15.75" customHeight="1">
      <c r="A622" s="4"/>
      <c r="B622" s="4"/>
      <c r="C622" s="4" t="s">
        <v>5905</v>
      </c>
      <c r="D622" s="4" t="s">
        <v>27</v>
      </c>
      <c r="E622" s="6">
        <v>1535000.0</v>
      </c>
    </row>
    <row r="623" ht="15.75" customHeight="1">
      <c r="A623" s="4"/>
      <c r="B623" s="4"/>
      <c r="C623" s="4" t="s">
        <v>5906</v>
      </c>
      <c r="D623" s="4" t="s">
        <v>27</v>
      </c>
      <c r="E623" s="6">
        <v>30000.0</v>
      </c>
    </row>
    <row r="624" ht="15.75" customHeight="1">
      <c r="A624" s="4"/>
      <c r="B624" s="4"/>
      <c r="C624" s="4" t="s">
        <v>5907</v>
      </c>
      <c r="D624" s="4" t="s">
        <v>27</v>
      </c>
      <c r="E624" s="6">
        <v>30500.0</v>
      </c>
    </row>
    <row r="625" ht="15.75" customHeight="1">
      <c r="A625" s="4"/>
      <c r="B625" s="4"/>
      <c r="C625" s="4" t="s">
        <v>5908</v>
      </c>
      <c r="D625" s="4" t="s">
        <v>27</v>
      </c>
      <c r="E625" s="6">
        <v>37000.0</v>
      </c>
    </row>
    <row r="626" ht="15.75" customHeight="1">
      <c r="A626" s="4"/>
      <c r="B626" s="4"/>
      <c r="C626" s="4" t="s">
        <v>5909</v>
      </c>
      <c r="D626" s="4" t="s">
        <v>27</v>
      </c>
      <c r="E626" s="6">
        <v>37500.0</v>
      </c>
    </row>
    <row r="627" ht="15.75" customHeight="1">
      <c r="A627" s="4"/>
      <c r="B627" s="4"/>
      <c r="C627" s="4" t="s">
        <v>5910</v>
      </c>
      <c r="D627" s="4" t="s">
        <v>27</v>
      </c>
      <c r="E627" s="6">
        <v>52500.0</v>
      </c>
    </row>
    <row r="628" ht="15.75" customHeight="1">
      <c r="A628" s="4"/>
      <c r="B628" s="4"/>
      <c r="C628" s="4" t="s">
        <v>5911</v>
      </c>
      <c r="D628" s="4" t="s">
        <v>27</v>
      </c>
      <c r="E628" s="6">
        <v>53000.0</v>
      </c>
    </row>
    <row r="629" ht="15.75" customHeight="1">
      <c r="A629" s="4"/>
      <c r="B629" s="4"/>
      <c r="C629" s="4" t="s">
        <v>5912</v>
      </c>
      <c r="D629" s="4" t="s">
        <v>27</v>
      </c>
      <c r="E629" s="6">
        <v>67500.0</v>
      </c>
    </row>
    <row r="630" ht="15.75" customHeight="1">
      <c r="A630" s="4"/>
      <c r="B630" s="4"/>
      <c r="C630" s="4" t="s">
        <v>5913</v>
      </c>
      <c r="D630" s="4" t="s">
        <v>27</v>
      </c>
      <c r="E630" s="6">
        <v>68000.0</v>
      </c>
    </row>
    <row r="631" ht="15.75" customHeight="1">
      <c r="A631" s="4"/>
      <c r="B631" s="4" t="s">
        <v>5914</v>
      </c>
      <c r="C631" s="4" t="s">
        <v>5915</v>
      </c>
      <c r="D631" s="4" t="s">
        <v>27</v>
      </c>
      <c r="E631" s="6">
        <v>76666.66666666667</v>
      </c>
    </row>
    <row r="632" ht="15.75" customHeight="1">
      <c r="A632" s="4"/>
      <c r="B632" s="4"/>
      <c r="C632" s="4" t="s">
        <v>5916</v>
      </c>
      <c r="D632" s="4" t="s">
        <v>27</v>
      </c>
      <c r="E632" s="6">
        <v>77000.0</v>
      </c>
    </row>
    <row r="633" ht="15.75" customHeight="1">
      <c r="A633" s="4"/>
      <c r="B633" s="4"/>
      <c r="C633" s="4" t="s">
        <v>5917</v>
      </c>
      <c r="D633" s="4" t="s">
        <v>27</v>
      </c>
      <c r="E633" s="6">
        <v>102666.6666666667</v>
      </c>
    </row>
    <row r="634" ht="15.75" customHeight="1">
      <c r="A634" s="4"/>
      <c r="B634" s="4"/>
      <c r="C634" s="4" t="s">
        <v>5918</v>
      </c>
      <c r="D634" s="4" t="s">
        <v>27</v>
      </c>
      <c r="E634" s="6">
        <v>103000.0</v>
      </c>
    </row>
    <row r="635" ht="15.75" customHeight="1">
      <c r="A635" s="4"/>
      <c r="B635" s="4"/>
      <c r="C635" s="4" t="s">
        <v>5919</v>
      </c>
      <c r="D635" s="4" t="s">
        <v>27</v>
      </c>
      <c r="E635" s="6">
        <v>129333.3333333333</v>
      </c>
    </row>
    <row r="636" ht="15.75" customHeight="1">
      <c r="A636" s="4"/>
      <c r="B636" s="4"/>
      <c r="C636" s="4" t="s">
        <v>5920</v>
      </c>
      <c r="D636" s="4" t="s">
        <v>27</v>
      </c>
      <c r="E636" s="6">
        <v>130000.0</v>
      </c>
    </row>
    <row r="637" ht="15.75" customHeight="1">
      <c r="A637" s="4"/>
      <c r="B637" s="4"/>
      <c r="C637" s="4" t="s">
        <v>5921</v>
      </c>
      <c r="D637" s="4" t="s">
        <v>27</v>
      </c>
      <c r="E637" s="6">
        <v>165500.0</v>
      </c>
    </row>
    <row r="638" ht="15.75" customHeight="1">
      <c r="A638" s="4"/>
      <c r="B638" s="4"/>
      <c r="C638" s="4" t="s">
        <v>5922</v>
      </c>
      <c r="D638" s="4" t="s">
        <v>27</v>
      </c>
      <c r="E638" s="6">
        <v>166000.0</v>
      </c>
    </row>
    <row r="639" ht="15.75" customHeight="1">
      <c r="A639" s="4"/>
      <c r="B639" s="4"/>
      <c r="C639" s="4" t="s">
        <v>5923</v>
      </c>
      <c r="D639" s="4" t="s">
        <v>27</v>
      </c>
      <c r="E639" s="6">
        <v>237166.6666666666</v>
      </c>
    </row>
    <row r="640" ht="15.75" customHeight="1">
      <c r="A640" s="4"/>
      <c r="B640" s="4"/>
      <c r="C640" s="4" t="s">
        <v>5924</v>
      </c>
      <c r="D640" s="4" t="s">
        <v>27</v>
      </c>
      <c r="E640" s="6">
        <v>237500.0</v>
      </c>
    </row>
    <row r="641" ht="15.75" customHeight="1">
      <c r="A641" s="4"/>
      <c r="B641" s="4"/>
      <c r="C641" s="4" t="s">
        <v>5925</v>
      </c>
      <c r="D641" s="4" t="s">
        <v>27</v>
      </c>
      <c r="E641" s="6">
        <v>317166.6666666667</v>
      </c>
    </row>
    <row r="642" ht="15.75" customHeight="1">
      <c r="A642" s="4"/>
      <c r="B642" s="4"/>
      <c r="C642" s="4" t="s">
        <v>5926</v>
      </c>
      <c r="D642" s="4" t="s">
        <v>27</v>
      </c>
      <c r="E642" s="6">
        <v>317500.0</v>
      </c>
    </row>
    <row r="643" ht="15.75" customHeight="1">
      <c r="A643" s="4"/>
      <c r="B643" s="4"/>
      <c r="C643" s="4" t="s">
        <v>5927</v>
      </c>
      <c r="D643" s="4" t="s">
        <v>27</v>
      </c>
      <c r="E643" s="6">
        <v>376500.0</v>
      </c>
    </row>
    <row r="644" ht="15.75" customHeight="1">
      <c r="A644" s="4"/>
      <c r="B644" s="4"/>
      <c r="C644" s="4" t="s">
        <v>5928</v>
      </c>
      <c r="D644" s="4" t="s">
        <v>27</v>
      </c>
      <c r="E644" s="6">
        <v>377000.0</v>
      </c>
    </row>
    <row r="645" ht="15.75" customHeight="1">
      <c r="A645" s="4"/>
      <c r="B645" s="4"/>
      <c r="C645" s="4" t="s">
        <v>5929</v>
      </c>
      <c r="D645" s="4" t="s">
        <v>27</v>
      </c>
      <c r="E645" s="6">
        <v>663000.0</v>
      </c>
    </row>
    <row r="646" ht="15.75" customHeight="1">
      <c r="A646" s="4"/>
      <c r="B646" s="4"/>
      <c r="C646" s="4" t="s">
        <v>5930</v>
      </c>
      <c r="D646" s="4" t="s">
        <v>27</v>
      </c>
      <c r="E646" s="6">
        <v>663500.0</v>
      </c>
    </row>
    <row r="647" ht="15.75" customHeight="1">
      <c r="A647" s="4"/>
      <c r="B647" s="4"/>
      <c r="C647" s="4" t="s">
        <v>5931</v>
      </c>
      <c r="D647" s="4" t="s">
        <v>27</v>
      </c>
      <c r="E647" s="6">
        <v>756000.0</v>
      </c>
    </row>
    <row r="648" ht="15.75" customHeight="1">
      <c r="A648" s="4"/>
      <c r="B648" s="4"/>
      <c r="C648" s="4" t="s">
        <v>5932</v>
      </c>
      <c r="D648" s="4" t="s">
        <v>27</v>
      </c>
      <c r="E648" s="6">
        <v>755916.6666666665</v>
      </c>
    </row>
    <row r="649" ht="15.75" customHeight="1">
      <c r="A649" s="4"/>
      <c r="B649" s="4"/>
      <c r="C649" s="4" t="s">
        <v>5933</v>
      </c>
      <c r="D649" s="4" t="s">
        <v>27</v>
      </c>
      <c r="E649" s="6">
        <v>883000.0</v>
      </c>
    </row>
    <row r="650" ht="15.75" customHeight="1">
      <c r="A650" s="4"/>
      <c r="B650" s="4"/>
      <c r="C650" s="4" t="s">
        <v>5934</v>
      </c>
      <c r="D650" s="4" t="s">
        <v>27</v>
      </c>
      <c r="E650" s="6">
        <v>882666.6666666665</v>
      </c>
    </row>
    <row r="651" ht="15.75" customHeight="1">
      <c r="A651" s="4"/>
      <c r="B651" s="4"/>
      <c r="C651" s="4" t="s">
        <v>5935</v>
      </c>
      <c r="D651" s="4" t="s">
        <v>27</v>
      </c>
      <c r="E651" s="6">
        <v>1086000.0</v>
      </c>
    </row>
    <row r="652" ht="15.75" customHeight="1">
      <c r="A652" s="4"/>
      <c r="B652" s="4"/>
      <c r="C652" s="4" t="s">
        <v>5936</v>
      </c>
      <c r="D652" s="4" t="s">
        <v>27</v>
      </c>
      <c r="E652" s="6">
        <v>1085500.0</v>
      </c>
    </row>
    <row r="653" ht="15.75" customHeight="1">
      <c r="A653" s="4"/>
      <c r="B653" s="4"/>
      <c r="C653" s="4" t="s">
        <v>5937</v>
      </c>
      <c r="D653" s="4" t="s">
        <v>27</v>
      </c>
      <c r="E653" s="6">
        <v>1241000.0</v>
      </c>
    </row>
    <row r="654" ht="15.75" customHeight="1">
      <c r="A654" s="4"/>
      <c r="B654" s="4"/>
      <c r="C654" s="4" t="s">
        <v>5938</v>
      </c>
      <c r="D654" s="4" t="s">
        <v>27</v>
      </c>
      <c r="E654" s="6">
        <v>1240500.0</v>
      </c>
    </row>
    <row r="655" ht="15.75" customHeight="1">
      <c r="A655" s="4"/>
      <c r="B655" s="4"/>
      <c r="C655" s="4" t="s">
        <v>5939</v>
      </c>
      <c r="D655" s="4" t="s">
        <v>27</v>
      </c>
      <c r="E655" s="6">
        <v>250000.0</v>
      </c>
    </row>
    <row r="656" ht="15.75" customHeight="1">
      <c r="A656" s="4"/>
      <c r="B656" s="4"/>
      <c r="C656" s="4" t="s">
        <v>5940</v>
      </c>
      <c r="D656" s="4" t="s">
        <v>27</v>
      </c>
      <c r="E656" s="6">
        <v>260000.0</v>
      </c>
    </row>
    <row r="657" ht="15.75" customHeight="1">
      <c r="A657" s="4"/>
      <c r="B657" s="4"/>
      <c r="C657" s="4" t="s">
        <v>5941</v>
      </c>
      <c r="D657" s="4" t="s">
        <v>27</v>
      </c>
      <c r="E657" s="6">
        <v>270000.0</v>
      </c>
    </row>
    <row r="658" ht="15.75" customHeight="1">
      <c r="A658" s="4"/>
      <c r="B658" s="4"/>
      <c r="C658" s="4" t="s">
        <v>5942</v>
      </c>
      <c r="D658" s="4" t="s">
        <v>27</v>
      </c>
      <c r="E658" s="6">
        <v>280000.0</v>
      </c>
    </row>
    <row r="659" ht="15.75" customHeight="1">
      <c r="A659" s="4"/>
      <c r="B659" s="4"/>
      <c r="C659" s="4" t="s">
        <v>5943</v>
      </c>
      <c r="D659" s="4" t="s">
        <v>27</v>
      </c>
      <c r="E659" s="6">
        <v>290000.0</v>
      </c>
    </row>
    <row r="660" ht="15.75" customHeight="1">
      <c r="A660" s="4"/>
      <c r="B660" s="4"/>
      <c r="C660" s="4" t="s">
        <v>5944</v>
      </c>
      <c r="D660" s="4" t="s">
        <v>27</v>
      </c>
      <c r="E660" s="6">
        <v>300000.0</v>
      </c>
    </row>
    <row r="661" ht="15.75" customHeight="1">
      <c r="A661" s="4"/>
      <c r="B661" s="4"/>
      <c r="C661" s="4" t="s">
        <v>5945</v>
      </c>
      <c r="D661" s="4" t="s">
        <v>27</v>
      </c>
      <c r="E661" s="6">
        <v>310000.0</v>
      </c>
    </row>
    <row r="662" ht="15.75" customHeight="1">
      <c r="A662" s="4"/>
      <c r="B662" s="4"/>
      <c r="C662" s="4" t="s">
        <v>5946</v>
      </c>
      <c r="D662" s="4" t="s">
        <v>27</v>
      </c>
      <c r="E662" s="6">
        <v>320000.0</v>
      </c>
    </row>
    <row r="663" ht="15.75" customHeight="1">
      <c r="A663" s="4"/>
      <c r="B663" s="4"/>
      <c r="C663" s="4" t="s">
        <v>5947</v>
      </c>
      <c r="D663" s="4" t="s">
        <v>27</v>
      </c>
      <c r="E663" s="6">
        <v>330000.0</v>
      </c>
    </row>
    <row r="664" ht="15.75" customHeight="1">
      <c r="A664" s="4"/>
      <c r="B664" s="4"/>
      <c r="C664" s="4" t="s">
        <v>5948</v>
      </c>
      <c r="D664" s="4" t="s">
        <v>27</v>
      </c>
      <c r="E664" s="6">
        <v>340000.0</v>
      </c>
    </row>
    <row r="665" ht="15.75" customHeight="1">
      <c r="A665" s="4"/>
      <c r="B665" s="4"/>
      <c r="C665" s="4" t="s">
        <v>5949</v>
      </c>
      <c r="D665" s="4" t="s">
        <v>27</v>
      </c>
      <c r="E665" s="6">
        <v>350000.0</v>
      </c>
    </row>
    <row r="666" ht="15.75" customHeight="1">
      <c r="A666" s="4"/>
      <c r="B666" s="4"/>
      <c r="C666" s="4" t="s">
        <v>5950</v>
      </c>
      <c r="D666" s="4" t="s">
        <v>27</v>
      </c>
      <c r="E666" s="6">
        <v>360000.0</v>
      </c>
    </row>
    <row r="667" ht="15.75" customHeight="1">
      <c r="A667" s="4"/>
      <c r="B667" s="4"/>
      <c r="C667" s="4" t="s">
        <v>5951</v>
      </c>
      <c r="D667" s="4" t="s">
        <v>27</v>
      </c>
      <c r="E667" s="6">
        <v>370000.0</v>
      </c>
    </row>
    <row r="668" ht="15.75" customHeight="1">
      <c r="A668" s="4"/>
      <c r="B668" s="4"/>
      <c r="C668" s="4" t="s">
        <v>5952</v>
      </c>
      <c r="D668" s="4" t="s">
        <v>27</v>
      </c>
      <c r="E668" s="6">
        <v>380000.0</v>
      </c>
    </row>
    <row r="669" ht="15.75" customHeight="1">
      <c r="A669" s="4"/>
      <c r="B669" s="4"/>
      <c r="C669" s="4" t="s">
        <v>5953</v>
      </c>
      <c r="D669" s="4" t="s">
        <v>27</v>
      </c>
      <c r="E669" s="6">
        <v>390000.0</v>
      </c>
    </row>
    <row r="670" ht="15.75" customHeight="1">
      <c r="A670" s="4"/>
      <c r="B670" s="4"/>
      <c r="C670" s="4" t="s">
        <v>5954</v>
      </c>
      <c r="D670" s="4" t="s">
        <v>27</v>
      </c>
      <c r="E670" s="6">
        <v>187500.0</v>
      </c>
    </row>
    <row r="671" ht="15.75" customHeight="1">
      <c r="A671" s="4"/>
      <c r="B671" s="4"/>
      <c r="C671" s="4" t="s">
        <v>5955</v>
      </c>
      <c r="D671" s="4" t="s">
        <v>27</v>
      </c>
      <c r="E671" s="6">
        <v>205000.0</v>
      </c>
    </row>
    <row r="672" ht="15.75" customHeight="1">
      <c r="A672" s="4"/>
      <c r="B672" s="4"/>
      <c r="C672" s="4" t="s">
        <v>5956</v>
      </c>
      <c r="D672" s="4" t="s">
        <v>5553</v>
      </c>
      <c r="E672" s="6">
        <v>1500000.0</v>
      </c>
    </row>
    <row r="673" ht="15.75" customHeight="1">
      <c r="A673" s="4"/>
      <c r="B673" s="4"/>
      <c r="C673" s="4" t="s">
        <v>5957</v>
      </c>
      <c r="D673" s="4" t="s">
        <v>5553</v>
      </c>
      <c r="E673" s="6">
        <v>1700000.0</v>
      </c>
    </row>
    <row r="674" ht="15.75" customHeight="1">
      <c r="A674" s="4"/>
      <c r="B674" s="4"/>
      <c r="C674" s="4" t="s">
        <v>5958</v>
      </c>
      <c r="D674" s="4" t="s">
        <v>5553</v>
      </c>
      <c r="E674" s="6">
        <v>1900000.0</v>
      </c>
    </row>
    <row r="675" ht="15.75" customHeight="1">
      <c r="A675" s="4"/>
      <c r="B675" s="4"/>
      <c r="C675" s="4" t="s">
        <v>5959</v>
      </c>
      <c r="D675" s="4" t="s">
        <v>5553</v>
      </c>
      <c r="E675" s="6">
        <v>2050000.0</v>
      </c>
    </row>
    <row r="676" ht="15.75" customHeight="1">
      <c r="A676" s="4"/>
      <c r="B676" s="4"/>
      <c r="C676" s="4" t="s">
        <v>5960</v>
      </c>
      <c r="D676" s="4" t="s">
        <v>5553</v>
      </c>
      <c r="E676" s="6">
        <v>2125000.0</v>
      </c>
    </row>
    <row r="677" ht="15.75" customHeight="1">
      <c r="A677" s="4"/>
      <c r="B677" s="4"/>
      <c r="C677" s="4" t="s">
        <v>5961</v>
      </c>
      <c r="D677" s="4" t="s">
        <v>5553</v>
      </c>
      <c r="E677" s="6">
        <v>2315000.0</v>
      </c>
    </row>
    <row r="678" ht="15.75" customHeight="1">
      <c r="A678" s="4"/>
      <c r="B678" s="4"/>
      <c r="C678" s="4" t="s">
        <v>5962</v>
      </c>
      <c r="D678" s="4" t="s">
        <v>5553</v>
      </c>
      <c r="E678" s="6">
        <v>2475000.0</v>
      </c>
    </row>
    <row r="679" ht="15.75" customHeight="1">
      <c r="A679" s="4"/>
      <c r="B679" s="4"/>
      <c r="C679" s="4" t="s">
        <v>5963</v>
      </c>
      <c r="D679" s="4" t="s">
        <v>5553</v>
      </c>
      <c r="E679" s="6">
        <v>2750000.0</v>
      </c>
    </row>
    <row r="680" ht="15.75" customHeight="1">
      <c r="A680" s="4"/>
      <c r="B680" s="4"/>
      <c r="C680" s="4" t="s">
        <v>5964</v>
      </c>
      <c r="D680" s="4" t="s">
        <v>5553</v>
      </c>
      <c r="E680" s="6">
        <v>2995000.0</v>
      </c>
    </row>
    <row r="681" ht="15.75" customHeight="1">
      <c r="A681" s="4"/>
      <c r="B681" s="4"/>
      <c r="C681" s="4" t="s">
        <v>5965</v>
      </c>
      <c r="D681" s="4" t="s">
        <v>5553</v>
      </c>
      <c r="E681" s="6">
        <v>3250000.0</v>
      </c>
    </row>
    <row r="682" ht="15.75" customHeight="1">
      <c r="A682" s="4"/>
      <c r="B682" s="4"/>
      <c r="C682" s="4" t="s">
        <v>5966</v>
      </c>
      <c r="D682" s="4" t="s">
        <v>5553</v>
      </c>
      <c r="E682" s="6">
        <v>3570000.0</v>
      </c>
    </row>
    <row r="683" ht="15.75" customHeight="1">
      <c r="A683" s="4"/>
      <c r="B683" s="4"/>
      <c r="C683" s="4" t="s">
        <v>5967</v>
      </c>
      <c r="D683" s="4" t="s">
        <v>5553</v>
      </c>
      <c r="E683" s="6">
        <v>3950000.0</v>
      </c>
    </row>
    <row r="684" ht="15.75" customHeight="1">
      <c r="A684" s="4"/>
      <c r="B684" s="4"/>
      <c r="C684" s="4" t="s">
        <v>5968</v>
      </c>
      <c r="D684" s="4" t="s">
        <v>5553</v>
      </c>
      <c r="E684" s="6">
        <v>4210000.0</v>
      </c>
    </row>
    <row r="685" ht="15.75" customHeight="1">
      <c r="A685" s="4"/>
      <c r="B685" s="4"/>
      <c r="C685" s="4" t="s">
        <v>5969</v>
      </c>
      <c r="D685" s="4" t="s">
        <v>5553</v>
      </c>
      <c r="E685" s="6">
        <v>4520000.0</v>
      </c>
    </row>
    <row r="686" ht="15.75" customHeight="1">
      <c r="A686" s="4"/>
      <c r="B686" s="4"/>
      <c r="C686" s="4" t="s">
        <v>5966</v>
      </c>
      <c r="D686" s="4" t="s">
        <v>5553</v>
      </c>
      <c r="E686" s="6">
        <v>5750000.0</v>
      </c>
    </row>
    <row r="687" ht="15.75" customHeight="1">
      <c r="A687" s="4"/>
      <c r="B687" s="4"/>
      <c r="C687" s="4" t="s">
        <v>5970</v>
      </c>
      <c r="D687" s="4" t="s">
        <v>5553</v>
      </c>
      <c r="E687" s="6">
        <v>25000.0</v>
      </c>
    </row>
    <row r="688" ht="15.75" customHeight="1">
      <c r="A688" s="4"/>
      <c r="B688" s="4"/>
      <c r="C688" s="4" t="s">
        <v>5971</v>
      </c>
      <c r="D688" s="4" t="s">
        <v>5553</v>
      </c>
      <c r="E688" s="6">
        <v>36750.0</v>
      </c>
    </row>
    <row r="689" ht="15.75" customHeight="1">
      <c r="A689" s="4"/>
      <c r="B689" s="4"/>
      <c r="C689" s="4" t="s">
        <v>5972</v>
      </c>
      <c r="D689" s="4" t="s">
        <v>5553</v>
      </c>
      <c r="E689" s="6">
        <v>46100.0</v>
      </c>
    </row>
    <row r="690" ht="15.75" customHeight="1">
      <c r="A690" s="4"/>
      <c r="B690" s="4"/>
      <c r="C690" s="4" t="s">
        <v>5973</v>
      </c>
      <c r="D690" s="4" t="s">
        <v>5553</v>
      </c>
      <c r="E690" s="6">
        <v>68000.0</v>
      </c>
    </row>
    <row r="691" ht="15.75" customHeight="1">
      <c r="A691" s="4"/>
      <c r="B691" s="4"/>
      <c r="C691" s="4" t="s">
        <v>5974</v>
      </c>
      <c r="D691" s="4" t="s">
        <v>5553</v>
      </c>
      <c r="E691" s="6">
        <v>79000.0</v>
      </c>
    </row>
    <row r="692" ht="15.75" customHeight="1">
      <c r="A692" s="4"/>
      <c r="B692" s="4"/>
      <c r="C692" s="4" t="s">
        <v>5975</v>
      </c>
      <c r="D692" s="4" t="s">
        <v>5553</v>
      </c>
      <c r="E692" s="6">
        <v>118000.0</v>
      </c>
    </row>
    <row r="693" ht="15.75" customHeight="1">
      <c r="A693" s="4"/>
      <c r="B693" s="4"/>
      <c r="C693" s="4" t="s">
        <v>5976</v>
      </c>
      <c r="D693" s="4" t="s">
        <v>5553</v>
      </c>
      <c r="E693" s="6">
        <v>145000.0</v>
      </c>
    </row>
    <row r="694" ht="15.75" customHeight="1">
      <c r="A694" s="4"/>
      <c r="B694" s="4"/>
      <c r="C694" s="4" t="s">
        <v>5977</v>
      </c>
      <c r="D694" s="4" t="s">
        <v>5553</v>
      </c>
      <c r="E694" s="6">
        <v>215000.0</v>
      </c>
    </row>
    <row r="695" ht="15.75" customHeight="1">
      <c r="A695" s="4"/>
      <c r="B695" s="4"/>
      <c r="C695" s="4" t="s">
        <v>5978</v>
      </c>
      <c r="D695" s="4" t="s">
        <v>5553</v>
      </c>
      <c r="E695" s="6">
        <v>233300.0</v>
      </c>
    </row>
    <row r="696" ht="15.75" customHeight="1">
      <c r="A696" s="4"/>
      <c r="B696" s="4"/>
      <c r="C696" s="4" t="s">
        <v>5979</v>
      </c>
      <c r="D696" s="4" t="s">
        <v>5553</v>
      </c>
      <c r="E696" s="6">
        <v>39000.0</v>
      </c>
    </row>
    <row r="697" ht="15.75" customHeight="1">
      <c r="A697" s="4"/>
      <c r="B697" s="4"/>
      <c r="C697" s="4" t="s">
        <v>5980</v>
      </c>
      <c r="D697" s="4" t="s">
        <v>5553</v>
      </c>
      <c r="E697" s="6">
        <v>59000.0</v>
      </c>
    </row>
    <row r="698" ht="15.75" customHeight="1">
      <c r="A698" s="4"/>
      <c r="B698" s="4"/>
      <c r="C698" s="4" t="s">
        <v>5981</v>
      </c>
      <c r="D698" s="4" t="s">
        <v>5553</v>
      </c>
      <c r="E698" s="6">
        <v>88350.0</v>
      </c>
    </row>
    <row r="699" ht="15.75" customHeight="1">
      <c r="A699" s="4"/>
      <c r="B699" s="4"/>
      <c r="C699" s="4" t="s">
        <v>5982</v>
      </c>
      <c r="D699" s="4" t="s">
        <v>5553</v>
      </c>
      <c r="E699" s="6">
        <v>110960.0</v>
      </c>
    </row>
    <row r="700" ht="15.75" customHeight="1">
      <c r="A700" s="4"/>
      <c r="B700" s="4"/>
      <c r="C700" s="4" t="s">
        <v>5983</v>
      </c>
      <c r="D700" s="4" t="s">
        <v>5553</v>
      </c>
      <c r="E700" s="6">
        <v>148960.0</v>
      </c>
    </row>
    <row r="701" ht="15.75" customHeight="1">
      <c r="A701" s="4"/>
      <c r="B701" s="4"/>
      <c r="C701" s="4" t="s">
        <v>5984</v>
      </c>
      <c r="D701" s="4" t="s">
        <v>5553</v>
      </c>
      <c r="E701" s="6">
        <v>215460.0</v>
      </c>
    </row>
    <row r="702" ht="15.75" customHeight="1">
      <c r="A702" s="4"/>
      <c r="B702" s="4"/>
      <c r="C702" s="4" t="s">
        <v>5985</v>
      </c>
      <c r="D702" s="4" t="s">
        <v>5553</v>
      </c>
      <c r="E702" s="6">
        <v>265000.0</v>
      </c>
    </row>
    <row r="703" ht="15.75" customHeight="1">
      <c r="A703" s="4"/>
      <c r="B703" s="4"/>
      <c r="C703" s="4" t="s">
        <v>5986</v>
      </c>
      <c r="D703" s="4" t="s">
        <v>5553</v>
      </c>
      <c r="E703" s="6">
        <v>587000.0</v>
      </c>
    </row>
    <row r="704" ht="15.75" customHeight="1">
      <c r="A704" s="4"/>
      <c r="B704" s="4"/>
      <c r="C704" s="4" t="s">
        <v>5987</v>
      </c>
      <c r="D704" s="4" t="s">
        <v>5553</v>
      </c>
      <c r="E704" s="6">
        <v>1440000.0</v>
      </c>
    </row>
    <row r="705" ht="15.75" customHeight="1">
      <c r="A705" s="4"/>
      <c r="B705" s="4"/>
      <c r="C705" s="4" t="s">
        <v>5988</v>
      </c>
      <c r="D705" s="4" t="s">
        <v>5553</v>
      </c>
      <c r="E705" s="6">
        <v>2750000.0</v>
      </c>
    </row>
    <row r="706" ht="15.75" customHeight="1">
      <c r="A706" s="4"/>
      <c r="B706" s="4"/>
      <c r="C706" s="4" t="s">
        <v>5989</v>
      </c>
      <c r="D706" s="4" t="s">
        <v>5553</v>
      </c>
      <c r="E706" s="6">
        <v>3050000.0</v>
      </c>
    </row>
    <row r="707" ht="15.75" customHeight="1">
      <c r="A707" s="4"/>
      <c r="B707" s="4"/>
      <c r="C707" s="4" t="s">
        <v>5990</v>
      </c>
      <c r="D707" s="4" t="s">
        <v>5553</v>
      </c>
      <c r="E707" s="6">
        <v>3470000.0</v>
      </c>
    </row>
    <row r="708" ht="15.75" customHeight="1">
      <c r="A708" s="4"/>
      <c r="B708" s="4"/>
      <c r="C708" s="4" t="s">
        <v>5991</v>
      </c>
      <c r="D708" s="4" t="s">
        <v>5553</v>
      </c>
      <c r="E708" s="6">
        <v>3680000.0</v>
      </c>
    </row>
    <row r="709" ht="15.75" customHeight="1">
      <c r="A709" s="4"/>
      <c r="B709" s="4"/>
      <c r="C709" s="4" t="s">
        <v>5992</v>
      </c>
      <c r="D709" s="4" t="s">
        <v>5553</v>
      </c>
      <c r="E709" s="6">
        <v>3970000.0</v>
      </c>
    </row>
    <row r="710" ht="15.75" customHeight="1">
      <c r="A710" s="4"/>
      <c r="B710" s="4"/>
      <c r="C710" s="4" t="s">
        <v>5993</v>
      </c>
      <c r="D710" s="4" t="s">
        <v>5553</v>
      </c>
      <c r="E710" s="6">
        <v>36000.0</v>
      </c>
    </row>
    <row r="711" ht="15.75" customHeight="1">
      <c r="A711" s="4"/>
      <c r="B711" s="4"/>
      <c r="C711" s="4" t="s">
        <v>5994</v>
      </c>
      <c r="D711" s="4" t="s">
        <v>5553</v>
      </c>
      <c r="E711" s="6">
        <v>47000.0</v>
      </c>
    </row>
    <row r="712" ht="15.75" customHeight="1">
      <c r="A712" s="4"/>
      <c r="B712" s="4"/>
      <c r="C712" s="4" t="s">
        <v>5995</v>
      </c>
      <c r="D712" s="4" t="s">
        <v>5553</v>
      </c>
      <c r="E712" s="6">
        <v>59000.0</v>
      </c>
    </row>
    <row r="713" ht="15.75" customHeight="1">
      <c r="A713" s="4"/>
      <c r="B713" s="4"/>
      <c r="C713" s="4" t="s">
        <v>5996</v>
      </c>
      <c r="D713" s="4" t="s">
        <v>5553</v>
      </c>
      <c r="E713" s="6">
        <v>95600.0</v>
      </c>
    </row>
    <row r="714" ht="15.75" customHeight="1">
      <c r="A714" s="4"/>
      <c r="B714" s="4"/>
      <c r="C714" s="4" t="s">
        <v>5997</v>
      </c>
      <c r="D714" s="4" t="s">
        <v>5553</v>
      </c>
      <c r="E714" s="6">
        <v>143000.0</v>
      </c>
    </row>
    <row r="715" ht="15.75" customHeight="1">
      <c r="A715" s="4"/>
      <c r="B715" s="4"/>
      <c r="C715" s="4" t="s">
        <v>5998</v>
      </c>
      <c r="D715" s="4" t="s">
        <v>5553</v>
      </c>
      <c r="E715" s="6">
        <v>303600.0</v>
      </c>
    </row>
    <row r="716" ht="15.75" customHeight="1">
      <c r="A716" s="4"/>
      <c r="B716" s="4"/>
      <c r="C716" s="4" t="s">
        <v>5999</v>
      </c>
      <c r="D716" s="4" t="s">
        <v>5553</v>
      </c>
      <c r="E716" s="6">
        <v>415600.0</v>
      </c>
    </row>
    <row r="717" ht="15.75" customHeight="1">
      <c r="A717" s="4"/>
      <c r="B717" s="4"/>
      <c r="C717" s="4" t="s">
        <v>6000</v>
      </c>
      <c r="D717" s="4" t="s">
        <v>5553</v>
      </c>
      <c r="E717" s="6">
        <v>552000.0</v>
      </c>
    </row>
    <row r="718" ht="15.75" customHeight="1">
      <c r="A718" s="4"/>
      <c r="B718" s="4"/>
      <c r="C718" s="4" t="s">
        <v>6001</v>
      </c>
      <c r="D718" s="4" t="s">
        <v>5553</v>
      </c>
      <c r="E718" s="6">
        <v>809600.0</v>
      </c>
    </row>
    <row r="719" ht="15.75" customHeight="1">
      <c r="A719" s="4"/>
      <c r="B719" s="4"/>
      <c r="C719" s="4" t="s">
        <v>6002</v>
      </c>
      <c r="D719" s="4" t="s">
        <v>5553</v>
      </c>
      <c r="E719" s="6">
        <v>873000.0</v>
      </c>
    </row>
    <row r="720" ht="15.75" customHeight="1">
      <c r="A720" s="4"/>
      <c r="B720" s="4"/>
      <c r="C720" s="4" t="s">
        <v>6003</v>
      </c>
      <c r="D720" s="4" t="s">
        <v>5553</v>
      </c>
      <c r="E720" s="6">
        <v>970500.0</v>
      </c>
    </row>
    <row r="721" ht="15.75" customHeight="1">
      <c r="A721" s="4"/>
      <c r="B721" s="4"/>
      <c r="C721" s="4" t="s">
        <v>6004</v>
      </c>
      <c r="D721" s="4" t="s">
        <v>5553</v>
      </c>
      <c r="E721" s="6">
        <v>1260000.0</v>
      </c>
    </row>
    <row r="722" ht="15.75" customHeight="1">
      <c r="A722" s="4"/>
      <c r="B722" s="4"/>
      <c r="C722" s="4" t="s">
        <v>6005</v>
      </c>
      <c r="D722" s="4" t="s">
        <v>5553</v>
      </c>
      <c r="E722" s="6">
        <v>1540000.0</v>
      </c>
    </row>
    <row r="723" ht="15.75" customHeight="1">
      <c r="A723" s="4"/>
      <c r="B723" s="4"/>
      <c r="C723" s="4" t="s">
        <v>6006</v>
      </c>
      <c r="D723" s="4" t="s">
        <v>5553</v>
      </c>
      <c r="E723" s="6">
        <v>1670000.0</v>
      </c>
    </row>
    <row r="724" ht="15.75" customHeight="1">
      <c r="A724" s="4"/>
      <c r="B724" s="4"/>
      <c r="C724" s="4" t="s">
        <v>6007</v>
      </c>
      <c r="D724" s="4" t="s">
        <v>5553</v>
      </c>
      <c r="E724" s="6">
        <v>1820000.0</v>
      </c>
    </row>
    <row r="725" ht="15.75" customHeight="1">
      <c r="A725" s="4"/>
      <c r="B725" s="4"/>
      <c r="C725" s="4" t="s">
        <v>6008</v>
      </c>
      <c r="D725" s="4" t="s">
        <v>5553</v>
      </c>
      <c r="E725" s="6">
        <v>221000.0</v>
      </c>
    </row>
    <row r="726" ht="15.75" customHeight="1">
      <c r="A726" s="4"/>
      <c r="B726" s="4"/>
      <c r="C726" s="4" t="s">
        <v>6009</v>
      </c>
      <c r="D726" s="4" t="s">
        <v>5553</v>
      </c>
      <c r="E726" s="6">
        <v>250000.0</v>
      </c>
    </row>
    <row r="727" ht="15.75" customHeight="1">
      <c r="A727" s="4"/>
      <c r="B727" s="4"/>
      <c r="C727" s="4" t="s">
        <v>6010</v>
      </c>
      <c r="D727" s="4" t="s">
        <v>5553</v>
      </c>
      <c r="E727" s="6">
        <v>375000.0</v>
      </c>
    </row>
    <row r="728" ht="15.75" customHeight="1">
      <c r="A728" s="4"/>
      <c r="B728" s="4"/>
      <c r="C728" s="4" t="s">
        <v>6011</v>
      </c>
      <c r="D728" s="4" t="s">
        <v>5553</v>
      </c>
      <c r="E728" s="6">
        <v>485000.0</v>
      </c>
    </row>
    <row r="729" ht="15.75" customHeight="1">
      <c r="A729" s="4"/>
      <c r="B729" s="4"/>
      <c r="C729" s="4" t="s">
        <v>6012</v>
      </c>
      <c r="D729" s="4" t="s">
        <v>5553</v>
      </c>
      <c r="E729" s="6">
        <v>630000.0</v>
      </c>
    </row>
    <row r="730" ht="15.75" customHeight="1">
      <c r="A730" s="4"/>
      <c r="B730" s="4"/>
      <c r="C730" s="4" t="s">
        <v>6013</v>
      </c>
      <c r="D730" s="4" t="s">
        <v>5553</v>
      </c>
      <c r="E730" s="6">
        <v>870000.0</v>
      </c>
    </row>
    <row r="731" ht="15.75" customHeight="1">
      <c r="A731" s="4"/>
      <c r="B731" s="4"/>
      <c r="C731" s="4" t="s">
        <v>6014</v>
      </c>
      <c r="D731" s="4" t="s">
        <v>5553</v>
      </c>
      <c r="E731" s="6">
        <v>980000.0</v>
      </c>
    </row>
    <row r="732" ht="15.75" customHeight="1">
      <c r="A732" s="4"/>
      <c r="B732" s="4"/>
      <c r="C732" s="4" t="s">
        <v>6015</v>
      </c>
      <c r="D732" s="4" t="s">
        <v>5553</v>
      </c>
      <c r="E732" s="6">
        <v>1170000.0</v>
      </c>
    </row>
    <row r="733" ht="15.75" customHeight="1">
      <c r="A733" s="4"/>
      <c r="B733" s="4"/>
      <c r="C733" s="4" t="s">
        <v>6016</v>
      </c>
      <c r="D733" s="4" t="s">
        <v>5553</v>
      </c>
      <c r="E733" s="6">
        <v>1370000.0</v>
      </c>
    </row>
    <row r="734" ht="15.75" customHeight="1">
      <c r="A734" s="4"/>
      <c r="B734" s="4"/>
      <c r="C734" s="4" t="s">
        <v>6017</v>
      </c>
      <c r="D734" s="4" t="s">
        <v>5553</v>
      </c>
      <c r="E734" s="6">
        <v>1520000.0</v>
      </c>
    </row>
    <row r="735" ht="15.75" customHeight="1">
      <c r="A735" s="4"/>
      <c r="B735" s="4"/>
      <c r="C735" s="4" t="s">
        <v>6018</v>
      </c>
      <c r="D735" s="4" t="s">
        <v>5553</v>
      </c>
      <c r="E735" s="6">
        <v>1740000.0</v>
      </c>
    </row>
    <row r="736" ht="15.75" customHeight="1">
      <c r="A736" s="4"/>
      <c r="B736" s="4"/>
      <c r="C736" s="4" t="s">
        <v>6019</v>
      </c>
      <c r="D736" s="4" t="s">
        <v>5553</v>
      </c>
      <c r="E736" s="6">
        <v>1960000.0</v>
      </c>
    </row>
    <row r="737" ht="15.75" customHeight="1">
      <c r="A737" s="4"/>
      <c r="B737" s="4"/>
      <c r="C737" s="4" t="s">
        <v>6020</v>
      </c>
      <c r="D737" s="4" t="s">
        <v>5553</v>
      </c>
      <c r="E737" s="6">
        <v>2130000.0</v>
      </c>
    </row>
    <row r="738" ht="15.75" customHeight="1">
      <c r="A738" s="4"/>
      <c r="B738" s="4"/>
      <c r="C738" s="4" t="s">
        <v>6021</v>
      </c>
      <c r="D738" s="4" t="s">
        <v>5553</v>
      </c>
      <c r="E738" s="6">
        <v>2480000.0</v>
      </c>
    </row>
    <row r="739" ht="15.75" customHeight="1">
      <c r="A739" s="4"/>
      <c r="B739" s="4"/>
      <c r="C739" s="4" t="s">
        <v>6022</v>
      </c>
      <c r="D739" s="4" t="s">
        <v>5553</v>
      </c>
      <c r="E739" s="6">
        <v>21450.0</v>
      </c>
    </row>
    <row r="740" ht="15.75" customHeight="1">
      <c r="A740" s="4"/>
      <c r="B740" s="4"/>
      <c r="C740" s="4" t="s">
        <v>6023</v>
      </c>
      <c r="D740" s="4" t="s">
        <v>5553</v>
      </c>
      <c r="E740" s="6">
        <v>69400.0</v>
      </c>
    </row>
    <row r="741" ht="15.75" customHeight="1">
      <c r="A741" s="4"/>
      <c r="B741" s="4"/>
      <c r="C741" s="4" t="s">
        <v>6024</v>
      </c>
      <c r="D741" s="4" t="s">
        <v>5553</v>
      </c>
      <c r="E741" s="6">
        <v>83800.0</v>
      </c>
    </row>
    <row r="742" ht="15.75" customHeight="1">
      <c r="A742" s="4"/>
      <c r="B742" s="4"/>
      <c r="C742" s="4" t="s">
        <v>6025</v>
      </c>
      <c r="D742" s="4" t="s">
        <v>5553</v>
      </c>
      <c r="E742" s="6">
        <v>134600.0</v>
      </c>
    </row>
    <row r="743" ht="15.75" customHeight="1">
      <c r="A743" s="4"/>
      <c r="B743" s="4"/>
      <c r="C743" s="4" t="s">
        <v>6026</v>
      </c>
      <c r="D743" s="4" t="s">
        <v>5553</v>
      </c>
      <c r="E743" s="6">
        <v>202000.0</v>
      </c>
    </row>
    <row r="744" ht="15.75" customHeight="1">
      <c r="A744" s="4"/>
      <c r="B744" s="4"/>
      <c r="C744" s="4" t="s">
        <v>6027</v>
      </c>
      <c r="D744" s="4" t="s">
        <v>5553</v>
      </c>
      <c r="E744" s="6">
        <v>331300.0</v>
      </c>
    </row>
    <row r="745" ht="15.75" customHeight="1">
      <c r="A745" s="4"/>
      <c r="B745" s="4"/>
      <c r="C745" s="4" t="s">
        <v>6028</v>
      </c>
      <c r="D745" s="4" t="s">
        <v>5553</v>
      </c>
      <c r="E745" s="6">
        <v>348000.0</v>
      </c>
    </row>
    <row r="746" ht="15.75" customHeight="1">
      <c r="A746" s="4"/>
      <c r="B746" s="4"/>
      <c r="C746" s="4" t="s">
        <v>6029</v>
      </c>
      <c r="D746" s="4" t="s">
        <v>5553</v>
      </c>
      <c r="E746" s="6">
        <v>609000.0</v>
      </c>
    </row>
    <row r="747" ht="15.75" customHeight="1">
      <c r="A747" s="4"/>
      <c r="B747" s="4"/>
      <c r="C747" s="4" t="s">
        <v>6030</v>
      </c>
      <c r="D747" s="4" t="s">
        <v>5553</v>
      </c>
      <c r="E747" s="6">
        <v>870000.0</v>
      </c>
    </row>
    <row r="748" ht="15.75" customHeight="1">
      <c r="A748" s="4"/>
      <c r="B748" s="4"/>
      <c r="C748" s="4" t="s">
        <v>6031</v>
      </c>
      <c r="D748" s="4" t="s">
        <v>5553</v>
      </c>
      <c r="E748" s="6">
        <v>920500.0</v>
      </c>
    </row>
    <row r="749" ht="15.75" customHeight="1">
      <c r="A749" s="4"/>
      <c r="B749" s="4"/>
      <c r="C749" s="4" t="s">
        <v>6032</v>
      </c>
      <c r="D749" s="4" t="s">
        <v>5553</v>
      </c>
      <c r="E749" s="6">
        <v>1055000.0</v>
      </c>
    </row>
    <row r="750" ht="15.75" customHeight="1">
      <c r="A750" s="4"/>
      <c r="B750" s="4"/>
      <c r="C750" s="4" t="s">
        <v>6033</v>
      </c>
      <c r="D750" s="4" t="s">
        <v>5553</v>
      </c>
      <c r="E750" s="6">
        <v>1315000.0</v>
      </c>
    </row>
    <row r="751" ht="15.75" customHeight="1">
      <c r="A751" s="4"/>
      <c r="B751" s="4"/>
      <c r="C751" s="4" t="s">
        <v>6034</v>
      </c>
      <c r="D751" s="4" t="s">
        <v>5553</v>
      </c>
      <c r="E751" s="6">
        <v>1525000.0</v>
      </c>
    </row>
    <row r="752" ht="15.75" customHeight="1">
      <c r="A752" s="4"/>
      <c r="B752" s="4"/>
      <c r="C752" s="4" t="s">
        <v>6035</v>
      </c>
      <c r="D752" s="4" t="s">
        <v>5553</v>
      </c>
      <c r="E752" s="6">
        <v>1740000.0</v>
      </c>
    </row>
    <row r="753" ht="15.75" customHeight="1">
      <c r="A753" s="4"/>
      <c r="B753" s="4"/>
      <c r="C753" s="4" t="s">
        <v>6036</v>
      </c>
      <c r="D753" s="4" t="s">
        <v>5553</v>
      </c>
      <c r="E753" s="6">
        <v>1980000.0</v>
      </c>
    </row>
    <row r="754" ht="15.75" customHeight="1">
      <c r="A754" s="4"/>
      <c r="B754" s="4"/>
      <c r="C754" s="4" t="s">
        <v>6037</v>
      </c>
      <c r="D754" s="4" t="s">
        <v>5553</v>
      </c>
      <c r="E754" s="6">
        <v>33600.0</v>
      </c>
    </row>
    <row r="755" ht="15.75" customHeight="1">
      <c r="A755" s="4"/>
      <c r="B755" s="4"/>
      <c r="C755" s="4" t="s">
        <v>6038</v>
      </c>
      <c r="D755" s="4" t="s">
        <v>5553</v>
      </c>
      <c r="E755" s="6">
        <v>46500.0</v>
      </c>
    </row>
    <row r="756" ht="15.75" customHeight="1">
      <c r="A756" s="4"/>
      <c r="B756" s="4"/>
      <c r="C756" s="4" t="s">
        <v>6039</v>
      </c>
      <c r="D756" s="4" t="s">
        <v>5553</v>
      </c>
      <c r="E756" s="6">
        <v>87500.0</v>
      </c>
    </row>
    <row r="757" ht="15.75" customHeight="1">
      <c r="A757" s="4"/>
      <c r="B757" s="4"/>
      <c r="C757" s="4" t="s">
        <v>6040</v>
      </c>
      <c r="D757" s="4" t="s">
        <v>5553</v>
      </c>
      <c r="E757" s="6">
        <v>97800.0</v>
      </c>
    </row>
    <row r="758" ht="15.75" customHeight="1">
      <c r="A758" s="4"/>
      <c r="B758" s="4"/>
      <c r="C758" s="4" t="s">
        <v>6041</v>
      </c>
      <c r="D758" s="4" t="s">
        <v>5553</v>
      </c>
      <c r="E758" s="6">
        <v>105700.0</v>
      </c>
    </row>
    <row r="759" ht="15.75" customHeight="1">
      <c r="A759" s="4"/>
      <c r="B759" s="4"/>
      <c r="C759" s="4" t="s">
        <v>6042</v>
      </c>
      <c r="D759" s="4" t="s">
        <v>5553</v>
      </c>
      <c r="E759" s="6">
        <v>136500.0</v>
      </c>
    </row>
    <row r="760" ht="15.75" customHeight="1">
      <c r="A760" s="4"/>
      <c r="B760" s="4"/>
      <c r="C760" s="4" t="s">
        <v>6043</v>
      </c>
      <c r="D760" s="4" t="s">
        <v>5553</v>
      </c>
      <c r="E760" s="6">
        <v>157900.0</v>
      </c>
    </row>
    <row r="761" ht="15.75" customHeight="1">
      <c r="A761" s="4"/>
      <c r="B761" s="4"/>
      <c r="C761" s="4" t="s">
        <v>6044</v>
      </c>
      <c r="D761" s="4" t="s">
        <v>5553</v>
      </c>
      <c r="E761" s="6">
        <v>165400.0</v>
      </c>
    </row>
    <row r="762" ht="15.75" customHeight="1">
      <c r="A762" s="4"/>
      <c r="B762" s="4"/>
      <c r="C762" s="4" t="s">
        <v>6045</v>
      </c>
      <c r="D762" s="4" t="s">
        <v>5553</v>
      </c>
      <c r="E762" s="6">
        <v>360000.0</v>
      </c>
    </row>
    <row r="763" ht="15.75" customHeight="1">
      <c r="A763" s="4"/>
      <c r="B763" s="4"/>
      <c r="C763" s="4" t="s">
        <v>6046</v>
      </c>
      <c r="D763" s="4" t="s">
        <v>5553</v>
      </c>
      <c r="E763" s="6">
        <v>740900.0</v>
      </c>
    </row>
    <row r="764" ht="15.75" customHeight="1">
      <c r="A764" s="4"/>
      <c r="B764" s="4"/>
      <c r="C764" s="4" t="s">
        <v>6047</v>
      </c>
      <c r="D764" s="4" t="s">
        <v>5553</v>
      </c>
      <c r="E764" s="6">
        <v>937500.0</v>
      </c>
    </row>
    <row r="765" ht="15.75" customHeight="1">
      <c r="A765" s="4"/>
      <c r="B765" s="4"/>
      <c r="C765" s="4" t="s">
        <v>6048</v>
      </c>
      <c r="D765" s="4" t="s">
        <v>5553</v>
      </c>
      <c r="E765" s="6">
        <v>1050900.0</v>
      </c>
    </row>
    <row r="766" ht="15.75" customHeight="1">
      <c r="A766" s="4"/>
      <c r="B766" s="4"/>
      <c r="C766" s="4" t="s">
        <v>6049</v>
      </c>
      <c r="D766" s="4" t="s">
        <v>5553</v>
      </c>
      <c r="E766" s="6">
        <v>1345000.0</v>
      </c>
    </row>
    <row r="767" ht="15.75" customHeight="1">
      <c r="A767" s="4"/>
      <c r="B767" s="4"/>
      <c r="C767" s="4" t="s">
        <v>6050</v>
      </c>
      <c r="D767" s="4" t="s">
        <v>5553</v>
      </c>
      <c r="E767" s="6">
        <v>1678000.0</v>
      </c>
    </row>
    <row r="768" ht="15.75" customHeight="1">
      <c r="A768" s="4"/>
      <c r="B768" s="4"/>
      <c r="C768" s="4" t="s">
        <v>6051</v>
      </c>
      <c r="D768" s="4" t="s">
        <v>5553</v>
      </c>
      <c r="E768" s="6">
        <v>1945000.0</v>
      </c>
    </row>
    <row r="769" ht="15.75" customHeight="1">
      <c r="A769" s="4"/>
      <c r="B769" s="4"/>
      <c r="C769" s="4" t="s">
        <v>6052</v>
      </c>
      <c r="D769" s="4" t="s">
        <v>5553</v>
      </c>
      <c r="E769" s="6">
        <v>136100.0</v>
      </c>
    </row>
    <row r="770" ht="15.75" customHeight="1">
      <c r="A770" s="4"/>
      <c r="B770" s="4"/>
      <c r="C770" s="4" t="s">
        <v>6053</v>
      </c>
      <c r="D770" s="4" t="s">
        <v>5553</v>
      </c>
      <c r="E770" s="6">
        <v>170700.0</v>
      </c>
    </row>
    <row r="771" ht="15.75" customHeight="1">
      <c r="A771" s="4"/>
      <c r="B771" s="4"/>
      <c r="C771" s="4" t="s">
        <v>6054</v>
      </c>
      <c r="D771" s="4" t="s">
        <v>5553</v>
      </c>
      <c r="E771" s="6">
        <v>276400.0</v>
      </c>
    </row>
    <row r="772" ht="15.75" customHeight="1">
      <c r="A772" s="4"/>
      <c r="B772" s="4"/>
      <c r="C772" s="4" t="s">
        <v>6055</v>
      </c>
      <c r="D772" s="4" t="s">
        <v>5553</v>
      </c>
      <c r="E772" s="6">
        <v>303600.0</v>
      </c>
    </row>
    <row r="773" ht="15.75" customHeight="1">
      <c r="A773" s="4"/>
      <c r="B773" s="4"/>
      <c r="C773" s="4" t="s">
        <v>6056</v>
      </c>
      <c r="D773" s="4" t="s">
        <v>5553</v>
      </c>
      <c r="E773" s="6">
        <v>515200.0</v>
      </c>
    </row>
    <row r="774" ht="15.75" customHeight="1">
      <c r="A774" s="4"/>
      <c r="B774" s="4"/>
      <c r="C774" s="4" t="s">
        <v>6057</v>
      </c>
      <c r="D774" s="4" t="s">
        <v>5553</v>
      </c>
      <c r="E774" s="6">
        <v>829300.0</v>
      </c>
    </row>
    <row r="775" ht="15.75" customHeight="1">
      <c r="A775" s="4"/>
      <c r="B775" s="4"/>
      <c r="C775" s="4" t="s">
        <v>6058</v>
      </c>
      <c r="D775" s="4" t="s">
        <v>5553</v>
      </c>
      <c r="E775" s="6">
        <v>1364500.0</v>
      </c>
    </row>
    <row r="776" ht="15.75" customHeight="1">
      <c r="A776" s="4"/>
      <c r="B776" s="4"/>
      <c r="C776" s="4" t="s">
        <v>6059</v>
      </c>
      <c r="D776" s="4" t="s">
        <v>5553</v>
      </c>
      <c r="E776" s="6">
        <v>1808900.0</v>
      </c>
    </row>
    <row r="777" ht="15.75" customHeight="1">
      <c r="A777" s="4"/>
      <c r="B777" s="4"/>
      <c r="C777" s="4" t="s">
        <v>6060</v>
      </c>
      <c r="D777" s="4" t="s">
        <v>5553</v>
      </c>
      <c r="E777" s="6">
        <v>2170800.0</v>
      </c>
    </row>
    <row r="778" ht="15.75" customHeight="1">
      <c r="A778" s="4"/>
      <c r="B778" s="4"/>
      <c r="C778" s="4" t="s">
        <v>6061</v>
      </c>
      <c r="D778" s="4" t="s">
        <v>5553</v>
      </c>
      <c r="E778" s="6">
        <v>104500.0</v>
      </c>
    </row>
    <row r="779" ht="15.75" customHeight="1">
      <c r="A779" s="4"/>
      <c r="B779" s="4"/>
      <c r="C779" s="4" t="s">
        <v>6062</v>
      </c>
      <c r="D779" s="4" t="s">
        <v>5553</v>
      </c>
      <c r="E779" s="6">
        <v>118000.0</v>
      </c>
    </row>
    <row r="780" ht="15.75" customHeight="1">
      <c r="A780" s="4"/>
      <c r="B780" s="4"/>
      <c r="C780" s="4" t="s">
        <v>6063</v>
      </c>
      <c r="D780" s="4" t="s">
        <v>5553</v>
      </c>
      <c r="E780" s="6">
        <v>140500.0</v>
      </c>
    </row>
    <row r="781" ht="15.75" customHeight="1">
      <c r="A781" s="4"/>
      <c r="B781" s="4"/>
      <c r="C781" s="4" t="s">
        <v>6064</v>
      </c>
      <c r="D781" s="4" t="s">
        <v>5553</v>
      </c>
      <c r="E781" s="6">
        <v>189900.0</v>
      </c>
    </row>
    <row r="782" ht="15.75" customHeight="1">
      <c r="A782" s="4"/>
      <c r="B782" s="4"/>
      <c r="C782" s="4" t="s">
        <v>6065</v>
      </c>
      <c r="D782" s="4" t="s">
        <v>5553</v>
      </c>
      <c r="E782" s="6">
        <v>252900.0</v>
      </c>
    </row>
    <row r="783" ht="15.75" customHeight="1">
      <c r="A783" s="4"/>
      <c r="B783" s="4"/>
      <c r="C783" s="4" t="s">
        <v>6066</v>
      </c>
      <c r="D783" s="4" t="s">
        <v>5553</v>
      </c>
      <c r="E783" s="6">
        <v>966300.0</v>
      </c>
    </row>
    <row r="784" ht="15.75" customHeight="1">
      <c r="A784" s="4"/>
      <c r="B784" s="4"/>
      <c r="C784" s="4" t="s">
        <v>6067</v>
      </c>
      <c r="D784" s="4" t="s">
        <v>5553</v>
      </c>
      <c r="E784" s="6">
        <v>1214300.0</v>
      </c>
    </row>
    <row r="785" ht="15.75" customHeight="1">
      <c r="A785" s="4"/>
      <c r="B785" s="4"/>
      <c r="C785" s="4" t="s">
        <v>6068</v>
      </c>
      <c r="D785" s="4" t="s">
        <v>5553</v>
      </c>
      <c r="E785" s="6">
        <v>1573100.0</v>
      </c>
    </row>
    <row r="786" ht="15.75" customHeight="1">
      <c r="A786" s="4"/>
      <c r="B786" s="4"/>
      <c r="C786" s="4" t="s">
        <v>6069</v>
      </c>
      <c r="D786" s="4" t="s">
        <v>5553</v>
      </c>
      <c r="E786" s="6">
        <v>2121400.0</v>
      </c>
    </row>
    <row r="787" ht="15.75" customHeight="1">
      <c r="A787" s="4"/>
      <c r="B787" s="4"/>
      <c r="C787" s="4" t="s">
        <v>6070</v>
      </c>
      <c r="D787" s="4" t="s">
        <v>5553</v>
      </c>
      <c r="E787" s="6">
        <v>3890000.0</v>
      </c>
    </row>
    <row r="788" ht="15.75" customHeight="1">
      <c r="A788" s="4"/>
      <c r="B788" s="4"/>
      <c r="C788" s="4" t="s">
        <v>6071</v>
      </c>
      <c r="D788" s="4" t="s">
        <v>5553</v>
      </c>
      <c r="E788" s="6">
        <v>4996000.0</v>
      </c>
    </row>
    <row r="789" ht="15.75" customHeight="1">
      <c r="A789" s="4"/>
      <c r="B789" s="4"/>
      <c r="C789" s="4" t="s">
        <v>6072</v>
      </c>
      <c r="D789" s="4" t="s">
        <v>5553</v>
      </c>
      <c r="E789" s="6">
        <v>5740000.0</v>
      </c>
    </row>
    <row r="790" ht="15.75" customHeight="1">
      <c r="A790" s="4"/>
      <c r="B790" s="4"/>
      <c r="C790" s="4" t="s">
        <v>6073</v>
      </c>
      <c r="D790" s="4" t="s">
        <v>5553</v>
      </c>
      <c r="E790" s="6">
        <v>58000.0</v>
      </c>
    </row>
    <row r="791" ht="15.75" customHeight="1">
      <c r="A791" s="4"/>
      <c r="B791" s="4"/>
      <c r="C791" s="4" t="s">
        <v>6074</v>
      </c>
      <c r="D791" s="4" t="s">
        <v>5553</v>
      </c>
      <c r="E791" s="6">
        <v>79800.0</v>
      </c>
    </row>
    <row r="792" ht="15.75" customHeight="1">
      <c r="A792" s="4"/>
      <c r="B792" s="4"/>
      <c r="C792" s="4" t="s">
        <v>6075</v>
      </c>
      <c r="D792" s="4" t="s">
        <v>5553</v>
      </c>
      <c r="E792" s="6">
        <v>123000.0</v>
      </c>
    </row>
    <row r="793" ht="15.75" customHeight="1">
      <c r="A793" s="4"/>
      <c r="B793" s="4"/>
      <c r="C793" s="4" t="s">
        <v>6076</v>
      </c>
      <c r="D793" s="4" t="s">
        <v>5553</v>
      </c>
      <c r="E793" s="6">
        <v>132700.0</v>
      </c>
    </row>
    <row r="794" ht="15.75" customHeight="1">
      <c r="A794" s="4"/>
      <c r="B794" s="4"/>
      <c r="C794" s="4" t="s">
        <v>6077</v>
      </c>
      <c r="D794" s="4" t="s">
        <v>5553</v>
      </c>
      <c r="E794" s="6">
        <v>165400.0</v>
      </c>
    </row>
    <row r="795" ht="15.75" customHeight="1">
      <c r="A795" s="4"/>
      <c r="B795" s="4"/>
      <c r="C795" s="4" t="s">
        <v>6078</v>
      </c>
      <c r="D795" s="4" t="s">
        <v>5553</v>
      </c>
      <c r="E795" s="6">
        <v>218500.0</v>
      </c>
    </row>
    <row r="796" ht="15.75" customHeight="1">
      <c r="A796" s="4"/>
      <c r="B796" s="4"/>
      <c r="C796" s="4" t="s">
        <v>6079</v>
      </c>
      <c r="D796" s="4" t="s">
        <v>6080</v>
      </c>
      <c r="E796" s="6">
        <v>270750.0</v>
      </c>
    </row>
    <row r="797" ht="15.75" customHeight="1">
      <c r="A797" s="4"/>
      <c r="B797" s="4"/>
      <c r="C797" s="4" t="s">
        <v>6081</v>
      </c>
      <c r="D797" s="4" t="s">
        <v>6080</v>
      </c>
      <c r="E797" s="6">
        <v>655914.0</v>
      </c>
    </row>
    <row r="798" ht="15.75" customHeight="1">
      <c r="A798" s="4"/>
      <c r="B798" s="4"/>
      <c r="C798" s="4" t="s">
        <v>6082</v>
      </c>
      <c r="D798" s="4" t="s">
        <v>6080</v>
      </c>
      <c r="E798" s="6">
        <v>1416800.0</v>
      </c>
    </row>
    <row r="799" ht="15.75" customHeight="1">
      <c r="A799" s="4"/>
      <c r="B799" s="4"/>
      <c r="C799" s="4" t="s">
        <v>6083</v>
      </c>
      <c r="D799" s="4" t="s">
        <v>6080</v>
      </c>
      <c r="E799" s="6">
        <v>1740600.0</v>
      </c>
    </row>
    <row r="800" ht="15.75" customHeight="1">
      <c r="A800" s="4"/>
      <c r="B800" s="4"/>
      <c r="C800" s="4" t="s">
        <v>6084</v>
      </c>
      <c r="D800" s="4" t="s">
        <v>6080</v>
      </c>
      <c r="E800" s="6">
        <v>2392000.0</v>
      </c>
    </row>
    <row r="801" ht="15.75" customHeight="1">
      <c r="A801" s="4"/>
      <c r="B801" s="4"/>
      <c r="C801" s="4" t="s">
        <v>6085</v>
      </c>
      <c r="D801" s="4" t="s">
        <v>6080</v>
      </c>
      <c r="E801" s="6">
        <v>2700000.0</v>
      </c>
    </row>
    <row r="802" ht="15.75" customHeight="1">
      <c r="A802" s="4"/>
      <c r="B802" s="4"/>
      <c r="C802" s="4" t="s">
        <v>6086</v>
      </c>
      <c r="D802" s="4" t="s">
        <v>6080</v>
      </c>
      <c r="E802" s="6">
        <v>2980000.0</v>
      </c>
    </row>
    <row r="803" ht="15.75" customHeight="1">
      <c r="A803" s="4"/>
      <c r="B803" s="4"/>
      <c r="C803" s="4" t="s">
        <v>6087</v>
      </c>
      <c r="D803" s="4" t="s">
        <v>6080</v>
      </c>
      <c r="E803" s="6">
        <v>3540900.0</v>
      </c>
    </row>
    <row r="804" ht="15.75" customHeight="1">
      <c r="A804" s="4"/>
      <c r="B804" s="4"/>
      <c r="C804" s="4" t="s">
        <v>6088</v>
      </c>
      <c r="D804" s="4" t="s">
        <v>6080</v>
      </c>
      <c r="E804" s="6">
        <v>3947000.0</v>
      </c>
    </row>
    <row r="805" ht="15.75" customHeight="1">
      <c r="A805" s="4"/>
      <c r="B805" s="4"/>
      <c r="C805" s="4" t="s">
        <v>6089</v>
      </c>
      <c r="D805" s="4" t="s">
        <v>6080</v>
      </c>
      <c r="E805" s="6">
        <v>4230900.0</v>
      </c>
    </row>
    <row r="806" ht="15.75" customHeight="1">
      <c r="A806" s="4"/>
      <c r="B806" s="4"/>
      <c r="C806" s="4" t="s">
        <v>6090</v>
      </c>
      <c r="D806" s="4" t="s">
        <v>6080</v>
      </c>
      <c r="E806" s="6">
        <v>4560000.0</v>
      </c>
    </row>
    <row r="807" ht="15.75" customHeight="1">
      <c r="A807" s="4"/>
      <c r="B807" s="4"/>
      <c r="C807" s="4" t="s">
        <v>6091</v>
      </c>
      <c r="D807" s="4" t="s">
        <v>6080</v>
      </c>
      <c r="E807" s="6">
        <v>4760900.0</v>
      </c>
    </row>
    <row r="808" ht="15.75" customHeight="1">
      <c r="A808" s="4"/>
      <c r="B808" s="4"/>
      <c r="C808" s="4" t="s">
        <v>6092</v>
      </c>
      <c r="D808" s="4" t="s">
        <v>6093</v>
      </c>
      <c r="E808" s="6">
        <v>2449000.0</v>
      </c>
    </row>
    <row r="809" ht="15.75" customHeight="1">
      <c r="A809" s="4"/>
      <c r="B809" s="4"/>
      <c r="C809" s="4" t="s">
        <v>6094</v>
      </c>
      <c r="D809" s="4" t="s">
        <v>6093</v>
      </c>
      <c r="E809" s="6">
        <v>47500.0</v>
      </c>
    </row>
    <row r="810" ht="15.75" customHeight="1">
      <c r="A810" s="4"/>
      <c r="B810" s="4"/>
      <c r="C810" s="4" t="s">
        <v>6095</v>
      </c>
      <c r="D810" s="4" t="s">
        <v>6093</v>
      </c>
      <c r="E810" s="6">
        <v>56700.0</v>
      </c>
    </row>
    <row r="811" ht="15.75" customHeight="1">
      <c r="A811" s="4"/>
      <c r="B811" s="4"/>
      <c r="C811" s="4" t="s">
        <v>6096</v>
      </c>
      <c r="D811" s="4" t="s">
        <v>6093</v>
      </c>
      <c r="E811" s="6">
        <v>65000.0</v>
      </c>
    </row>
    <row r="812" ht="15.75" customHeight="1">
      <c r="A812" s="4"/>
      <c r="B812" s="4"/>
      <c r="C812" s="4" t="s">
        <v>6097</v>
      </c>
      <c r="D812" s="4" t="s">
        <v>6093</v>
      </c>
      <c r="E812" s="6">
        <v>72500.0</v>
      </c>
    </row>
    <row r="813" ht="15.75" customHeight="1">
      <c r="A813" s="4"/>
      <c r="B813" s="4"/>
      <c r="C813" s="4" t="s">
        <v>6098</v>
      </c>
      <c r="D813" s="4" t="s">
        <v>6093</v>
      </c>
      <c r="E813" s="6">
        <v>178900.0</v>
      </c>
    </row>
    <row r="814" ht="15.75" customHeight="1">
      <c r="A814" s="4"/>
      <c r="B814" s="4"/>
      <c r="C814" s="4" t="s">
        <v>6099</v>
      </c>
      <c r="D814" s="4" t="s">
        <v>6093</v>
      </c>
      <c r="E814" s="6">
        <v>230880.0</v>
      </c>
    </row>
    <row r="815" ht="15.75" customHeight="1">
      <c r="A815" s="4"/>
      <c r="B815" s="4"/>
      <c r="C815" s="4" t="s">
        <v>6100</v>
      </c>
      <c r="D815" s="4" t="s">
        <v>6093</v>
      </c>
      <c r="E815" s="6">
        <v>370000.0</v>
      </c>
    </row>
    <row r="816" ht="15.75" customHeight="1">
      <c r="A816" s="4"/>
      <c r="B816" s="4"/>
      <c r="C816" s="4" t="s">
        <v>6101</v>
      </c>
      <c r="D816" s="4" t="s">
        <v>6080</v>
      </c>
      <c r="E816" s="6">
        <v>29800.0</v>
      </c>
    </row>
    <row r="817" ht="15.75" customHeight="1">
      <c r="A817" s="4"/>
      <c r="B817" s="4"/>
      <c r="C817" s="4" t="s">
        <v>6102</v>
      </c>
      <c r="D817" s="4" t="s">
        <v>6080</v>
      </c>
      <c r="E817" s="6">
        <v>33925.0</v>
      </c>
    </row>
    <row r="818" ht="15.75" customHeight="1">
      <c r="A818" s="4"/>
      <c r="B818" s="4"/>
      <c r="C818" s="4" t="s">
        <v>6103</v>
      </c>
      <c r="D818" s="4" t="s">
        <v>6080</v>
      </c>
      <c r="E818" s="6">
        <v>37375.0</v>
      </c>
    </row>
    <row r="819" ht="15.75" customHeight="1">
      <c r="A819" s="4"/>
      <c r="B819" s="4"/>
      <c r="C819" s="4" t="s">
        <v>6104</v>
      </c>
      <c r="D819" s="4" t="s">
        <v>6080</v>
      </c>
      <c r="E819" s="6">
        <v>40250.0</v>
      </c>
    </row>
    <row r="820" ht="15.75" customHeight="1">
      <c r="A820" s="4"/>
      <c r="B820" s="4"/>
      <c r="C820" s="4" t="s">
        <v>6105</v>
      </c>
      <c r="D820" s="4" t="s">
        <v>6080</v>
      </c>
      <c r="E820" s="6">
        <v>51700.0</v>
      </c>
    </row>
    <row r="821" ht="15.75" customHeight="1">
      <c r="A821" s="4"/>
      <c r="B821" s="4"/>
      <c r="C821" s="4" t="s">
        <v>6106</v>
      </c>
      <c r="D821" s="4" t="s">
        <v>6080</v>
      </c>
      <c r="E821" s="6">
        <v>61100.0</v>
      </c>
    </row>
    <row r="822" ht="15.75" customHeight="1">
      <c r="A822" s="4"/>
      <c r="B822" s="4"/>
      <c r="C822" s="4" t="s">
        <v>6107</v>
      </c>
      <c r="D822" s="4" t="s">
        <v>6080</v>
      </c>
      <c r="E822" s="6">
        <v>90250.0</v>
      </c>
    </row>
    <row r="823" ht="15.75" customHeight="1">
      <c r="A823" s="4"/>
      <c r="B823" s="4"/>
      <c r="C823" s="4" t="s">
        <v>6108</v>
      </c>
      <c r="D823" s="4" t="s">
        <v>6080</v>
      </c>
      <c r="E823" s="6">
        <v>142500.0</v>
      </c>
    </row>
    <row r="824" ht="15.75" customHeight="1">
      <c r="A824" s="4"/>
      <c r="B824" s="4"/>
      <c r="C824" s="4" t="s">
        <v>6109</v>
      </c>
      <c r="D824" s="4" t="s">
        <v>6080</v>
      </c>
      <c r="E824" s="6">
        <v>167500.0</v>
      </c>
    </row>
    <row r="825" ht="15.75" customHeight="1">
      <c r="A825" s="4"/>
      <c r="B825" s="4"/>
      <c r="C825" s="4" t="s">
        <v>6110</v>
      </c>
      <c r="D825" s="4" t="s">
        <v>6080</v>
      </c>
      <c r="E825" s="6">
        <v>136800.0</v>
      </c>
    </row>
    <row r="826" ht="15.75" customHeight="1">
      <c r="A826" s="4"/>
      <c r="B826" s="4"/>
      <c r="C826" s="4" t="s">
        <v>6111</v>
      </c>
      <c r="D826" s="4" t="s">
        <v>6080</v>
      </c>
      <c r="E826" s="6">
        <v>163100.0</v>
      </c>
    </row>
    <row r="827" ht="15.75" customHeight="1">
      <c r="A827" s="4"/>
      <c r="B827" s="4"/>
      <c r="C827" s="4" t="s">
        <v>6112</v>
      </c>
      <c r="D827" s="4" t="s">
        <v>6080</v>
      </c>
      <c r="E827" s="6">
        <v>199500.0</v>
      </c>
    </row>
    <row r="828" ht="15.75" customHeight="1">
      <c r="A828" s="4"/>
      <c r="B828" s="4"/>
      <c r="C828" s="4" t="s">
        <v>6113</v>
      </c>
      <c r="D828" s="4" t="s">
        <v>6080</v>
      </c>
      <c r="E828" s="6">
        <v>300300.0</v>
      </c>
    </row>
    <row r="829" ht="15.75" customHeight="1">
      <c r="A829" s="4"/>
      <c r="B829" s="4"/>
      <c r="C829" s="4" t="s">
        <v>6114</v>
      </c>
      <c r="D829" s="4" t="s">
        <v>6080</v>
      </c>
      <c r="E829" s="6">
        <v>415500.0</v>
      </c>
    </row>
    <row r="830" ht="15.75" customHeight="1">
      <c r="A830" s="4"/>
      <c r="B830" s="4"/>
      <c r="C830" s="4" t="s">
        <v>6115</v>
      </c>
      <c r="D830" s="4" t="s">
        <v>6080</v>
      </c>
      <c r="E830" s="6">
        <v>507600.0</v>
      </c>
    </row>
    <row r="831" ht="15.75" customHeight="1">
      <c r="A831" s="4"/>
      <c r="B831" s="4"/>
      <c r="C831" s="4" t="s">
        <v>6116</v>
      </c>
      <c r="D831" s="4" t="s">
        <v>6080</v>
      </c>
      <c r="E831" s="6">
        <v>45000.0</v>
      </c>
    </row>
    <row r="832" ht="15.75" customHeight="1">
      <c r="A832" s="4"/>
      <c r="B832" s="4"/>
      <c r="C832" s="4" t="s">
        <v>6117</v>
      </c>
      <c r="D832" s="4" t="s">
        <v>6080</v>
      </c>
      <c r="E832" s="6">
        <v>65000.0</v>
      </c>
    </row>
    <row r="833" ht="15.75" customHeight="1">
      <c r="A833" s="4"/>
      <c r="B833" s="4"/>
      <c r="C833" s="4" t="s">
        <v>6118</v>
      </c>
      <c r="D833" s="4" t="s">
        <v>6080</v>
      </c>
      <c r="E833" s="6">
        <v>80000.0</v>
      </c>
    </row>
    <row r="834" ht="15.75" customHeight="1">
      <c r="A834" s="4"/>
      <c r="B834" s="4"/>
      <c r="C834" s="4" t="s">
        <v>6119</v>
      </c>
      <c r="D834" s="4" t="s">
        <v>6080</v>
      </c>
      <c r="E834" s="6">
        <v>4900000.0</v>
      </c>
    </row>
    <row r="835" ht="15.75" customHeight="1">
      <c r="A835" s="4"/>
      <c r="B835" s="4"/>
      <c r="C835" s="4" t="s">
        <v>6120</v>
      </c>
      <c r="D835" s="4" t="s">
        <v>6080</v>
      </c>
      <c r="E835" s="6">
        <v>5350000.0</v>
      </c>
    </row>
    <row r="836" ht="15.75" customHeight="1">
      <c r="A836" s="4"/>
      <c r="B836" s="4"/>
      <c r="C836" s="4" t="s">
        <v>6121</v>
      </c>
      <c r="D836" s="4" t="s">
        <v>6080</v>
      </c>
      <c r="E836" s="6">
        <v>7500000.0</v>
      </c>
    </row>
    <row r="837" ht="15.75" customHeight="1">
      <c r="A837" s="4"/>
      <c r="B837" s="4"/>
      <c r="C837" s="4" t="s">
        <v>6122</v>
      </c>
      <c r="D837" s="4" t="s">
        <v>6080</v>
      </c>
      <c r="E837" s="6">
        <v>8450000.0</v>
      </c>
    </row>
    <row r="838" ht="15.75" customHeight="1">
      <c r="A838" s="4"/>
      <c r="B838" s="4"/>
      <c r="C838" s="4" t="s">
        <v>6123</v>
      </c>
      <c r="D838" s="4" t="s">
        <v>6080</v>
      </c>
      <c r="E838" s="6">
        <v>8930000.0</v>
      </c>
    </row>
    <row r="839" ht="15.75" customHeight="1">
      <c r="A839" s="4"/>
      <c r="B839" s="4"/>
      <c r="C839" s="4" t="s">
        <v>6124</v>
      </c>
      <c r="D839" s="4" t="s">
        <v>6080</v>
      </c>
      <c r="E839" s="6">
        <v>9430000.0</v>
      </c>
    </row>
    <row r="840" ht="15.75" customHeight="1">
      <c r="A840" s="4"/>
      <c r="B840" s="4"/>
      <c r="C840" s="4" t="s">
        <v>6125</v>
      </c>
      <c r="D840" s="4" t="s">
        <v>5553</v>
      </c>
      <c r="E840" s="6">
        <v>250000.0</v>
      </c>
    </row>
    <row r="841" ht="15.75" customHeight="1">
      <c r="A841" s="4"/>
      <c r="B841" s="4"/>
      <c r="C841" s="4" t="s">
        <v>6126</v>
      </c>
      <c r="D841" s="4" t="s">
        <v>5553</v>
      </c>
      <c r="E841" s="6">
        <v>850000.0</v>
      </c>
    </row>
    <row r="842" ht="15.75" customHeight="1">
      <c r="A842" s="4"/>
      <c r="B842" s="4"/>
      <c r="C842" s="4" t="s">
        <v>6127</v>
      </c>
      <c r="D842" s="4" t="s">
        <v>5553</v>
      </c>
      <c r="E842" s="6">
        <v>1050000.0</v>
      </c>
    </row>
    <row r="843" ht="15.75" customHeight="1">
      <c r="A843" s="4"/>
      <c r="B843" s="4"/>
      <c r="C843" s="4" t="s">
        <v>6128</v>
      </c>
      <c r="D843" s="4" t="s">
        <v>5553</v>
      </c>
      <c r="E843" s="6">
        <v>1230800.0</v>
      </c>
    </row>
    <row r="844" ht="15.75" customHeight="1">
      <c r="A844" s="4"/>
      <c r="B844" s="4"/>
      <c r="C844" s="4" t="s">
        <v>6129</v>
      </c>
      <c r="D844" s="4" t="s">
        <v>5553</v>
      </c>
      <c r="E844" s="6">
        <v>1432000.0</v>
      </c>
    </row>
    <row r="845" ht="15.75" customHeight="1">
      <c r="A845" s="4"/>
      <c r="B845" s="4"/>
      <c r="C845" s="4" t="s">
        <v>6130</v>
      </c>
      <c r="D845" s="4" t="s">
        <v>5553</v>
      </c>
      <c r="E845" s="6">
        <v>1653000.0</v>
      </c>
    </row>
    <row r="846" ht="15.75" customHeight="1">
      <c r="A846" s="4"/>
      <c r="B846" s="4"/>
      <c r="C846" s="4" t="s">
        <v>6131</v>
      </c>
      <c r="D846" s="4" t="s">
        <v>5553</v>
      </c>
      <c r="E846" s="6">
        <v>235000.0</v>
      </c>
    </row>
    <row r="847" ht="15.75" customHeight="1">
      <c r="A847" s="4"/>
      <c r="B847" s="4"/>
      <c r="C847" s="4" t="s">
        <v>6132</v>
      </c>
      <c r="D847" s="4" t="s">
        <v>5553</v>
      </c>
      <c r="E847" s="6">
        <v>81100.0</v>
      </c>
    </row>
    <row r="848" ht="15.75" customHeight="1">
      <c r="A848" s="4"/>
      <c r="B848" s="4"/>
      <c r="C848" s="4" t="s">
        <v>6133</v>
      </c>
      <c r="D848" s="4" t="s">
        <v>5553</v>
      </c>
      <c r="E848" s="6">
        <v>220800.0</v>
      </c>
    </row>
    <row r="849" ht="15.75" customHeight="1">
      <c r="A849" s="4"/>
      <c r="B849" s="4"/>
      <c r="C849" s="4" t="s">
        <v>6134</v>
      </c>
      <c r="D849" s="4" t="s">
        <v>27</v>
      </c>
      <c r="E849" s="6">
        <v>1325000.0</v>
      </c>
    </row>
    <row r="850" ht="15.75" customHeight="1">
      <c r="A850" s="4"/>
      <c r="B850" s="4"/>
      <c r="C850" s="4" t="s">
        <v>6135</v>
      </c>
      <c r="D850" s="4" t="s">
        <v>27</v>
      </c>
      <c r="E850" s="6">
        <v>5600000.0</v>
      </c>
    </row>
    <row r="851" ht="15.75" customHeight="1">
      <c r="A851" s="4"/>
      <c r="B851" s="4"/>
      <c r="C851" s="4" t="s">
        <v>6136</v>
      </c>
      <c r="D851" s="4" t="s">
        <v>27</v>
      </c>
      <c r="E851" s="6">
        <v>3500000.0</v>
      </c>
    </row>
    <row r="852" ht="15.75" customHeight="1">
      <c r="A852" s="4"/>
      <c r="B852" s="4"/>
      <c r="C852" s="4" t="s">
        <v>6137</v>
      </c>
      <c r="D852" s="4" t="s">
        <v>27</v>
      </c>
      <c r="E852" s="6">
        <v>4600000.0</v>
      </c>
    </row>
    <row r="853" ht="15.75" customHeight="1">
      <c r="A853" s="4"/>
      <c r="B853" s="4"/>
      <c r="C853" s="4" t="s">
        <v>6138</v>
      </c>
      <c r="D853" s="4" t="s">
        <v>6080</v>
      </c>
      <c r="E853" s="6">
        <v>9950.0</v>
      </c>
    </row>
    <row r="854" ht="15.75" customHeight="1">
      <c r="A854" s="4"/>
      <c r="B854" s="4"/>
      <c r="C854" s="4" t="s">
        <v>6139</v>
      </c>
      <c r="D854" s="4" t="s">
        <v>6080</v>
      </c>
      <c r="E854" s="6">
        <v>19500.0</v>
      </c>
    </row>
    <row r="855" ht="15.75" customHeight="1">
      <c r="A855" s="4"/>
      <c r="B855" s="4"/>
      <c r="C855" s="4" t="s">
        <v>6140</v>
      </c>
      <c r="D855" s="4" t="s">
        <v>6080</v>
      </c>
      <c r="E855" s="6">
        <v>28000.0</v>
      </c>
    </row>
    <row r="856" ht="15.75" customHeight="1">
      <c r="A856" s="4"/>
      <c r="B856" s="4"/>
      <c r="C856" s="4" t="s">
        <v>6141</v>
      </c>
      <c r="D856" s="4" t="s">
        <v>27</v>
      </c>
      <c r="E856" s="6">
        <v>1083333.333333333</v>
      </c>
    </row>
    <row r="857" ht="15.75" customHeight="1">
      <c r="A857" s="4"/>
      <c r="B857" s="4"/>
      <c r="C857" s="4" t="s">
        <v>6142</v>
      </c>
      <c r="D857" s="4" t="s">
        <v>27</v>
      </c>
      <c r="E857" s="6">
        <v>1083000.0</v>
      </c>
    </row>
    <row r="858" ht="15.75" customHeight="1">
      <c r="A858" s="4"/>
      <c r="B858" s="4"/>
      <c r="C858" s="4" t="s">
        <v>6143</v>
      </c>
      <c r="D858" s="4" t="s">
        <v>27</v>
      </c>
      <c r="E858" s="6">
        <v>1100000.0</v>
      </c>
    </row>
    <row r="859" ht="15.75" customHeight="1">
      <c r="A859" s="4"/>
      <c r="B859" s="4"/>
      <c r="C859" s="4" t="s">
        <v>6144</v>
      </c>
      <c r="D859" s="4" t="s">
        <v>27</v>
      </c>
      <c r="E859" s="6">
        <v>1100000.0</v>
      </c>
    </row>
    <row r="860" ht="15.75" customHeight="1">
      <c r="A860" s="4"/>
      <c r="B860" s="4"/>
      <c r="C860" s="4" t="s">
        <v>6145</v>
      </c>
      <c r="D860" s="4" t="s">
        <v>27</v>
      </c>
      <c r="E860" s="6">
        <v>1300000.0</v>
      </c>
    </row>
    <row r="861" ht="15.75" customHeight="1">
      <c r="A861" s="4"/>
      <c r="B861" s="4"/>
      <c r="C861" s="4" t="s">
        <v>6146</v>
      </c>
      <c r="D861" s="4" t="s">
        <v>27</v>
      </c>
      <c r="E861" s="6">
        <v>1300000.0</v>
      </c>
    </row>
    <row r="862" ht="15.75" customHeight="1">
      <c r="A862" s="4"/>
      <c r="B862" s="4"/>
      <c r="C862" s="4" t="s">
        <v>6147</v>
      </c>
      <c r="D862" s="4" t="s">
        <v>27</v>
      </c>
      <c r="E862" s="6">
        <v>1450000.0</v>
      </c>
    </row>
    <row r="863" ht="15.75" customHeight="1">
      <c r="A863" s="4"/>
      <c r="B863" s="4"/>
      <c r="C863" s="4" t="s">
        <v>6148</v>
      </c>
      <c r="D863" s="4" t="s">
        <v>27</v>
      </c>
      <c r="E863" s="6">
        <v>1450000.0</v>
      </c>
    </row>
    <row r="864" ht="15.75" customHeight="1">
      <c r="A864" s="4"/>
      <c r="B864" s="4"/>
      <c r="C864" s="4" t="s">
        <v>6149</v>
      </c>
      <c r="D864" s="4" t="s">
        <v>27</v>
      </c>
      <c r="E864" s="6">
        <v>1570000.0</v>
      </c>
    </row>
    <row r="865" ht="15.75" customHeight="1">
      <c r="A865" s="4"/>
      <c r="B865" s="4"/>
      <c r="C865" s="4" t="s">
        <v>6150</v>
      </c>
      <c r="D865" s="4" t="s">
        <v>27</v>
      </c>
      <c r="E865" s="6">
        <v>1570000.0</v>
      </c>
    </row>
    <row r="866" ht="15.75" customHeight="1">
      <c r="A866" s="4"/>
      <c r="B866" s="4"/>
      <c r="C866" s="4" t="s">
        <v>6151</v>
      </c>
      <c r="D866" s="4" t="s">
        <v>27</v>
      </c>
      <c r="E866" s="6">
        <v>1630000.0</v>
      </c>
    </row>
    <row r="867" ht="15.75" customHeight="1">
      <c r="A867" s="4"/>
      <c r="B867" s="4"/>
      <c r="C867" s="4" t="s">
        <v>6152</v>
      </c>
      <c r="D867" s="4" t="s">
        <v>27</v>
      </c>
      <c r="E867" s="6">
        <v>1640000.0</v>
      </c>
    </row>
    <row r="868" ht="15.75" customHeight="1">
      <c r="A868" s="4"/>
      <c r="B868" s="4"/>
      <c r="C868" s="4" t="s">
        <v>6153</v>
      </c>
      <c r="D868" s="4" t="s">
        <v>27</v>
      </c>
      <c r="E868" s="6">
        <v>1780000.0</v>
      </c>
    </row>
    <row r="869" ht="15.75" customHeight="1">
      <c r="A869" s="4"/>
      <c r="B869" s="4"/>
      <c r="C869" s="4" t="s">
        <v>6154</v>
      </c>
      <c r="D869" s="4" t="s">
        <v>27</v>
      </c>
      <c r="E869" s="6">
        <v>1790000.0</v>
      </c>
    </row>
    <row r="870" ht="15.75" customHeight="1">
      <c r="A870" s="4"/>
      <c r="B870" s="4"/>
      <c r="C870" s="4" t="s">
        <v>6155</v>
      </c>
      <c r="D870" s="4" t="s">
        <v>27</v>
      </c>
      <c r="E870" s="6">
        <v>1840000.0</v>
      </c>
    </row>
    <row r="871" ht="15.75" customHeight="1">
      <c r="A871" s="4"/>
      <c r="B871" s="4"/>
      <c r="C871" s="4" t="s">
        <v>6156</v>
      </c>
      <c r="D871" s="4" t="s">
        <v>27</v>
      </c>
      <c r="E871" s="6">
        <v>1850000.0</v>
      </c>
    </row>
    <row r="872" ht="15.75" customHeight="1">
      <c r="A872" s="4"/>
      <c r="B872" s="4"/>
      <c r="C872" s="4" t="s">
        <v>6157</v>
      </c>
      <c r="D872" s="4" t="s">
        <v>27</v>
      </c>
      <c r="E872" s="6">
        <v>1950000.0</v>
      </c>
    </row>
    <row r="873" ht="15.75" customHeight="1">
      <c r="A873" s="4"/>
      <c r="B873" s="4"/>
      <c r="C873" s="4" t="s">
        <v>6158</v>
      </c>
      <c r="D873" s="4" t="s">
        <v>27</v>
      </c>
      <c r="E873" s="6">
        <v>1960000.0</v>
      </c>
    </row>
    <row r="874" ht="15.75" customHeight="1">
      <c r="A874" s="4"/>
      <c r="B874" s="4"/>
      <c r="C874" s="4" t="s">
        <v>6159</v>
      </c>
      <c r="D874" s="4" t="s">
        <v>27</v>
      </c>
      <c r="E874" s="6">
        <v>2100000.0</v>
      </c>
    </row>
    <row r="875" ht="15.75" customHeight="1">
      <c r="A875" s="4"/>
      <c r="B875" s="4"/>
      <c r="C875" s="4" t="s">
        <v>6160</v>
      </c>
      <c r="D875" s="4" t="s">
        <v>27</v>
      </c>
      <c r="E875" s="6">
        <v>2115000.0</v>
      </c>
    </row>
    <row r="876" ht="15.75" customHeight="1">
      <c r="A876" s="4"/>
      <c r="B876" s="4"/>
      <c r="C876" s="4" t="s">
        <v>6161</v>
      </c>
      <c r="D876" s="4" t="s">
        <v>27</v>
      </c>
      <c r="E876" s="6">
        <v>2350000.0</v>
      </c>
    </row>
    <row r="877" ht="15.75" customHeight="1">
      <c r="A877" s="4"/>
      <c r="B877" s="4"/>
      <c r="C877" s="4" t="s">
        <v>6162</v>
      </c>
      <c r="D877" s="4" t="s">
        <v>27</v>
      </c>
      <c r="E877" s="6">
        <v>2360000.0</v>
      </c>
    </row>
    <row r="878" ht="15.75" customHeight="1">
      <c r="A878" s="4"/>
      <c r="B878" s="4"/>
      <c r="C878" s="4" t="s">
        <v>6163</v>
      </c>
      <c r="D878" s="4" t="s">
        <v>27</v>
      </c>
      <c r="E878" s="6">
        <v>2430000.0</v>
      </c>
    </row>
    <row r="879" ht="15.75" customHeight="1">
      <c r="A879" s="4"/>
      <c r="B879" s="4"/>
      <c r="C879" s="4" t="s">
        <v>6164</v>
      </c>
      <c r="D879" s="4" t="s">
        <v>27</v>
      </c>
      <c r="E879" s="6">
        <v>2440000.0</v>
      </c>
    </row>
    <row r="880" ht="15.75" customHeight="1">
      <c r="A880" s="4"/>
      <c r="B880" s="4"/>
      <c r="C880" s="4" t="s">
        <v>6165</v>
      </c>
      <c r="D880" s="4" t="s">
        <v>27</v>
      </c>
      <c r="E880" s="6">
        <v>2560000.0</v>
      </c>
    </row>
    <row r="881" ht="15.75" customHeight="1">
      <c r="A881" s="4"/>
      <c r="B881" s="4"/>
      <c r="C881" s="4" t="s">
        <v>6166</v>
      </c>
      <c r="D881" s="4" t="s">
        <v>27</v>
      </c>
      <c r="E881" s="6">
        <v>2570000.0</v>
      </c>
    </row>
    <row r="882" ht="15.75" customHeight="1">
      <c r="A882" s="4"/>
      <c r="B882" s="4"/>
      <c r="C882" s="4" t="s">
        <v>6167</v>
      </c>
      <c r="D882" s="4" t="s">
        <v>27</v>
      </c>
      <c r="E882" s="6">
        <v>2720000.0</v>
      </c>
    </row>
    <row r="883" ht="15.75" customHeight="1">
      <c r="A883" s="4"/>
      <c r="B883" s="4"/>
      <c r="C883" s="4" t="s">
        <v>6168</v>
      </c>
      <c r="D883" s="4" t="s">
        <v>27</v>
      </c>
      <c r="E883" s="6">
        <v>2730000.0</v>
      </c>
    </row>
    <row r="884" ht="15.75" customHeight="1">
      <c r="A884" s="4"/>
      <c r="B884" s="4"/>
      <c r="C884" s="4" t="s">
        <v>6169</v>
      </c>
      <c r="D884" s="4" t="s">
        <v>27</v>
      </c>
      <c r="E884" s="6">
        <v>236000.0</v>
      </c>
    </row>
    <row r="885" ht="15.75" customHeight="1">
      <c r="A885" s="4"/>
      <c r="B885" s="4"/>
      <c r="C885" s="4" t="s">
        <v>6170</v>
      </c>
      <c r="D885" s="4" t="s">
        <v>27</v>
      </c>
      <c r="E885" s="6">
        <v>235000.0</v>
      </c>
    </row>
    <row r="886" ht="15.75" customHeight="1">
      <c r="A886" s="4"/>
      <c r="B886" s="4"/>
      <c r="C886" s="4" t="s">
        <v>6171</v>
      </c>
      <c r="D886" s="4" t="s">
        <v>27</v>
      </c>
      <c r="E886" s="6">
        <v>236000.0</v>
      </c>
    </row>
    <row r="887" ht="15.75" customHeight="1">
      <c r="A887" s="4"/>
      <c r="B887" s="4"/>
      <c r="C887" s="4" t="s">
        <v>6172</v>
      </c>
      <c r="D887" s="4" t="s">
        <v>27</v>
      </c>
      <c r="E887" s="6">
        <v>264000.0</v>
      </c>
    </row>
    <row r="888" ht="15.75" customHeight="1">
      <c r="A888" s="4"/>
      <c r="B888" s="4"/>
      <c r="C888" s="4" t="s">
        <v>6173</v>
      </c>
      <c r="D888" s="4" t="s">
        <v>27</v>
      </c>
      <c r="E888" s="6">
        <v>265000.0</v>
      </c>
    </row>
    <row r="889" ht="15.75" customHeight="1">
      <c r="A889" s="4"/>
      <c r="B889" s="4"/>
      <c r="C889" s="4" t="s">
        <v>6174</v>
      </c>
      <c r="D889" s="4" t="s">
        <v>27</v>
      </c>
      <c r="E889" s="6">
        <v>285000.0</v>
      </c>
    </row>
    <row r="890" ht="15.75" customHeight="1">
      <c r="A890" s="4"/>
      <c r="B890" s="4"/>
      <c r="C890" s="4" t="s">
        <v>6175</v>
      </c>
      <c r="D890" s="4" t="s">
        <v>27</v>
      </c>
      <c r="E890" s="6">
        <v>286000.0</v>
      </c>
    </row>
    <row r="891" ht="15.75" customHeight="1">
      <c r="A891" s="4"/>
      <c r="B891" s="4"/>
      <c r="C891" s="4" t="s">
        <v>6176</v>
      </c>
      <c r="D891" s="4" t="s">
        <v>27</v>
      </c>
      <c r="E891" s="6">
        <v>299000.0</v>
      </c>
    </row>
    <row r="892" ht="15.75" customHeight="1">
      <c r="A892" s="4"/>
      <c r="B892" s="4"/>
      <c r="C892" s="4" t="s">
        <v>6177</v>
      </c>
      <c r="D892" s="4" t="s">
        <v>27</v>
      </c>
      <c r="E892" s="6">
        <v>300000.0</v>
      </c>
    </row>
    <row r="893" ht="15.75" customHeight="1">
      <c r="A893" s="4"/>
      <c r="B893" s="4"/>
      <c r="C893" s="4" t="s">
        <v>6178</v>
      </c>
      <c r="D893" s="4" t="s">
        <v>27</v>
      </c>
      <c r="E893" s="6">
        <v>350000.0</v>
      </c>
    </row>
    <row r="894" ht="15.75" customHeight="1">
      <c r="A894" s="4"/>
      <c r="B894" s="4"/>
      <c r="C894" s="4" t="s">
        <v>6179</v>
      </c>
      <c r="D894" s="4" t="s">
        <v>27</v>
      </c>
      <c r="E894" s="6">
        <v>351000.0</v>
      </c>
    </row>
    <row r="895" ht="15.75" customHeight="1">
      <c r="A895" s="4"/>
      <c r="B895" s="4"/>
      <c r="C895" s="4" t="s">
        <v>6180</v>
      </c>
      <c r="D895" s="4" t="s">
        <v>27</v>
      </c>
      <c r="E895" s="6">
        <v>410000.0</v>
      </c>
    </row>
    <row r="896" ht="15.75" customHeight="1">
      <c r="A896" s="4"/>
      <c r="B896" s="4"/>
      <c r="C896" s="4" t="s">
        <v>6181</v>
      </c>
      <c r="D896" s="4" t="s">
        <v>27</v>
      </c>
      <c r="E896" s="6">
        <v>411000.0</v>
      </c>
    </row>
    <row r="897" ht="15.75" customHeight="1">
      <c r="A897" s="4"/>
      <c r="B897" s="4"/>
      <c r="C897" s="4" t="s">
        <v>6182</v>
      </c>
      <c r="D897" s="4" t="s">
        <v>27</v>
      </c>
      <c r="E897" s="6">
        <v>490000.0</v>
      </c>
    </row>
    <row r="898" ht="15.75" customHeight="1">
      <c r="A898" s="4"/>
      <c r="B898" s="4"/>
      <c r="C898" s="4" t="s">
        <v>6183</v>
      </c>
      <c r="D898" s="4" t="s">
        <v>27</v>
      </c>
      <c r="E898" s="6">
        <v>491000.0</v>
      </c>
    </row>
    <row r="899" ht="15.75" customHeight="1">
      <c r="A899" s="4"/>
      <c r="B899" s="4"/>
      <c r="C899" s="4" t="s">
        <v>6184</v>
      </c>
      <c r="D899" s="4" t="s">
        <v>27</v>
      </c>
      <c r="E899" s="6">
        <v>570000.0</v>
      </c>
    </row>
    <row r="900" ht="15.75" customHeight="1">
      <c r="A900" s="4"/>
      <c r="B900" s="4"/>
      <c r="C900" s="4" t="s">
        <v>6185</v>
      </c>
      <c r="D900" s="4" t="s">
        <v>27</v>
      </c>
      <c r="E900" s="6">
        <v>571000.0</v>
      </c>
    </row>
    <row r="901" ht="15.75" customHeight="1">
      <c r="A901" s="4"/>
      <c r="B901" s="4"/>
      <c r="C901" s="4" t="s">
        <v>6186</v>
      </c>
      <c r="D901" s="4" t="s">
        <v>27</v>
      </c>
      <c r="E901" s="6">
        <v>640000.0</v>
      </c>
    </row>
    <row r="902" ht="15.75" customHeight="1">
      <c r="A902" s="4"/>
      <c r="B902" s="4"/>
      <c r="C902" s="4" t="s">
        <v>6187</v>
      </c>
      <c r="D902" s="4" t="s">
        <v>27</v>
      </c>
      <c r="E902" s="6">
        <v>641000.0</v>
      </c>
    </row>
    <row r="903" ht="15.75" customHeight="1">
      <c r="A903" s="4"/>
      <c r="B903" s="4"/>
      <c r="C903" s="4" t="s">
        <v>6188</v>
      </c>
      <c r="D903" s="4" t="s">
        <v>43</v>
      </c>
      <c r="E903" s="6">
        <v>225000.0</v>
      </c>
    </row>
    <row r="904" ht="15.75" customHeight="1">
      <c r="A904" s="4"/>
      <c r="B904" s="4"/>
      <c r="C904" s="4" t="s">
        <v>6189</v>
      </c>
      <c r="D904" s="4" t="s">
        <v>43</v>
      </c>
      <c r="E904" s="6">
        <v>290000.0</v>
      </c>
    </row>
    <row r="905" ht="15.75" customHeight="1">
      <c r="A905" s="4"/>
      <c r="B905" s="4"/>
      <c r="C905" s="4" t="s">
        <v>6190</v>
      </c>
      <c r="D905" s="4" t="s">
        <v>43</v>
      </c>
      <c r="E905" s="6">
        <v>350000.0</v>
      </c>
    </row>
    <row r="906" ht="15.75" customHeight="1">
      <c r="A906" s="4"/>
      <c r="B906" s="4"/>
      <c r="C906" s="4" t="s">
        <v>6191</v>
      </c>
      <c r="D906" s="4" t="s">
        <v>43</v>
      </c>
      <c r="E906" s="6">
        <v>410000.0</v>
      </c>
    </row>
    <row r="907" ht="15.75" customHeight="1">
      <c r="A907" s="4"/>
      <c r="B907" s="4"/>
      <c r="C907" s="4" t="s">
        <v>6192</v>
      </c>
      <c r="D907" s="4" t="s">
        <v>43</v>
      </c>
      <c r="E907" s="6">
        <v>490000.0</v>
      </c>
    </row>
    <row r="908" ht="15.75" customHeight="1">
      <c r="A908" s="4"/>
      <c r="B908" s="4"/>
      <c r="C908" s="4" t="s">
        <v>6193</v>
      </c>
      <c r="D908" s="4" t="s">
        <v>43</v>
      </c>
      <c r="E908" s="6">
        <v>530000.0</v>
      </c>
    </row>
    <row r="909" ht="15.75" customHeight="1">
      <c r="A909" s="4"/>
      <c r="B909" s="4"/>
      <c r="C909" s="4" t="s">
        <v>6194</v>
      </c>
      <c r="D909" s="4" t="s">
        <v>43</v>
      </c>
      <c r="E909" s="6">
        <v>590000.0</v>
      </c>
    </row>
    <row r="910" ht="15.75" customHeight="1">
      <c r="A910" s="4"/>
      <c r="B910" s="4"/>
      <c r="C910" s="4" t="s">
        <v>6195</v>
      </c>
      <c r="D910" s="4" t="s">
        <v>43</v>
      </c>
      <c r="E910" s="6">
        <v>670000.0</v>
      </c>
    </row>
    <row r="911" ht="15.75" customHeight="1">
      <c r="A911" s="4"/>
      <c r="B911" s="4"/>
      <c r="C911" s="4" t="s">
        <v>6196</v>
      </c>
      <c r="D911" s="4" t="s">
        <v>43</v>
      </c>
      <c r="E911" s="6">
        <v>750000.0</v>
      </c>
    </row>
    <row r="912" ht="15.75" customHeight="1">
      <c r="A912" s="4"/>
      <c r="B912" s="4"/>
      <c r="C912" s="4" t="s">
        <v>6197</v>
      </c>
      <c r="D912" s="4" t="s">
        <v>43</v>
      </c>
      <c r="E912" s="6">
        <v>810000.0</v>
      </c>
    </row>
    <row r="913" ht="15.75" customHeight="1">
      <c r="A913" s="4"/>
      <c r="B913" s="4"/>
      <c r="C913" s="4" t="s">
        <v>6198</v>
      </c>
      <c r="D913" s="4" t="s">
        <v>43</v>
      </c>
      <c r="E913" s="6">
        <v>890000.0</v>
      </c>
    </row>
    <row r="914" ht="15.75" customHeight="1">
      <c r="A914" s="4"/>
      <c r="B914" s="4"/>
      <c r="C914" s="4" t="s">
        <v>6199</v>
      </c>
      <c r="D914" s="4" t="s">
        <v>43</v>
      </c>
      <c r="E914" s="6">
        <v>950000.0</v>
      </c>
    </row>
    <row r="915" ht="15.75" customHeight="1">
      <c r="A915" s="4"/>
      <c r="B915" s="4"/>
      <c r="C915" s="4" t="s">
        <v>6200</v>
      </c>
      <c r="D915" s="4" t="s">
        <v>43</v>
      </c>
      <c r="E915" s="6">
        <v>1050000.0</v>
      </c>
    </row>
    <row r="916" ht="15.75" customHeight="1">
      <c r="A916" s="4"/>
      <c r="B916" s="4"/>
      <c r="C916" s="4" t="s">
        <v>6201</v>
      </c>
      <c r="D916" s="4" t="s">
        <v>43</v>
      </c>
      <c r="E916" s="6">
        <v>1119000.0</v>
      </c>
    </row>
    <row r="917" ht="15.75" customHeight="1">
      <c r="A917" s="4"/>
      <c r="B917" s="4"/>
      <c r="C917" s="4" t="s">
        <v>6202</v>
      </c>
      <c r="D917" s="4" t="s">
        <v>43</v>
      </c>
      <c r="E917" s="6">
        <v>95000.0</v>
      </c>
    </row>
    <row r="918" ht="15.75" customHeight="1">
      <c r="A918" s="4"/>
      <c r="B918" s="4"/>
      <c r="C918" s="4" t="s">
        <v>6203</v>
      </c>
      <c r="D918" s="4" t="s">
        <v>43</v>
      </c>
      <c r="E918" s="6">
        <v>105000.0</v>
      </c>
    </row>
    <row r="919" ht="15.75" customHeight="1">
      <c r="A919" s="4"/>
      <c r="B919" s="4"/>
      <c r="C919" s="4" t="s">
        <v>6204</v>
      </c>
      <c r="D919" s="4" t="s">
        <v>43</v>
      </c>
      <c r="E919" s="6">
        <v>115000.0</v>
      </c>
    </row>
    <row r="920" ht="15.75" customHeight="1">
      <c r="A920" s="4"/>
      <c r="B920" s="4"/>
      <c r="C920" s="4" t="s">
        <v>6205</v>
      </c>
      <c r="D920" s="4" t="s">
        <v>43</v>
      </c>
      <c r="E920" s="6">
        <v>129000.0</v>
      </c>
    </row>
    <row r="921" ht="15.75" customHeight="1">
      <c r="A921" s="4"/>
      <c r="B921" s="4"/>
      <c r="C921" s="4" t="s">
        <v>6206</v>
      </c>
      <c r="D921" s="4" t="s">
        <v>43</v>
      </c>
      <c r="E921" s="6">
        <v>135000.0</v>
      </c>
    </row>
    <row r="922" ht="15.75" customHeight="1">
      <c r="A922" s="4"/>
      <c r="B922" s="4"/>
      <c r="C922" s="4" t="s">
        <v>6207</v>
      </c>
      <c r="D922" s="4" t="s">
        <v>43</v>
      </c>
      <c r="E922" s="6">
        <v>150000.0</v>
      </c>
    </row>
    <row r="923" ht="15.75" customHeight="1">
      <c r="A923" s="4"/>
      <c r="B923" s="4"/>
      <c r="C923" s="4" t="s">
        <v>6208</v>
      </c>
      <c r="D923" s="4" t="s">
        <v>43</v>
      </c>
      <c r="E923" s="6">
        <v>170000.0</v>
      </c>
    </row>
    <row r="924" ht="15.75" customHeight="1">
      <c r="A924" s="4"/>
      <c r="B924" s="4"/>
      <c r="C924" s="4" t="s">
        <v>6209</v>
      </c>
      <c r="D924" s="4" t="s">
        <v>43</v>
      </c>
      <c r="E924" s="6">
        <v>192000.0</v>
      </c>
    </row>
    <row r="925" ht="15.75" customHeight="1">
      <c r="A925" s="4"/>
      <c r="B925" s="4"/>
      <c r="C925" s="4" t="s">
        <v>6210</v>
      </c>
      <c r="D925" s="4" t="s">
        <v>43</v>
      </c>
      <c r="E925" s="6">
        <v>205000.0</v>
      </c>
    </row>
    <row r="926" ht="15.75" customHeight="1">
      <c r="A926" s="4"/>
      <c r="B926" s="4"/>
      <c r="C926" s="4" t="s">
        <v>6211</v>
      </c>
      <c r="D926" s="4" t="s">
        <v>43</v>
      </c>
      <c r="E926" s="6">
        <v>215000.0</v>
      </c>
    </row>
    <row r="927" ht="15.75" customHeight="1">
      <c r="A927" s="4"/>
      <c r="B927" s="4"/>
      <c r="C927" s="4" t="s">
        <v>6212</v>
      </c>
      <c r="D927" s="4" t="s">
        <v>43</v>
      </c>
      <c r="E927" s="6">
        <v>65000.0</v>
      </c>
    </row>
    <row r="928" ht="15.75" customHeight="1">
      <c r="A928" s="4"/>
      <c r="B928" s="4"/>
      <c r="C928" s="4" t="s">
        <v>6213</v>
      </c>
      <c r="D928" s="4" t="s">
        <v>43</v>
      </c>
      <c r="E928" s="6">
        <v>138000.0</v>
      </c>
    </row>
    <row r="929" ht="15.75" customHeight="1">
      <c r="A929" s="4"/>
      <c r="B929" s="4"/>
      <c r="C929" s="4" t="s">
        <v>6214</v>
      </c>
      <c r="D929" s="4" t="s">
        <v>43</v>
      </c>
      <c r="E929" s="6">
        <v>215000.0</v>
      </c>
    </row>
    <row r="930" ht="15.75" customHeight="1">
      <c r="A930" s="4"/>
      <c r="B930" s="4"/>
      <c r="C930" s="4" t="s">
        <v>6215</v>
      </c>
      <c r="D930" s="4" t="s">
        <v>43</v>
      </c>
      <c r="E930" s="6">
        <v>285000.0</v>
      </c>
    </row>
    <row r="931" ht="15.75" customHeight="1">
      <c r="A931" s="4"/>
      <c r="B931" s="4"/>
      <c r="C931" s="4" t="s">
        <v>6216</v>
      </c>
      <c r="D931" s="4" t="s">
        <v>43</v>
      </c>
      <c r="E931" s="6">
        <v>350000.0</v>
      </c>
    </row>
    <row r="932" ht="15.75" customHeight="1">
      <c r="A932" s="4"/>
      <c r="B932" s="4"/>
      <c r="C932" s="4" t="s">
        <v>6217</v>
      </c>
      <c r="D932" s="4" t="s">
        <v>43</v>
      </c>
      <c r="E932" s="6">
        <v>435000.0</v>
      </c>
    </row>
    <row r="933" ht="15.75" customHeight="1">
      <c r="A933" s="4"/>
      <c r="B933" s="4"/>
      <c r="C933" s="4" t="s">
        <v>6218</v>
      </c>
      <c r="D933" s="4" t="s">
        <v>43</v>
      </c>
      <c r="E933" s="6">
        <v>510000.0</v>
      </c>
    </row>
    <row r="934" ht="15.75" customHeight="1">
      <c r="A934" s="4"/>
      <c r="B934" s="4"/>
      <c r="C934" s="4" t="s">
        <v>6219</v>
      </c>
      <c r="D934" s="4" t="s">
        <v>43</v>
      </c>
      <c r="E934" s="6">
        <v>599000.0</v>
      </c>
    </row>
    <row r="935" ht="15.75" customHeight="1">
      <c r="A935" s="4"/>
      <c r="B935" s="4"/>
      <c r="C935" s="4" t="s">
        <v>6220</v>
      </c>
      <c r="D935" s="4" t="s">
        <v>43</v>
      </c>
      <c r="E935" s="6">
        <v>670000.0</v>
      </c>
    </row>
    <row r="936" ht="15.75" customHeight="1">
      <c r="A936" s="4"/>
      <c r="B936" s="4"/>
      <c r="C936" s="4" t="s">
        <v>6221</v>
      </c>
      <c r="D936" s="4" t="s">
        <v>43</v>
      </c>
      <c r="E936" s="6">
        <v>750000.0</v>
      </c>
    </row>
    <row r="937" ht="15.75" customHeight="1">
      <c r="A937" s="4"/>
      <c r="B937" s="4"/>
      <c r="C937" s="4" t="s">
        <v>6222</v>
      </c>
      <c r="D937" s="4" t="s">
        <v>43</v>
      </c>
      <c r="E937" s="6">
        <v>830000.0</v>
      </c>
    </row>
    <row r="938" ht="15.75" customHeight="1">
      <c r="A938" s="4"/>
      <c r="B938" s="4"/>
      <c r="C938" s="4" t="s">
        <v>6223</v>
      </c>
      <c r="D938" s="4" t="s">
        <v>43</v>
      </c>
      <c r="E938" s="6">
        <v>950000.0</v>
      </c>
    </row>
    <row r="939" ht="15.75" customHeight="1">
      <c r="A939" s="4"/>
      <c r="B939" s="4"/>
      <c r="C939" s="4" t="s">
        <v>6224</v>
      </c>
      <c r="D939" s="4" t="s">
        <v>43</v>
      </c>
      <c r="E939" s="6">
        <v>20000.0</v>
      </c>
    </row>
    <row r="940" ht="15.75" customHeight="1">
      <c r="A940" s="4"/>
      <c r="B940" s="4"/>
      <c r="C940" s="4" t="s">
        <v>6225</v>
      </c>
      <c r="D940" s="4" t="s">
        <v>43</v>
      </c>
      <c r="E940" s="6">
        <v>27000.0</v>
      </c>
    </row>
    <row r="941" ht="15.75" customHeight="1">
      <c r="A941" s="4"/>
      <c r="B941" s="4"/>
      <c r="C941" s="4" t="s">
        <v>6226</v>
      </c>
      <c r="D941" s="4" t="s">
        <v>5313</v>
      </c>
      <c r="E941" s="6">
        <v>30000.0</v>
      </c>
    </row>
    <row r="942" ht="15.75" customHeight="1">
      <c r="A942" s="4"/>
      <c r="B942" s="4"/>
      <c r="C942" s="4" t="s">
        <v>6227</v>
      </c>
      <c r="D942" s="4" t="s">
        <v>43</v>
      </c>
      <c r="E942" s="6">
        <v>32000.0</v>
      </c>
    </row>
    <row r="943" ht="15.75" customHeight="1">
      <c r="A943" s="4"/>
      <c r="B943" s="4"/>
      <c r="C943" s="4" t="s">
        <v>6228</v>
      </c>
      <c r="D943" s="4" t="s">
        <v>43</v>
      </c>
      <c r="E943" s="6">
        <v>39000.0</v>
      </c>
    </row>
    <row r="944" ht="15.75" customHeight="1">
      <c r="A944" s="4"/>
      <c r="B944" s="4"/>
      <c r="C944" s="4" t="s">
        <v>6229</v>
      </c>
      <c r="D944" s="4" t="s">
        <v>43</v>
      </c>
      <c r="E944" s="6">
        <v>42000.0</v>
      </c>
    </row>
    <row r="945" ht="15.75" customHeight="1">
      <c r="A945" s="4"/>
      <c r="B945" s="4"/>
      <c r="C945" s="4" t="s">
        <v>6230</v>
      </c>
      <c r="D945" s="4" t="s">
        <v>43</v>
      </c>
      <c r="E945" s="6">
        <v>48000.0</v>
      </c>
    </row>
    <row r="946" ht="15.75" customHeight="1">
      <c r="A946" s="4"/>
      <c r="B946" s="4"/>
      <c r="C946" s="4" t="s">
        <v>6231</v>
      </c>
      <c r="D946" s="4" t="s">
        <v>43</v>
      </c>
      <c r="E946" s="6">
        <v>55000.0</v>
      </c>
    </row>
    <row r="947" ht="15.75" customHeight="1">
      <c r="A947" s="4"/>
      <c r="B947" s="4"/>
      <c r="C947" s="4" t="s">
        <v>6232</v>
      </c>
      <c r="D947" s="4" t="s">
        <v>43</v>
      </c>
      <c r="E947" s="6">
        <v>59000.0</v>
      </c>
    </row>
    <row r="948" ht="15.75" customHeight="1">
      <c r="A948" s="4"/>
      <c r="B948" s="4"/>
      <c r="C948" s="4" t="s">
        <v>6233</v>
      </c>
      <c r="D948" s="4" t="s">
        <v>43</v>
      </c>
      <c r="E948" s="6">
        <v>62000.0</v>
      </c>
    </row>
    <row r="949" ht="15.75" customHeight="1">
      <c r="A949" s="4"/>
      <c r="B949" s="4"/>
      <c r="C949" s="4" t="s">
        <v>6234</v>
      </c>
      <c r="D949" s="4" t="s">
        <v>43</v>
      </c>
      <c r="E949" s="6">
        <v>235000.0</v>
      </c>
    </row>
    <row r="950" ht="15.75" customHeight="1">
      <c r="A950" s="4"/>
      <c r="B950" s="4"/>
      <c r="C950" s="4" t="s">
        <v>6235</v>
      </c>
      <c r="D950" s="4" t="s">
        <v>43</v>
      </c>
      <c r="E950" s="6">
        <v>255000.0</v>
      </c>
    </row>
    <row r="951" ht="15.75" customHeight="1">
      <c r="A951" s="4"/>
      <c r="B951" s="4"/>
      <c r="C951" s="4" t="s">
        <v>6236</v>
      </c>
      <c r="D951" s="4"/>
      <c r="E951" s="6"/>
    </row>
    <row r="952" ht="15.75" customHeight="1">
      <c r="A952" s="4" t="s">
        <v>5212</v>
      </c>
      <c r="B952" s="4"/>
      <c r="C952" s="4" t="s">
        <v>6237</v>
      </c>
      <c r="D952" s="4" t="s">
        <v>389</v>
      </c>
      <c r="E952" s="6">
        <v>14600.0</v>
      </c>
    </row>
    <row r="953" ht="15.75" customHeight="1">
      <c r="A953" s="4" t="s">
        <v>353</v>
      </c>
      <c r="B953" s="4"/>
      <c r="C953" s="4" t="s">
        <v>6238</v>
      </c>
      <c r="D953" s="4" t="s">
        <v>389</v>
      </c>
      <c r="E953" s="6">
        <v>14600.0</v>
      </c>
    </row>
    <row r="954" ht="15.75" customHeight="1">
      <c r="A954" s="4" t="s">
        <v>791</v>
      </c>
      <c r="B954" s="4"/>
      <c r="C954" s="4" t="s">
        <v>6239</v>
      </c>
      <c r="D954" s="4" t="s">
        <v>389</v>
      </c>
      <c r="E954" s="6">
        <v>80340.0</v>
      </c>
    </row>
    <row r="955" ht="15.75" customHeight="1">
      <c r="A955" s="4"/>
      <c r="B955" s="4"/>
      <c r="C955" s="4" t="s">
        <v>6240</v>
      </c>
      <c r="D955" s="4" t="s">
        <v>389</v>
      </c>
      <c r="E955" s="6">
        <v>14840.0</v>
      </c>
    </row>
    <row r="956" ht="15.75" customHeight="1">
      <c r="A956" s="4"/>
      <c r="B956" s="4"/>
      <c r="C956" s="4" t="s">
        <v>6241</v>
      </c>
      <c r="D956" s="4" t="s">
        <v>389</v>
      </c>
      <c r="E956" s="6">
        <v>14840.0</v>
      </c>
    </row>
    <row r="957" ht="15.75" customHeight="1">
      <c r="A957" s="4"/>
      <c r="B957" s="4"/>
      <c r="C957" s="4" t="s">
        <v>6242</v>
      </c>
      <c r="D957" s="4" t="s">
        <v>389</v>
      </c>
      <c r="E957" s="6">
        <v>25000.0</v>
      </c>
    </row>
    <row r="958" ht="15.75" customHeight="1">
      <c r="A958" s="4" t="s">
        <v>1626</v>
      </c>
      <c r="B958" s="4"/>
      <c r="C958" s="4" t="s">
        <v>6243</v>
      </c>
      <c r="D958" s="4" t="s">
        <v>389</v>
      </c>
      <c r="E958" s="6">
        <v>35000.0</v>
      </c>
    </row>
    <row r="959" ht="15.75" customHeight="1">
      <c r="A959" s="4" t="s">
        <v>2310</v>
      </c>
      <c r="B959" s="4"/>
      <c r="C959" s="4" t="s">
        <v>6244</v>
      </c>
      <c r="D959" s="4" t="s">
        <v>389</v>
      </c>
      <c r="E959" s="6">
        <v>16660.0</v>
      </c>
    </row>
    <row r="960" ht="15.75" customHeight="1">
      <c r="A960" s="4"/>
      <c r="B960" s="4"/>
      <c r="C960" s="4" t="s">
        <v>6245</v>
      </c>
      <c r="D960" s="4" t="s">
        <v>5300</v>
      </c>
      <c r="E960" s="6">
        <v>17000.0</v>
      </c>
    </row>
    <row r="961" ht="15.75" customHeight="1">
      <c r="A961" s="4" t="s">
        <v>3568</v>
      </c>
      <c r="B961" s="4"/>
      <c r="C961" s="4" t="s">
        <v>6246</v>
      </c>
      <c r="D961" s="4" t="s">
        <v>389</v>
      </c>
      <c r="E961" s="6">
        <v>13700.0</v>
      </c>
    </row>
    <row r="962" ht="15.75" customHeight="1">
      <c r="A962" s="4" t="s">
        <v>4362</v>
      </c>
      <c r="B962" s="4"/>
      <c r="C962" s="4" t="s">
        <v>6247</v>
      </c>
      <c r="D962" s="4" t="s">
        <v>389</v>
      </c>
      <c r="E962" s="6">
        <v>13800.0</v>
      </c>
    </row>
    <row r="963" ht="15.75" customHeight="1">
      <c r="A963" s="4" t="s">
        <v>4423</v>
      </c>
      <c r="B963" s="4"/>
      <c r="C963" s="4" t="s">
        <v>6248</v>
      </c>
      <c r="D963" s="4" t="s">
        <v>27</v>
      </c>
      <c r="E963" s="6">
        <v>6250.0</v>
      </c>
    </row>
    <row r="964" ht="15.75" customHeight="1">
      <c r="A964" s="4" t="s">
        <v>4626</v>
      </c>
      <c r="B964" s="4"/>
      <c r="C964" s="4" t="s">
        <v>6249</v>
      </c>
      <c r="D964" s="4" t="s">
        <v>27</v>
      </c>
      <c r="E964" s="6">
        <v>10500.0</v>
      </c>
    </row>
    <row r="965" ht="15.75" customHeight="1">
      <c r="A965" s="4" t="s">
        <v>5171</v>
      </c>
      <c r="B965" s="4"/>
      <c r="C965" s="4" t="s">
        <v>6250</v>
      </c>
      <c r="D965" s="4" t="s">
        <v>389</v>
      </c>
      <c r="E965" s="6">
        <v>25000.0</v>
      </c>
    </row>
    <row r="966" ht="15.75" customHeight="1">
      <c r="A966" s="4" t="s">
        <v>5229</v>
      </c>
      <c r="B966" s="4"/>
      <c r="C966" s="4" t="s">
        <v>6251</v>
      </c>
      <c r="D966" s="4" t="s">
        <v>389</v>
      </c>
      <c r="E966" s="6">
        <v>14840.0</v>
      </c>
    </row>
    <row r="967" ht="15.75" customHeight="1">
      <c r="A967" s="4" t="s">
        <v>5231</v>
      </c>
      <c r="B967" s="4"/>
      <c r="C967" s="4" t="s">
        <v>6252</v>
      </c>
      <c r="D967" s="4" t="s">
        <v>389</v>
      </c>
      <c r="E967" s="6">
        <v>14700.0</v>
      </c>
    </row>
    <row r="968" ht="15.75" customHeight="1">
      <c r="A968" s="4" t="s">
        <v>5233</v>
      </c>
      <c r="B968" s="4"/>
      <c r="C968" s="4" t="s">
        <v>6253</v>
      </c>
      <c r="D968" s="4" t="s">
        <v>389</v>
      </c>
      <c r="E968" s="6">
        <v>13000.0</v>
      </c>
    </row>
    <row r="969" ht="15.75" customHeight="1">
      <c r="A969" s="4" t="s">
        <v>5235</v>
      </c>
      <c r="B969" s="4"/>
      <c r="C969" s="4" t="s">
        <v>6254</v>
      </c>
      <c r="D969" s="4" t="s">
        <v>389</v>
      </c>
      <c r="E969" s="6">
        <v>15667.0</v>
      </c>
    </row>
    <row r="970" ht="15.75" customHeight="1">
      <c r="A970" s="4"/>
      <c r="B970" s="4"/>
      <c r="C970" s="4" t="s">
        <v>6255</v>
      </c>
      <c r="D970" s="4" t="s">
        <v>389</v>
      </c>
      <c r="E970" s="6">
        <v>15500.0</v>
      </c>
    </row>
    <row r="971" ht="15.75" customHeight="1">
      <c r="A971" s="4" t="s">
        <v>5235</v>
      </c>
      <c r="B971" s="4"/>
      <c r="C971" s="4" t="s">
        <v>6256</v>
      </c>
      <c r="D971" s="4" t="s">
        <v>27</v>
      </c>
      <c r="E971" s="6">
        <v>20825.0</v>
      </c>
    </row>
    <row r="972" ht="15.75" customHeight="1">
      <c r="A972" s="4"/>
      <c r="B972" s="4"/>
      <c r="C972" s="4" t="s">
        <v>6257</v>
      </c>
      <c r="D972" s="4" t="s">
        <v>419</v>
      </c>
      <c r="E972" s="6">
        <v>19500.0</v>
      </c>
    </row>
    <row r="973" ht="15.75" customHeight="1">
      <c r="A973" s="4"/>
      <c r="B973" s="4"/>
      <c r="C973" s="4" t="s">
        <v>6258</v>
      </c>
      <c r="D973" s="4" t="s">
        <v>389</v>
      </c>
      <c r="E973" s="6">
        <v>7500.0</v>
      </c>
    </row>
    <row r="974" ht="15.75" customHeight="1">
      <c r="A974" s="4"/>
      <c r="B974" s="4"/>
      <c r="C974" s="4" t="s">
        <v>6259</v>
      </c>
      <c r="D974" s="4" t="s">
        <v>6260</v>
      </c>
      <c r="E974" s="6">
        <v>150000.0</v>
      </c>
    </row>
    <row r="975" ht="15.75" customHeight="1">
      <c r="A975" s="4"/>
      <c r="B975" s="4"/>
      <c r="C975" s="4" t="s">
        <v>6261</v>
      </c>
      <c r="D975" s="4" t="s">
        <v>43</v>
      </c>
      <c r="E975" s="6">
        <v>21000.0</v>
      </c>
    </row>
    <row r="976" ht="15.75" customHeight="1">
      <c r="A976" s="4"/>
      <c r="B976" s="4"/>
      <c r="C976" s="4" t="s">
        <v>6262</v>
      </c>
      <c r="D976" s="4" t="s">
        <v>43</v>
      </c>
      <c r="E976" s="6">
        <v>29000.0</v>
      </c>
    </row>
    <row r="977" ht="15.75" customHeight="1">
      <c r="A977" s="4"/>
      <c r="B977" s="4"/>
      <c r="C977" s="4" t="s">
        <v>6263</v>
      </c>
      <c r="D977" s="4" t="s">
        <v>5313</v>
      </c>
      <c r="E977" s="6">
        <v>39000.0</v>
      </c>
    </row>
    <row r="978" ht="15.75" customHeight="1">
      <c r="A978" s="4"/>
      <c r="B978" s="4"/>
      <c r="C978" s="4" t="s">
        <v>6264</v>
      </c>
      <c r="D978" s="4" t="s">
        <v>43</v>
      </c>
      <c r="E978" s="6">
        <v>58000.0</v>
      </c>
    </row>
    <row r="979" ht="15.75" customHeight="1">
      <c r="A979" s="4"/>
      <c r="B979" s="4"/>
      <c r="C979" s="4" t="s">
        <v>6265</v>
      </c>
      <c r="D979" s="4" t="s">
        <v>43</v>
      </c>
      <c r="E979" s="6">
        <v>9200.0</v>
      </c>
    </row>
    <row r="980" ht="15.75" customHeight="1">
      <c r="A980" s="4"/>
      <c r="B980" s="4"/>
      <c r="C980" s="4" t="s">
        <v>6266</v>
      </c>
      <c r="D980" s="4" t="s">
        <v>43</v>
      </c>
      <c r="E980" s="6">
        <v>18000.0</v>
      </c>
    </row>
    <row r="981" ht="15.75" customHeight="1">
      <c r="A981" s="4" t="s">
        <v>5237</v>
      </c>
      <c r="B981" s="4"/>
      <c r="C981" s="4" t="s">
        <v>6267</v>
      </c>
      <c r="D981" s="4" t="s">
        <v>27</v>
      </c>
      <c r="E981" s="6">
        <v>5000.0</v>
      </c>
    </row>
    <row r="982" ht="15.75" customHeight="1">
      <c r="A982" s="4" t="s">
        <v>5272</v>
      </c>
      <c r="B982" s="4"/>
      <c r="C982" s="4" t="s">
        <v>6267</v>
      </c>
      <c r="D982" s="4" t="s">
        <v>389</v>
      </c>
      <c r="E982" s="6">
        <v>15000.0</v>
      </c>
    </row>
    <row r="983" ht="15.75" customHeight="1">
      <c r="A983" s="4" t="s">
        <v>5274</v>
      </c>
      <c r="B983" s="4"/>
      <c r="C983" s="4" t="s">
        <v>6268</v>
      </c>
      <c r="D983" s="4" t="s">
        <v>389</v>
      </c>
      <c r="E983" s="6">
        <v>17250.0</v>
      </c>
    </row>
    <row r="984" ht="15.75" customHeight="1">
      <c r="A984" s="4"/>
      <c r="B984" s="4"/>
      <c r="C984" s="4" t="s">
        <v>6269</v>
      </c>
      <c r="D984" s="4" t="s">
        <v>27</v>
      </c>
      <c r="E984" s="6">
        <v>9900.0</v>
      </c>
    </row>
    <row r="985" ht="15.75" customHeight="1">
      <c r="A985" s="4" t="s">
        <v>5276</v>
      </c>
      <c r="B985" s="4"/>
      <c r="C985" s="4" t="s">
        <v>6270</v>
      </c>
      <c r="D985" s="4" t="s">
        <v>389</v>
      </c>
      <c r="E985" s="6">
        <v>7500.0</v>
      </c>
    </row>
    <row r="986" ht="15.75" customHeight="1">
      <c r="A986" s="4" t="s">
        <v>5278</v>
      </c>
      <c r="B986" s="4"/>
      <c r="C986" s="4" t="s">
        <v>6271</v>
      </c>
      <c r="D986" s="4" t="s">
        <v>389</v>
      </c>
      <c r="E986" s="6">
        <v>14250.0</v>
      </c>
    </row>
    <row r="987" ht="15.75" customHeight="1">
      <c r="A987" s="4"/>
      <c r="B987" s="4"/>
      <c r="C987" s="4" t="s">
        <v>6272</v>
      </c>
      <c r="D987" s="4" t="s">
        <v>5300</v>
      </c>
      <c r="E987" s="6">
        <v>14250.0</v>
      </c>
    </row>
    <row r="988" ht="15.75" customHeight="1">
      <c r="A988" s="4"/>
      <c r="B988" s="4"/>
      <c r="C988" s="4" t="s">
        <v>6273</v>
      </c>
      <c r="D988" s="4" t="s">
        <v>5300</v>
      </c>
      <c r="E988" s="6">
        <v>16000.0</v>
      </c>
    </row>
    <row r="989" ht="15.75" customHeight="1">
      <c r="A989" s="4" t="s">
        <v>5280</v>
      </c>
      <c r="B989" s="4"/>
      <c r="C989" s="4" t="s">
        <v>6274</v>
      </c>
      <c r="D989" s="4" t="s">
        <v>389</v>
      </c>
      <c r="E989" s="6">
        <v>14500.0</v>
      </c>
    </row>
    <row r="990" ht="15.75" customHeight="1">
      <c r="A990" s="4"/>
      <c r="B990" s="4"/>
      <c r="C990" s="4" t="s">
        <v>6275</v>
      </c>
      <c r="D990" s="4" t="s">
        <v>5300</v>
      </c>
      <c r="E990" s="6">
        <v>14500.0</v>
      </c>
    </row>
    <row r="991" ht="15.75" customHeight="1">
      <c r="A991" s="4"/>
      <c r="B991" s="4"/>
      <c r="C991" s="4" t="s">
        <v>6276</v>
      </c>
      <c r="D991" s="4" t="s">
        <v>5300</v>
      </c>
      <c r="E991" s="6">
        <v>16500.0</v>
      </c>
    </row>
    <row r="992" ht="15.75" customHeight="1">
      <c r="A992" s="4" t="s">
        <v>5250</v>
      </c>
      <c r="B992" s="4"/>
      <c r="C992" s="4" t="s">
        <v>6277</v>
      </c>
      <c r="D992" s="4" t="s">
        <v>6278</v>
      </c>
      <c r="E992" s="6">
        <v>460000.0</v>
      </c>
    </row>
    <row r="993" ht="15.75" customHeight="1">
      <c r="A993" s="4" t="s">
        <v>5268</v>
      </c>
      <c r="B993" s="4"/>
      <c r="C993" s="4" t="s">
        <v>6279</v>
      </c>
      <c r="D993" s="4" t="s">
        <v>6278</v>
      </c>
      <c r="E993" s="6">
        <v>891000.0</v>
      </c>
    </row>
    <row r="994" ht="15.75" customHeight="1">
      <c r="A994" s="4" t="s">
        <v>5282</v>
      </c>
      <c r="B994" s="4"/>
      <c r="C994" s="4" t="s">
        <v>6280</v>
      </c>
      <c r="D994" s="4" t="s">
        <v>6278</v>
      </c>
      <c r="E994" s="6">
        <v>656000.0</v>
      </c>
    </row>
    <row r="995" ht="15.75" customHeight="1">
      <c r="A995" s="4" t="s">
        <v>5256</v>
      </c>
      <c r="B995" s="4"/>
      <c r="C995" s="4" t="s">
        <v>6281</v>
      </c>
      <c r="D995" s="4" t="s">
        <v>6278</v>
      </c>
      <c r="E995" s="6">
        <v>805000.0</v>
      </c>
    </row>
    <row r="996" ht="15.75" customHeight="1">
      <c r="A996" s="4" t="s">
        <v>5259</v>
      </c>
      <c r="B996" s="4"/>
      <c r="C996" s="4" t="s">
        <v>6282</v>
      </c>
      <c r="D996" s="4" t="s">
        <v>43</v>
      </c>
      <c r="E996" s="6">
        <v>4550.0</v>
      </c>
    </row>
    <row r="997" ht="15.75" customHeight="1">
      <c r="A997" s="4"/>
      <c r="B997" s="4"/>
      <c r="C997" s="4" t="s">
        <v>6283</v>
      </c>
      <c r="D997" s="4" t="s">
        <v>5313</v>
      </c>
      <c r="E997" s="6">
        <v>30500.0</v>
      </c>
    </row>
    <row r="998" ht="15.75" customHeight="1">
      <c r="A998" s="4" t="s">
        <v>5284</v>
      </c>
      <c r="B998" s="4"/>
      <c r="C998" s="4" t="s">
        <v>6284</v>
      </c>
      <c r="D998" s="4" t="s">
        <v>389</v>
      </c>
      <c r="E998" s="6">
        <v>15150.0</v>
      </c>
    </row>
    <row r="999" ht="15.75" customHeight="1">
      <c r="A999" s="4" t="s">
        <v>5286</v>
      </c>
      <c r="B999" s="4"/>
      <c r="C999" s="4" t="s">
        <v>6285</v>
      </c>
      <c r="D999" s="4" t="s">
        <v>389</v>
      </c>
      <c r="E999" s="6">
        <v>15680.0</v>
      </c>
    </row>
    <row r="1000" ht="15.75" customHeight="1">
      <c r="A1000" s="4" t="s">
        <v>5253</v>
      </c>
      <c r="B1000" s="4"/>
      <c r="C1000" s="4" t="s">
        <v>6286</v>
      </c>
      <c r="D1000" s="4" t="s">
        <v>6287</v>
      </c>
      <c r="E1000" s="6">
        <v>116750.0</v>
      </c>
    </row>
    <row r="1001" ht="15.75" customHeight="1">
      <c r="A1001" s="4" t="s">
        <v>5288</v>
      </c>
      <c r="B1001" s="4"/>
      <c r="C1001" s="4" t="s">
        <v>6288</v>
      </c>
      <c r="D1001" s="4" t="s">
        <v>389</v>
      </c>
      <c r="E1001" s="6">
        <v>26020.0</v>
      </c>
    </row>
    <row r="1002" ht="15.75" customHeight="1">
      <c r="A1002" s="4" t="s">
        <v>5262</v>
      </c>
      <c r="B1002" s="4"/>
      <c r="C1002" s="4" t="s">
        <v>6289</v>
      </c>
      <c r="D1002" s="4" t="s">
        <v>389</v>
      </c>
      <c r="E1002" s="6">
        <v>25400.0</v>
      </c>
    </row>
    <row r="1003" ht="15.75" customHeight="1">
      <c r="A1003" s="4" t="s">
        <v>5265</v>
      </c>
      <c r="B1003" s="4"/>
      <c r="C1003" s="4" t="s">
        <v>6290</v>
      </c>
      <c r="D1003" s="4" t="s">
        <v>389</v>
      </c>
      <c r="E1003" s="6">
        <v>22800.0</v>
      </c>
    </row>
    <row r="1004" ht="15.75" customHeight="1">
      <c r="A1004" s="4" t="s">
        <v>5290</v>
      </c>
      <c r="B1004" s="4"/>
      <c r="C1004" s="4" t="s">
        <v>6291</v>
      </c>
      <c r="D1004" s="4" t="s">
        <v>36</v>
      </c>
      <c r="E1004" s="6">
        <v>28450.0</v>
      </c>
    </row>
    <row r="1005" ht="15.75" customHeight="1">
      <c r="A1005" s="4" t="s">
        <v>5342</v>
      </c>
      <c r="B1005" s="4"/>
      <c r="C1005" s="4" t="s">
        <v>6292</v>
      </c>
      <c r="D1005" s="4" t="s">
        <v>36</v>
      </c>
      <c r="E1005" s="6">
        <v>28470.0</v>
      </c>
    </row>
    <row r="1006" ht="15.75" customHeight="1">
      <c r="A1006" s="4" t="s">
        <v>5346</v>
      </c>
      <c r="B1006" s="4"/>
      <c r="C1006" s="4" t="s">
        <v>6293</v>
      </c>
      <c r="D1006" s="4" t="s">
        <v>36</v>
      </c>
      <c r="E1006" s="6">
        <v>27900.0</v>
      </c>
    </row>
    <row r="1007" ht="15.75" customHeight="1">
      <c r="A1007" s="4" t="s">
        <v>5348</v>
      </c>
      <c r="B1007" s="4"/>
      <c r="C1007" s="4" t="s">
        <v>6294</v>
      </c>
      <c r="D1007" s="4" t="s">
        <v>36</v>
      </c>
      <c r="E1007" s="6">
        <v>26900.0</v>
      </c>
    </row>
    <row r="1008" ht="15.75" customHeight="1">
      <c r="A1008" s="4" t="s">
        <v>5350</v>
      </c>
      <c r="B1008" s="4"/>
      <c r="C1008" s="4" t="s">
        <v>6295</v>
      </c>
      <c r="D1008" s="4" t="s">
        <v>389</v>
      </c>
      <c r="E1008" s="6">
        <v>18800.0</v>
      </c>
    </row>
    <row r="1009" ht="15.75" customHeight="1">
      <c r="A1009" s="4"/>
      <c r="B1009" s="4"/>
      <c r="C1009" s="4" t="s">
        <v>6296</v>
      </c>
      <c r="D1009" s="4" t="s">
        <v>5300</v>
      </c>
      <c r="E1009" s="6">
        <v>18800.0</v>
      </c>
    </row>
    <row r="1010" ht="15.75" customHeight="1">
      <c r="A1010" s="4" t="s">
        <v>5352</v>
      </c>
      <c r="B1010" s="4"/>
      <c r="C1010" s="4" t="s">
        <v>6297</v>
      </c>
      <c r="D1010" s="4" t="s">
        <v>27</v>
      </c>
      <c r="E1010" s="6">
        <v>1750.0</v>
      </c>
    </row>
    <row r="1011" ht="15.75" customHeight="1">
      <c r="A1011" s="4"/>
      <c r="B1011" s="4"/>
      <c r="C1011" s="4" t="s">
        <v>6298</v>
      </c>
      <c r="D1011" s="4" t="s">
        <v>389</v>
      </c>
      <c r="E1011" s="6">
        <v>18800.0</v>
      </c>
    </row>
    <row r="1012" ht="15.75" customHeight="1">
      <c r="A1012" s="4" t="s">
        <v>5354</v>
      </c>
      <c r="B1012" s="4"/>
      <c r="C1012" s="4" t="s">
        <v>6299</v>
      </c>
      <c r="D1012" s="4" t="s">
        <v>36</v>
      </c>
      <c r="E1012" s="6">
        <v>34620.0</v>
      </c>
    </row>
    <row r="1013" ht="15.75" customHeight="1">
      <c r="A1013" s="4" t="s">
        <v>5356</v>
      </c>
      <c r="B1013" s="4"/>
      <c r="C1013" s="4" t="s">
        <v>6300</v>
      </c>
      <c r="D1013" s="4" t="s">
        <v>5445</v>
      </c>
      <c r="E1013" s="6">
        <v>300000.0</v>
      </c>
    </row>
    <row r="1014" ht="15.75" customHeight="1">
      <c r="A1014" s="4" t="s">
        <v>5359</v>
      </c>
      <c r="B1014" s="4"/>
      <c r="C1014" s="4" t="s">
        <v>6301</v>
      </c>
      <c r="D1014" s="4" t="s">
        <v>389</v>
      </c>
      <c r="E1014" s="6">
        <v>45550.0</v>
      </c>
    </row>
    <row r="1015" ht="15.75" customHeight="1">
      <c r="A1015" s="4" t="s">
        <v>5361</v>
      </c>
      <c r="B1015" s="4"/>
      <c r="C1015" s="4" t="s">
        <v>6302</v>
      </c>
      <c r="D1015" s="4" t="s">
        <v>116</v>
      </c>
      <c r="E1015" s="6">
        <v>20190.0</v>
      </c>
    </row>
    <row r="1016" ht="15.75" customHeight="1">
      <c r="A1016" s="4" t="s">
        <v>5363</v>
      </c>
      <c r="B1016" s="4"/>
      <c r="C1016" s="4" t="s">
        <v>6303</v>
      </c>
      <c r="D1016" s="4" t="s">
        <v>36</v>
      </c>
      <c r="E1016" s="6">
        <v>18000.0</v>
      </c>
    </row>
    <row r="1017" ht="15.75" customHeight="1">
      <c r="A1017" s="4" t="s">
        <v>5365</v>
      </c>
      <c r="B1017" s="4"/>
      <c r="C1017" s="4" t="s">
        <v>6304</v>
      </c>
      <c r="D1017" s="4" t="s">
        <v>389</v>
      </c>
      <c r="E1017" s="6">
        <v>35000.0</v>
      </c>
    </row>
    <row r="1018" ht="15.75" customHeight="1">
      <c r="A1018" s="4" t="s">
        <v>5367</v>
      </c>
      <c r="B1018" s="4"/>
      <c r="C1018" s="4" t="s">
        <v>6305</v>
      </c>
      <c r="D1018" s="4" t="s">
        <v>389</v>
      </c>
      <c r="E1018" s="6">
        <v>8400.0</v>
      </c>
    </row>
    <row r="1019" ht="15.75" customHeight="1">
      <c r="A1019" s="4"/>
      <c r="B1019" s="4"/>
      <c r="C1019" s="4" t="s">
        <v>6306</v>
      </c>
      <c r="D1019" s="4" t="s">
        <v>389</v>
      </c>
      <c r="E1019" s="6">
        <v>20000.0</v>
      </c>
    </row>
    <row r="1020" ht="15.75" customHeight="1">
      <c r="A1020" s="4" t="s">
        <v>5369</v>
      </c>
      <c r="B1020" s="4"/>
      <c r="C1020" s="4" t="s">
        <v>6307</v>
      </c>
      <c r="D1020" s="4" t="s">
        <v>389</v>
      </c>
      <c r="E1020" s="6">
        <v>15000.0</v>
      </c>
    </row>
    <row r="1021" ht="15.75" customHeight="1">
      <c r="A1021" s="4" t="s">
        <v>5372</v>
      </c>
      <c r="B1021" s="4"/>
      <c r="C1021" s="4" t="s">
        <v>6308</v>
      </c>
      <c r="D1021" s="4" t="s">
        <v>43</v>
      </c>
      <c r="E1021" s="6">
        <v>1500.0</v>
      </c>
    </row>
    <row r="1022" ht="15.75" customHeight="1">
      <c r="A1022" s="4" t="s">
        <v>5374</v>
      </c>
      <c r="B1022" s="4"/>
      <c r="C1022" s="4" t="s">
        <v>6309</v>
      </c>
      <c r="D1022" s="4" t="s">
        <v>389</v>
      </c>
      <c r="E1022" s="6">
        <v>18000.0</v>
      </c>
    </row>
    <row r="1023" ht="15.75" customHeight="1">
      <c r="A1023" s="4" t="s">
        <v>5376</v>
      </c>
      <c r="B1023" s="4"/>
      <c r="C1023" s="4" t="s">
        <v>6310</v>
      </c>
      <c r="D1023" s="4" t="s">
        <v>389</v>
      </c>
      <c r="E1023" s="6">
        <v>19000.0</v>
      </c>
    </row>
    <row r="1024" ht="15.75" customHeight="1">
      <c r="A1024" s="4" t="s">
        <v>5378</v>
      </c>
      <c r="B1024" s="4"/>
      <c r="C1024" s="4" t="s">
        <v>6311</v>
      </c>
      <c r="D1024" s="4" t="s">
        <v>389</v>
      </c>
      <c r="E1024" s="6">
        <v>20000.0</v>
      </c>
    </row>
    <row r="1025" ht="15.75" customHeight="1">
      <c r="A1025" s="4"/>
      <c r="B1025" s="4"/>
      <c r="C1025" s="4" t="s">
        <v>6312</v>
      </c>
      <c r="D1025" s="4" t="s">
        <v>5300</v>
      </c>
      <c r="E1025" s="6">
        <v>20000.0</v>
      </c>
    </row>
    <row r="1026" ht="15.75" customHeight="1">
      <c r="A1026" s="4"/>
      <c r="B1026" s="4"/>
      <c r="C1026" s="4" t="s">
        <v>6313</v>
      </c>
      <c r="D1026" s="4" t="s">
        <v>389</v>
      </c>
      <c r="E1026" s="6">
        <v>20000.0</v>
      </c>
    </row>
    <row r="1027" ht="15.75" customHeight="1">
      <c r="A1027" s="4"/>
      <c r="B1027" s="4"/>
      <c r="C1027" s="4" t="s">
        <v>6314</v>
      </c>
      <c r="D1027" s="4" t="s">
        <v>389</v>
      </c>
      <c r="E1027" s="6">
        <v>20000.0</v>
      </c>
    </row>
    <row r="1028" ht="15.75" customHeight="1">
      <c r="A1028" s="4"/>
      <c r="B1028" s="4"/>
      <c r="C1028" s="4" t="s">
        <v>6315</v>
      </c>
      <c r="D1028" s="4" t="s">
        <v>389</v>
      </c>
      <c r="E1028" s="6">
        <v>15000.0</v>
      </c>
    </row>
    <row r="1029" ht="15.75" customHeight="1">
      <c r="A1029" s="4"/>
      <c r="B1029" s="4"/>
      <c r="C1029" s="4" t="s">
        <v>6316</v>
      </c>
      <c r="D1029" s="4" t="s">
        <v>389</v>
      </c>
      <c r="E1029" s="6">
        <v>17500.0</v>
      </c>
    </row>
    <row r="1030" ht="15.75" customHeight="1">
      <c r="A1030" s="4" t="s">
        <v>5380</v>
      </c>
      <c r="B1030" s="4"/>
      <c r="C1030" s="4" t="s">
        <v>6317</v>
      </c>
      <c r="D1030" s="4" t="s">
        <v>389</v>
      </c>
      <c r="E1030" s="6">
        <v>39450.0</v>
      </c>
    </row>
    <row r="1031" ht="15.75" customHeight="1">
      <c r="A1031" s="4"/>
      <c r="B1031" s="4"/>
      <c r="C1031" s="4" t="s">
        <v>6318</v>
      </c>
      <c r="D1031" s="4" t="s">
        <v>43</v>
      </c>
      <c r="E1031" s="6">
        <v>200.0</v>
      </c>
    </row>
    <row r="1032" ht="15.75" customHeight="1">
      <c r="A1032" s="4" t="s">
        <v>5382</v>
      </c>
      <c r="B1032" s="4"/>
      <c r="C1032" s="4" t="s">
        <v>6319</v>
      </c>
      <c r="D1032" s="4" t="s">
        <v>389</v>
      </c>
      <c r="E1032" s="6">
        <v>22070.0</v>
      </c>
    </row>
    <row r="1033" ht="15.75" customHeight="1">
      <c r="A1033" s="4" t="s">
        <v>5384</v>
      </c>
      <c r="B1033" s="4"/>
      <c r="C1033" s="4" t="s">
        <v>6320</v>
      </c>
      <c r="D1033" s="4" t="s">
        <v>389</v>
      </c>
      <c r="E1033" s="6">
        <v>19460.0</v>
      </c>
    </row>
    <row r="1034" ht="15.75" customHeight="1">
      <c r="A1034" s="4" t="s">
        <v>5386</v>
      </c>
      <c r="B1034" s="4"/>
      <c r="C1034" s="4" t="s">
        <v>6321</v>
      </c>
      <c r="D1034" s="4" t="s">
        <v>389</v>
      </c>
      <c r="E1034" s="6">
        <v>35590.0</v>
      </c>
    </row>
    <row r="1035" ht="15.75" customHeight="1">
      <c r="A1035" s="4" t="s">
        <v>5388</v>
      </c>
      <c r="B1035" s="4"/>
      <c r="C1035" s="4" t="s">
        <v>6322</v>
      </c>
      <c r="D1035" s="4" t="s">
        <v>43</v>
      </c>
      <c r="E1035" s="6">
        <v>200.0</v>
      </c>
    </row>
    <row r="1036" ht="15.75" customHeight="1">
      <c r="A1036" s="4" t="s">
        <v>5390</v>
      </c>
      <c r="B1036" s="4"/>
      <c r="C1036" s="4" t="s">
        <v>6323</v>
      </c>
      <c r="D1036" s="4" t="s">
        <v>389</v>
      </c>
      <c r="E1036" s="6">
        <v>30090.0</v>
      </c>
    </row>
    <row r="1037" ht="15.75" customHeight="1">
      <c r="A1037" s="4" t="s">
        <v>5392</v>
      </c>
      <c r="B1037" s="4"/>
      <c r="C1037" s="4" t="s">
        <v>6324</v>
      </c>
      <c r="D1037" s="4" t="s">
        <v>43</v>
      </c>
      <c r="E1037" s="6">
        <v>1600.0</v>
      </c>
    </row>
    <row r="1038" ht="15.75" customHeight="1">
      <c r="A1038" s="4"/>
      <c r="B1038" s="4"/>
      <c r="C1038" s="4" t="s">
        <v>6325</v>
      </c>
      <c r="D1038" s="4" t="s">
        <v>43</v>
      </c>
      <c r="E1038" s="6">
        <v>1600.0</v>
      </c>
    </row>
    <row r="1039" ht="15.75" customHeight="1">
      <c r="A1039" s="4"/>
      <c r="B1039" s="4"/>
      <c r="C1039" s="4" t="s">
        <v>6326</v>
      </c>
      <c r="D1039" s="4" t="s">
        <v>6327</v>
      </c>
      <c r="E1039" s="6">
        <v>29000.0</v>
      </c>
    </row>
    <row r="1040" ht="15.75" customHeight="1">
      <c r="A1040" s="4"/>
      <c r="B1040" s="4"/>
      <c r="C1040" s="4" t="s">
        <v>6328</v>
      </c>
      <c r="D1040" s="4" t="s">
        <v>5313</v>
      </c>
      <c r="E1040" s="6">
        <v>580.0</v>
      </c>
    </row>
    <row r="1041" ht="15.75" customHeight="1">
      <c r="A1041" s="4" t="s">
        <v>5394</v>
      </c>
      <c r="B1041" s="4"/>
      <c r="C1041" s="4" t="s">
        <v>6329</v>
      </c>
      <c r="D1041" s="4" t="s">
        <v>2608</v>
      </c>
      <c r="E1041" s="6">
        <v>8000000.0</v>
      </c>
    </row>
    <row r="1042" ht="15.75" customHeight="1">
      <c r="A1042" s="4" t="s">
        <v>5396</v>
      </c>
      <c r="B1042" s="4"/>
      <c r="C1042" s="4" t="s">
        <v>6330</v>
      </c>
      <c r="D1042" s="4" t="s">
        <v>27</v>
      </c>
      <c r="E1042" s="6">
        <v>1680000.0</v>
      </c>
    </row>
    <row r="1043" ht="15.75" customHeight="1">
      <c r="A1043" s="4" t="s">
        <v>5398</v>
      </c>
      <c r="B1043" s="4"/>
      <c r="C1043" s="4" t="s">
        <v>6331</v>
      </c>
      <c r="D1043" s="4" t="s">
        <v>27</v>
      </c>
      <c r="E1043" s="6">
        <v>2240000.0</v>
      </c>
    </row>
    <row r="1044" ht="15.75" customHeight="1">
      <c r="A1044" s="4" t="s">
        <v>6332</v>
      </c>
      <c r="B1044" s="4"/>
      <c r="C1044" s="4" t="s">
        <v>6333</v>
      </c>
      <c r="D1044" s="4" t="s">
        <v>27</v>
      </c>
      <c r="E1044" s="6">
        <v>2800000.0</v>
      </c>
    </row>
    <row r="1045" ht="15.75" customHeight="1">
      <c r="A1045" s="4" t="s">
        <v>6334</v>
      </c>
      <c r="B1045" s="4"/>
      <c r="C1045" s="4" t="s">
        <v>6335</v>
      </c>
      <c r="D1045" s="4" t="s">
        <v>27</v>
      </c>
      <c r="E1045" s="6">
        <v>15500.0</v>
      </c>
    </row>
    <row r="1046" ht="15.75" customHeight="1">
      <c r="A1046" s="4" t="s">
        <v>6336</v>
      </c>
      <c r="B1046" s="4"/>
      <c r="C1046" s="4" t="s">
        <v>6337</v>
      </c>
      <c r="D1046" s="4" t="s">
        <v>27</v>
      </c>
      <c r="E1046" s="6">
        <v>22000.0</v>
      </c>
    </row>
    <row r="1047" ht="15.75" customHeight="1">
      <c r="A1047" s="4" t="s">
        <v>6338</v>
      </c>
      <c r="B1047" s="4"/>
      <c r="C1047" s="4" t="s">
        <v>6339</v>
      </c>
      <c r="D1047" s="4" t="s">
        <v>27</v>
      </c>
      <c r="E1047" s="6">
        <v>31000.0</v>
      </c>
    </row>
    <row r="1048" ht="15.75" customHeight="1">
      <c r="A1048" s="4" t="s">
        <v>6340</v>
      </c>
      <c r="B1048" s="4"/>
      <c r="C1048" s="4" t="s">
        <v>6341</v>
      </c>
      <c r="D1048" s="4" t="s">
        <v>27</v>
      </c>
      <c r="E1048" s="6">
        <v>42000.0</v>
      </c>
    </row>
    <row r="1049" ht="15.75" customHeight="1">
      <c r="A1049" s="4" t="s">
        <v>6342</v>
      </c>
      <c r="B1049" s="4"/>
      <c r="C1049" s="4" t="s">
        <v>6343</v>
      </c>
      <c r="D1049" s="4" t="s">
        <v>27</v>
      </c>
      <c r="E1049" s="6">
        <v>16650.0</v>
      </c>
    </row>
    <row r="1050" ht="15.75" customHeight="1">
      <c r="A1050" s="4" t="s">
        <v>6344</v>
      </c>
      <c r="B1050" s="4"/>
      <c r="C1050" s="4" t="s">
        <v>6345</v>
      </c>
      <c r="D1050" s="4" t="s">
        <v>43</v>
      </c>
      <c r="E1050" s="6">
        <v>700.0</v>
      </c>
    </row>
    <row r="1051" ht="15.75" customHeight="1">
      <c r="A1051" s="4" t="s">
        <v>6346</v>
      </c>
      <c r="B1051" s="4"/>
      <c r="C1051" s="4" t="s">
        <v>6347</v>
      </c>
      <c r="D1051" s="4" t="s">
        <v>389</v>
      </c>
      <c r="E1051" s="6">
        <v>12430.0</v>
      </c>
    </row>
    <row r="1052" ht="15.75" customHeight="1">
      <c r="A1052" s="4" t="s">
        <v>6348</v>
      </c>
      <c r="B1052" s="4"/>
      <c r="C1052" s="4" t="s">
        <v>6349</v>
      </c>
      <c r="D1052" s="4" t="s">
        <v>389</v>
      </c>
      <c r="E1052" s="6">
        <v>12660.0</v>
      </c>
    </row>
    <row r="1053" ht="15.75" customHeight="1">
      <c r="A1053" s="4" t="s">
        <v>6350</v>
      </c>
      <c r="B1053" s="4"/>
      <c r="C1053" s="4" t="s">
        <v>6351</v>
      </c>
      <c r="D1053" s="4" t="s">
        <v>389</v>
      </c>
      <c r="E1053" s="6">
        <v>11522.0</v>
      </c>
    </row>
    <row r="1054" ht="15.75" customHeight="1">
      <c r="A1054" s="4" t="s">
        <v>6352</v>
      </c>
      <c r="B1054" s="4"/>
      <c r="C1054" s="4" t="s">
        <v>6353</v>
      </c>
      <c r="D1054" s="4" t="s">
        <v>389</v>
      </c>
      <c r="E1054" s="6">
        <v>11816.0</v>
      </c>
    </row>
    <row r="1055" ht="15.75" customHeight="1">
      <c r="A1055" s="4" t="s">
        <v>6354</v>
      </c>
      <c r="B1055" s="4"/>
      <c r="C1055" s="4" t="s">
        <v>6355</v>
      </c>
      <c r="D1055" s="4" t="s">
        <v>389</v>
      </c>
      <c r="E1055" s="6">
        <v>12049.0</v>
      </c>
    </row>
    <row r="1056" ht="15.75" customHeight="1">
      <c r="A1056" s="4" t="s">
        <v>6356</v>
      </c>
      <c r="B1056" s="4"/>
      <c r="C1056" s="4" t="s">
        <v>6357</v>
      </c>
      <c r="D1056" s="4" t="s">
        <v>389</v>
      </c>
      <c r="E1056" s="6">
        <v>12276.0</v>
      </c>
    </row>
    <row r="1057" ht="15.75" customHeight="1">
      <c r="A1057" s="4"/>
      <c r="B1057" s="4"/>
      <c r="C1057" s="4" t="s">
        <v>6358</v>
      </c>
      <c r="D1057" s="4"/>
      <c r="E1057" s="6"/>
    </row>
    <row r="1058" ht="15.75" customHeight="1">
      <c r="A1058" s="4" t="s">
        <v>5212</v>
      </c>
      <c r="B1058" s="4"/>
      <c r="C1058" s="4" t="s">
        <v>6359</v>
      </c>
      <c r="D1058" s="4" t="s">
        <v>5445</v>
      </c>
      <c r="E1058" s="6">
        <v>180400.0</v>
      </c>
    </row>
    <row r="1059" ht="15.75" customHeight="1">
      <c r="A1059" s="4" t="s">
        <v>353</v>
      </c>
      <c r="B1059" s="4"/>
      <c r="C1059" s="4" t="s">
        <v>6360</v>
      </c>
      <c r="D1059" s="4" t="s">
        <v>5445</v>
      </c>
      <c r="E1059" s="6">
        <v>47800.0</v>
      </c>
    </row>
    <row r="1060" ht="15.75" customHeight="1">
      <c r="A1060" s="4" t="s">
        <v>791</v>
      </c>
      <c r="B1060" s="4"/>
      <c r="C1060" s="4" t="s">
        <v>6361</v>
      </c>
      <c r="D1060" s="4" t="s">
        <v>5445</v>
      </c>
      <c r="E1060" s="6">
        <v>57300.0</v>
      </c>
    </row>
    <row r="1061" ht="15.75" customHeight="1">
      <c r="A1061" s="4" t="s">
        <v>1626</v>
      </c>
      <c r="B1061" s="4"/>
      <c r="C1061" s="4" t="s">
        <v>6362</v>
      </c>
      <c r="D1061" s="4" t="s">
        <v>5445</v>
      </c>
      <c r="E1061" s="6">
        <v>65300.0</v>
      </c>
    </row>
    <row r="1062" ht="15.75" customHeight="1">
      <c r="A1062" s="4" t="s">
        <v>2310</v>
      </c>
      <c r="B1062" s="4"/>
      <c r="C1062" s="4" t="s">
        <v>6363</v>
      </c>
      <c r="D1062" s="4" t="s">
        <v>5445</v>
      </c>
      <c r="E1062" s="6">
        <v>75500.0</v>
      </c>
    </row>
    <row r="1063" ht="15.75" customHeight="1">
      <c r="A1063" s="4" t="s">
        <v>3568</v>
      </c>
      <c r="B1063" s="4"/>
      <c r="C1063" s="4" t="s">
        <v>6364</v>
      </c>
      <c r="D1063" s="4" t="s">
        <v>5445</v>
      </c>
      <c r="E1063" s="6">
        <v>120000.0</v>
      </c>
    </row>
    <row r="1064" ht="15.75" customHeight="1">
      <c r="A1064" s="4" t="s">
        <v>4362</v>
      </c>
      <c r="B1064" s="4"/>
      <c r="C1064" s="4" t="s">
        <v>6365</v>
      </c>
      <c r="D1064" s="4" t="s">
        <v>5445</v>
      </c>
      <c r="E1064" s="6">
        <v>85500.0</v>
      </c>
    </row>
    <row r="1065" ht="15.75" customHeight="1">
      <c r="A1065" s="4" t="s">
        <v>4423</v>
      </c>
      <c r="B1065" s="4"/>
      <c r="C1065" s="4" t="s">
        <v>6366</v>
      </c>
      <c r="D1065" s="4" t="s">
        <v>5445</v>
      </c>
      <c r="E1065" s="6">
        <v>94000.0</v>
      </c>
    </row>
    <row r="1066" ht="15.75" customHeight="1">
      <c r="A1066" s="4" t="s">
        <v>4626</v>
      </c>
      <c r="B1066" s="4"/>
      <c r="C1066" s="4" t="s">
        <v>6367</v>
      </c>
      <c r="D1066" s="4" t="s">
        <v>5445</v>
      </c>
      <c r="E1066" s="6">
        <v>125000.0</v>
      </c>
    </row>
    <row r="1067" ht="15.75" customHeight="1">
      <c r="A1067" s="4" t="s">
        <v>5171</v>
      </c>
      <c r="B1067" s="4"/>
      <c r="C1067" s="4" t="s">
        <v>6368</v>
      </c>
      <c r="D1067" s="4" t="s">
        <v>5445</v>
      </c>
      <c r="E1067" s="6">
        <v>104900.0</v>
      </c>
    </row>
    <row r="1068" ht="15.75" customHeight="1">
      <c r="A1068" s="4" t="s">
        <v>5229</v>
      </c>
      <c r="B1068" s="4"/>
      <c r="C1068" s="4" t="s">
        <v>6369</v>
      </c>
      <c r="D1068" s="4" t="s">
        <v>5445</v>
      </c>
      <c r="E1068" s="6">
        <v>130000.0</v>
      </c>
    </row>
    <row r="1069" ht="15.75" customHeight="1">
      <c r="A1069" s="4" t="s">
        <v>5231</v>
      </c>
      <c r="B1069" s="4"/>
      <c r="C1069" s="4" t="s">
        <v>6370</v>
      </c>
      <c r="D1069" s="4" t="s">
        <v>5445</v>
      </c>
      <c r="E1069" s="6">
        <v>113400.0</v>
      </c>
    </row>
    <row r="1070" ht="15.75" customHeight="1">
      <c r="A1070" s="4" t="s">
        <v>5233</v>
      </c>
      <c r="B1070" s="4"/>
      <c r="C1070" s="4" t="s">
        <v>6371</v>
      </c>
      <c r="D1070" s="4" t="s">
        <v>5445</v>
      </c>
      <c r="E1070" s="6">
        <v>135000.0</v>
      </c>
    </row>
    <row r="1071" ht="15.75" customHeight="1">
      <c r="A1071" s="4" t="s">
        <v>5235</v>
      </c>
      <c r="B1071" s="4"/>
      <c r="C1071" s="4" t="s">
        <v>6372</v>
      </c>
      <c r="D1071" s="4" t="s">
        <v>5445</v>
      </c>
      <c r="E1071" s="6">
        <v>93000.0</v>
      </c>
    </row>
    <row r="1072" ht="15.75" customHeight="1">
      <c r="A1072" s="4" t="s">
        <v>5237</v>
      </c>
      <c r="B1072" s="4"/>
      <c r="C1072" s="4" t="s">
        <v>6373</v>
      </c>
      <c r="D1072" s="4" t="s">
        <v>5445</v>
      </c>
      <c r="E1072" s="6">
        <v>92900.0</v>
      </c>
    </row>
    <row r="1073" ht="15.75" customHeight="1">
      <c r="A1073" s="4" t="s">
        <v>5272</v>
      </c>
      <c r="B1073" s="4"/>
      <c r="C1073" s="4" t="s">
        <v>6374</v>
      </c>
      <c r="D1073" s="4" t="s">
        <v>5445</v>
      </c>
      <c r="E1073" s="6">
        <v>99600.0</v>
      </c>
    </row>
    <row r="1074" ht="15.75" customHeight="1">
      <c r="A1074" s="4" t="s">
        <v>5274</v>
      </c>
      <c r="B1074" s="4"/>
      <c r="C1074" s="4" t="s">
        <v>6375</v>
      </c>
      <c r="D1074" s="4" t="s">
        <v>5445</v>
      </c>
      <c r="E1074" s="6">
        <v>113400.0</v>
      </c>
    </row>
    <row r="1075" ht="15.75" customHeight="1">
      <c r="A1075" s="4" t="s">
        <v>5276</v>
      </c>
      <c r="B1075" s="4"/>
      <c r="C1075" s="4" t="s">
        <v>6376</v>
      </c>
      <c r="D1075" s="4" t="s">
        <v>5445</v>
      </c>
      <c r="E1075" s="6">
        <v>131000.0</v>
      </c>
    </row>
    <row r="1076" ht="15.75" customHeight="1">
      <c r="A1076" s="4" t="s">
        <v>5278</v>
      </c>
      <c r="B1076" s="4"/>
      <c r="C1076" s="4" t="s">
        <v>6377</v>
      </c>
      <c r="D1076" s="4" t="s">
        <v>5445</v>
      </c>
      <c r="E1076" s="6">
        <v>88400.0</v>
      </c>
    </row>
    <row r="1077" ht="15.75" customHeight="1">
      <c r="A1077" s="4" t="s">
        <v>5280</v>
      </c>
      <c r="B1077" s="4"/>
      <c r="C1077" s="4" t="s">
        <v>6378</v>
      </c>
      <c r="D1077" s="4" t="s">
        <v>5445</v>
      </c>
      <c r="E1077" s="6">
        <v>100500.0</v>
      </c>
    </row>
    <row r="1078" ht="15.75" customHeight="1">
      <c r="A1078" s="4" t="s">
        <v>5250</v>
      </c>
      <c r="B1078" s="4"/>
      <c r="C1078" s="4" t="s">
        <v>6379</v>
      </c>
      <c r="D1078" s="4" t="s">
        <v>36</v>
      </c>
      <c r="E1078" s="6">
        <v>112500.0</v>
      </c>
    </row>
    <row r="1079" ht="15.75" customHeight="1">
      <c r="A1079" s="4"/>
      <c r="B1079" s="4"/>
      <c r="C1079" s="4" t="s">
        <v>6380</v>
      </c>
      <c r="D1079" s="4" t="s">
        <v>36</v>
      </c>
      <c r="E1079" s="6">
        <v>112500.0</v>
      </c>
    </row>
    <row r="1080" ht="15.75" customHeight="1">
      <c r="A1080" s="4" t="s">
        <v>5268</v>
      </c>
      <c r="B1080" s="4"/>
      <c r="C1080" s="4" t="s">
        <v>6381</v>
      </c>
      <c r="D1080" s="4" t="s">
        <v>36</v>
      </c>
      <c r="E1080" s="6">
        <v>80000.0</v>
      </c>
    </row>
    <row r="1081" ht="15.75" customHeight="1">
      <c r="A1081" s="4" t="s">
        <v>5282</v>
      </c>
      <c r="B1081" s="4"/>
      <c r="C1081" s="4" t="s">
        <v>6382</v>
      </c>
      <c r="D1081" s="4" t="s">
        <v>43</v>
      </c>
      <c r="E1081" s="6">
        <v>20000.0</v>
      </c>
    </row>
    <row r="1082" ht="15.75" customHeight="1">
      <c r="A1082" s="4" t="s">
        <v>5256</v>
      </c>
      <c r="B1082" s="4"/>
      <c r="C1082" s="4" t="s">
        <v>6383</v>
      </c>
      <c r="D1082" s="4" t="s">
        <v>36</v>
      </c>
      <c r="E1082" s="6">
        <v>200000.0</v>
      </c>
    </row>
    <row r="1083" ht="15.75" customHeight="1">
      <c r="A1083" s="4" t="s">
        <v>5259</v>
      </c>
      <c r="B1083" s="4"/>
      <c r="C1083" s="4" t="s">
        <v>6384</v>
      </c>
      <c r="D1083" s="4" t="s">
        <v>5445</v>
      </c>
      <c r="E1083" s="6">
        <v>62700.0</v>
      </c>
    </row>
    <row r="1084" ht="15.75" customHeight="1">
      <c r="A1084" s="4" t="s">
        <v>5284</v>
      </c>
      <c r="B1084" s="4"/>
      <c r="C1084" s="4" t="s">
        <v>6385</v>
      </c>
      <c r="D1084" s="4" t="s">
        <v>43</v>
      </c>
      <c r="E1084" s="6">
        <v>8600.0</v>
      </c>
    </row>
    <row r="1085" ht="15.75" customHeight="1">
      <c r="A1085" s="4" t="s">
        <v>5286</v>
      </c>
      <c r="B1085" s="4"/>
      <c r="C1085" s="4" t="s">
        <v>6386</v>
      </c>
      <c r="D1085" s="4" t="s">
        <v>43</v>
      </c>
      <c r="E1085" s="6">
        <v>10700.0</v>
      </c>
    </row>
    <row r="1086" ht="15.75" customHeight="1">
      <c r="A1086" s="4" t="s">
        <v>5253</v>
      </c>
      <c r="B1086" s="4"/>
      <c r="C1086" s="4" t="s">
        <v>6387</v>
      </c>
      <c r="D1086" s="4" t="s">
        <v>43</v>
      </c>
      <c r="E1086" s="6">
        <v>30700.0</v>
      </c>
    </row>
    <row r="1087" ht="15.75" customHeight="1">
      <c r="A1087" s="4" t="s">
        <v>5288</v>
      </c>
      <c r="B1087" s="4"/>
      <c r="C1087" s="4" t="s">
        <v>6388</v>
      </c>
      <c r="D1087" s="4" t="s">
        <v>43</v>
      </c>
      <c r="E1087" s="6">
        <v>48100.0</v>
      </c>
    </row>
    <row r="1088" ht="15.75" customHeight="1">
      <c r="A1088" s="4" t="s">
        <v>5262</v>
      </c>
      <c r="B1088" s="4"/>
      <c r="C1088" s="4" t="s">
        <v>6389</v>
      </c>
      <c r="D1088" s="4" t="s">
        <v>43</v>
      </c>
      <c r="E1088" s="6">
        <v>5300.0</v>
      </c>
    </row>
    <row r="1089" ht="15.75" customHeight="1">
      <c r="A1089" s="4" t="s">
        <v>5265</v>
      </c>
      <c r="B1089" s="4"/>
      <c r="C1089" s="4" t="s">
        <v>6390</v>
      </c>
      <c r="D1089" s="4" t="s">
        <v>5445</v>
      </c>
      <c r="E1089" s="6">
        <v>78500.0</v>
      </c>
    </row>
    <row r="1090" ht="15.75" customHeight="1">
      <c r="A1090" s="4" t="s">
        <v>5290</v>
      </c>
      <c r="B1090" s="4"/>
      <c r="C1090" s="4" t="s">
        <v>6391</v>
      </c>
      <c r="D1090" s="4" t="s">
        <v>5445</v>
      </c>
      <c r="E1090" s="6">
        <v>68500.0</v>
      </c>
    </row>
    <row r="1091" ht="15.75" customHeight="1">
      <c r="A1091" s="4" t="s">
        <v>5342</v>
      </c>
      <c r="B1091" s="4"/>
      <c r="C1091" s="4" t="s">
        <v>6392</v>
      </c>
      <c r="D1091" s="4" t="s">
        <v>43</v>
      </c>
      <c r="E1091" s="6">
        <v>89700.0</v>
      </c>
    </row>
    <row r="1092" ht="15.75" customHeight="1">
      <c r="A1092" s="4" t="s">
        <v>5346</v>
      </c>
      <c r="B1092" s="4"/>
      <c r="C1092" s="4" t="s">
        <v>6393</v>
      </c>
      <c r="D1092" s="4" t="s">
        <v>43</v>
      </c>
      <c r="E1092" s="6">
        <v>122300.0</v>
      </c>
    </row>
    <row r="1093" ht="15.75" customHeight="1">
      <c r="A1093" s="4" t="s">
        <v>5348</v>
      </c>
      <c r="B1093" s="4"/>
      <c r="C1093" s="4" t="s">
        <v>6394</v>
      </c>
      <c r="D1093" s="4" t="s">
        <v>43</v>
      </c>
      <c r="E1093" s="6">
        <v>162500.0</v>
      </c>
    </row>
    <row r="1094" ht="15.75" customHeight="1">
      <c r="A1094" s="4" t="s">
        <v>5350</v>
      </c>
      <c r="B1094" s="4"/>
      <c r="C1094" s="4" t="s">
        <v>6395</v>
      </c>
      <c r="D1094" s="4" t="s">
        <v>5445</v>
      </c>
      <c r="E1094" s="6">
        <v>59600.0</v>
      </c>
    </row>
    <row r="1095" ht="15.75" customHeight="1">
      <c r="A1095" s="4" t="s">
        <v>5352</v>
      </c>
      <c r="B1095" s="4"/>
      <c r="C1095" s="4" t="s">
        <v>6396</v>
      </c>
      <c r="D1095" s="4" t="s">
        <v>5403</v>
      </c>
      <c r="E1095" s="6">
        <v>145000.0</v>
      </c>
    </row>
    <row r="1096" ht="15.75" customHeight="1">
      <c r="A1096" s="4" t="s">
        <v>5354</v>
      </c>
      <c r="B1096" s="4"/>
      <c r="C1096" s="4" t="s">
        <v>6397</v>
      </c>
      <c r="D1096" s="4" t="s">
        <v>5445</v>
      </c>
      <c r="E1096" s="6">
        <v>61200.0</v>
      </c>
    </row>
    <row r="1097" ht="15.75" customHeight="1">
      <c r="A1097" s="4" t="s">
        <v>5356</v>
      </c>
      <c r="B1097" s="4"/>
      <c r="C1097" s="4" t="s">
        <v>6398</v>
      </c>
      <c r="D1097" s="4" t="s">
        <v>43</v>
      </c>
      <c r="E1097" s="6">
        <v>149700.0</v>
      </c>
    </row>
    <row r="1098" ht="15.75" customHeight="1">
      <c r="A1098" s="4" t="s">
        <v>5359</v>
      </c>
      <c r="B1098" s="4"/>
      <c r="C1098" s="4" t="s">
        <v>6399</v>
      </c>
      <c r="D1098" s="4" t="s">
        <v>43</v>
      </c>
      <c r="E1098" s="6">
        <v>6800.0</v>
      </c>
    </row>
    <row r="1099" ht="15.75" customHeight="1">
      <c r="A1099" s="4" t="s">
        <v>5361</v>
      </c>
      <c r="B1099" s="4"/>
      <c r="C1099" s="4" t="s">
        <v>6400</v>
      </c>
      <c r="D1099" s="4" t="s">
        <v>43</v>
      </c>
      <c r="E1099" s="6">
        <v>9800.0</v>
      </c>
    </row>
    <row r="1100" ht="15.75" customHeight="1">
      <c r="A1100" s="4" t="s">
        <v>5363</v>
      </c>
      <c r="B1100" s="4"/>
      <c r="C1100" s="4" t="s">
        <v>6401</v>
      </c>
      <c r="D1100" s="4" t="s">
        <v>43</v>
      </c>
      <c r="E1100" s="6">
        <v>3400.0</v>
      </c>
    </row>
    <row r="1101" ht="15.75" customHeight="1">
      <c r="A1101" s="4" t="s">
        <v>5365</v>
      </c>
      <c r="B1101" s="4"/>
      <c r="C1101" s="4" t="s">
        <v>6402</v>
      </c>
      <c r="D1101" s="4" t="s">
        <v>43</v>
      </c>
      <c r="E1101" s="6">
        <v>5800.0</v>
      </c>
    </row>
    <row r="1102" ht="15.75" customHeight="1">
      <c r="A1102" s="4" t="s">
        <v>5367</v>
      </c>
      <c r="B1102" s="4"/>
      <c r="C1102" s="4" t="s">
        <v>6403</v>
      </c>
      <c r="D1102" s="4" t="s">
        <v>5445</v>
      </c>
      <c r="E1102" s="6">
        <v>50700.0</v>
      </c>
    </row>
    <row r="1103" ht="15.75" customHeight="1">
      <c r="A1103" s="4" t="s">
        <v>5369</v>
      </c>
      <c r="B1103" s="4"/>
      <c r="C1103" s="4" t="s">
        <v>6404</v>
      </c>
      <c r="D1103" s="4" t="s">
        <v>5445</v>
      </c>
      <c r="E1103" s="6">
        <v>30500.0</v>
      </c>
    </row>
    <row r="1104" ht="15.75" customHeight="1">
      <c r="A1104" s="4" t="s">
        <v>5372</v>
      </c>
      <c r="B1104" s="4"/>
      <c r="C1104" s="4" t="s">
        <v>6405</v>
      </c>
      <c r="D1104" s="4" t="s">
        <v>43</v>
      </c>
      <c r="E1104" s="6">
        <v>2800.0</v>
      </c>
    </row>
    <row r="1105" ht="15.75" customHeight="1">
      <c r="A1105" s="4" t="s">
        <v>5374</v>
      </c>
      <c r="B1105" s="4"/>
      <c r="C1105" s="4" t="s">
        <v>6406</v>
      </c>
      <c r="D1105" s="4" t="s">
        <v>43</v>
      </c>
      <c r="E1105" s="6">
        <v>5300.0</v>
      </c>
    </row>
    <row r="1106" ht="15.75" customHeight="1">
      <c r="A1106" s="4" t="s">
        <v>5376</v>
      </c>
      <c r="B1106" s="4"/>
      <c r="C1106" s="4" t="s">
        <v>6407</v>
      </c>
      <c r="D1106" s="4" t="s">
        <v>43</v>
      </c>
      <c r="E1106" s="6">
        <v>56200.0</v>
      </c>
    </row>
    <row r="1107" ht="15.75" customHeight="1">
      <c r="A1107" s="4" t="s">
        <v>5378</v>
      </c>
      <c r="B1107" s="4"/>
      <c r="C1107" s="4" t="s">
        <v>6408</v>
      </c>
      <c r="D1107" s="4" t="s">
        <v>43</v>
      </c>
      <c r="E1107" s="6">
        <v>54500.0</v>
      </c>
    </row>
    <row r="1108" ht="15.75" customHeight="1">
      <c r="A1108" s="4" t="s">
        <v>5380</v>
      </c>
      <c r="B1108" s="4"/>
      <c r="C1108" s="4" t="s">
        <v>6409</v>
      </c>
      <c r="D1108" s="4" t="s">
        <v>43</v>
      </c>
      <c r="E1108" s="6">
        <v>95000.0</v>
      </c>
    </row>
    <row r="1109" ht="15.75" customHeight="1">
      <c r="A1109" s="4" t="s">
        <v>5382</v>
      </c>
      <c r="B1109" s="4"/>
      <c r="C1109" s="4" t="s">
        <v>6410</v>
      </c>
      <c r="D1109" s="4" t="s">
        <v>43</v>
      </c>
      <c r="E1109" s="6">
        <v>9600.0</v>
      </c>
    </row>
    <row r="1110" ht="15.75" customHeight="1">
      <c r="A1110" s="4" t="s">
        <v>5384</v>
      </c>
      <c r="B1110" s="4"/>
      <c r="C1110" s="4" t="s">
        <v>6411</v>
      </c>
      <c r="D1110" s="4" t="s">
        <v>43</v>
      </c>
      <c r="E1110" s="6">
        <v>25600.0</v>
      </c>
    </row>
    <row r="1111" ht="15.75" customHeight="1">
      <c r="A1111" s="4" t="s">
        <v>5386</v>
      </c>
      <c r="B1111" s="4"/>
      <c r="C1111" s="4" t="s">
        <v>6412</v>
      </c>
      <c r="D1111" s="4" t="s">
        <v>5445</v>
      </c>
      <c r="E1111" s="6">
        <v>70000.0</v>
      </c>
    </row>
    <row r="1112" ht="15.75" customHeight="1">
      <c r="A1112" s="4" t="s">
        <v>5388</v>
      </c>
      <c r="B1112" s="4"/>
      <c r="C1112" s="4" t="s">
        <v>6413</v>
      </c>
      <c r="D1112" s="4" t="s">
        <v>5445</v>
      </c>
      <c r="E1112" s="6">
        <v>75000.0</v>
      </c>
    </row>
    <row r="1113" ht="15.75" customHeight="1">
      <c r="A1113" s="4" t="s">
        <v>5390</v>
      </c>
      <c r="B1113" s="4"/>
      <c r="C1113" s="4" t="s">
        <v>6414</v>
      </c>
      <c r="D1113" s="4" t="s">
        <v>5445</v>
      </c>
      <c r="E1113" s="6">
        <v>65000.0</v>
      </c>
    </row>
    <row r="1114" ht="15.75" customHeight="1">
      <c r="A1114" s="4" t="s">
        <v>5392</v>
      </c>
      <c r="B1114" s="4"/>
      <c r="C1114" s="4" t="s">
        <v>6415</v>
      </c>
      <c r="D1114" s="4" t="s">
        <v>5445</v>
      </c>
      <c r="E1114" s="6">
        <v>75000.0</v>
      </c>
    </row>
    <row r="1115" ht="15.75" customHeight="1">
      <c r="A1115" s="4" t="s">
        <v>5394</v>
      </c>
      <c r="B1115" s="4"/>
      <c r="C1115" s="4" t="s">
        <v>6416</v>
      </c>
      <c r="D1115" s="4" t="s">
        <v>5445</v>
      </c>
      <c r="E1115" s="6">
        <v>80000.0</v>
      </c>
    </row>
    <row r="1116" ht="15.75" customHeight="1">
      <c r="A1116" s="4" t="s">
        <v>5396</v>
      </c>
      <c r="B1116" s="4"/>
      <c r="C1116" s="4" t="s">
        <v>6417</v>
      </c>
      <c r="D1116" s="4" t="s">
        <v>5445</v>
      </c>
      <c r="E1116" s="6">
        <v>70000.0</v>
      </c>
    </row>
    <row r="1117" ht="15.75" customHeight="1">
      <c r="A1117" s="4" t="s">
        <v>5398</v>
      </c>
      <c r="B1117" s="4"/>
      <c r="C1117" s="4" t="s">
        <v>6418</v>
      </c>
      <c r="D1117" s="4" t="s">
        <v>5445</v>
      </c>
      <c r="E1117" s="6">
        <v>67000.0</v>
      </c>
    </row>
    <row r="1118" ht="15.75" customHeight="1">
      <c r="A1118" s="4" t="s">
        <v>6332</v>
      </c>
      <c r="B1118" s="4"/>
      <c r="C1118" s="4" t="s">
        <v>6419</v>
      </c>
      <c r="D1118" s="4" t="s">
        <v>5445</v>
      </c>
      <c r="E1118" s="6">
        <v>70000.0</v>
      </c>
    </row>
    <row r="1119" ht="15.75" customHeight="1">
      <c r="A1119" s="4" t="s">
        <v>6334</v>
      </c>
      <c r="B1119" s="4"/>
      <c r="C1119" s="4" t="s">
        <v>6420</v>
      </c>
      <c r="D1119" s="4" t="s">
        <v>5445</v>
      </c>
      <c r="E1119" s="6">
        <v>80000.0</v>
      </c>
    </row>
    <row r="1120" ht="15.75" customHeight="1">
      <c r="A1120" s="4" t="s">
        <v>6336</v>
      </c>
      <c r="B1120" s="4"/>
      <c r="C1120" s="4" t="s">
        <v>6421</v>
      </c>
      <c r="D1120" s="4" t="s">
        <v>5445</v>
      </c>
      <c r="E1120" s="6">
        <v>60000.0</v>
      </c>
    </row>
    <row r="1121" ht="15.75" customHeight="1">
      <c r="A1121" s="4" t="s">
        <v>6338</v>
      </c>
      <c r="B1121" s="4"/>
      <c r="C1121" s="4" t="s">
        <v>6422</v>
      </c>
      <c r="D1121" s="4" t="s">
        <v>5403</v>
      </c>
      <c r="E1121" s="6">
        <v>35000.0</v>
      </c>
    </row>
    <row r="1122" ht="15.75" customHeight="1">
      <c r="A1122" s="4" t="s">
        <v>6340</v>
      </c>
      <c r="B1122" s="4"/>
      <c r="C1122" s="4" t="s">
        <v>6423</v>
      </c>
      <c r="D1122" s="4" t="s">
        <v>5445</v>
      </c>
      <c r="E1122" s="6">
        <v>116300.0</v>
      </c>
    </row>
    <row r="1123" ht="15.75" customHeight="1">
      <c r="A1123" s="4"/>
      <c r="B1123" s="4"/>
      <c r="C1123" s="4" t="s">
        <v>6424</v>
      </c>
      <c r="D1123" s="4" t="s">
        <v>5445</v>
      </c>
      <c r="E1123" s="6">
        <v>85000.0</v>
      </c>
    </row>
    <row r="1124" ht="15.75" customHeight="1">
      <c r="A1124" s="4" t="s">
        <v>6342</v>
      </c>
      <c r="B1124" s="4"/>
      <c r="C1124" s="4" t="s">
        <v>6425</v>
      </c>
      <c r="D1124" s="4" t="s">
        <v>5445</v>
      </c>
      <c r="E1124" s="6">
        <v>83100.0</v>
      </c>
    </row>
    <row r="1125" ht="15.75" customHeight="1">
      <c r="A1125" s="4"/>
      <c r="B1125" s="4"/>
      <c r="C1125" s="4" t="s">
        <v>6426</v>
      </c>
      <c r="D1125" s="4" t="s">
        <v>6427</v>
      </c>
      <c r="E1125" s="6">
        <v>85000.0</v>
      </c>
    </row>
    <row r="1126" ht="15.75" customHeight="1">
      <c r="A1126" s="4" t="s">
        <v>6344</v>
      </c>
      <c r="B1126" s="4"/>
      <c r="C1126" s="4" t="s">
        <v>6428</v>
      </c>
      <c r="D1126" s="4" t="s">
        <v>5445</v>
      </c>
      <c r="E1126" s="6">
        <v>55200.0</v>
      </c>
    </row>
    <row r="1127" ht="15.75" customHeight="1">
      <c r="A1127" s="4" t="s">
        <v>6346</v>
      </c>
      <c r="B1127" s="4"/>
      <c r="C1127" s="4" t="s">
        <v>6429</v>
      </c>
      <c r="D1127" s="4" t="s">
        <v>5445</v>
      </c>
      <c r="E1127" s="6">
        <v>63900.0</v>
      </c>
    </row>
    <row r="1128" ht="15.75" customHeight="1">
      <c r="A1128" s="4" t="s">
        <v>6348</v>
      </c>
      <c r="B1128" s="4"/>
      <c r="C1128" s="4" t="s">
        <v>6430</v>
      </c>
      <c r="D1128" s="4" t="s">
        <v>5445</v>
      </c>
      <c r="E1128" s="6">
        <v>73300.0</v>
      </c>
    </row>
    <row r="1129" ht="15.75" customHeight="1">
      <c r="A1129" s="4" t="s">
        <v>6350</v>
      </c>
      <c r="B1129" s="4"/>
      <c r="C1129" s="4" t="s">
        <v>6431</v>
      </c>
      <c r="D1129" s="4" t="s">
        <v>5445</v>
      </c>
      <c r="E1129" s="6">
        <v>73000.0</v>
      </c>
    </row>
    <row r="1130" ht="15.75" customHeight="1">
      <c r="A1130" s="4" t="s">
        <v>6352</v>
      </c>
      <c r="B1130" s="4"/>
      <c r="C1130" s="4" t="s">
        <v>6432</v>
      </c>
      <c r="D1130" s="4" t="s">
        <v>5445</v>
      </c>
      <c r="E1130" s="6">
        <v>85500.0</v>
      </c>
    </row>
    <row r="1131" ht="15.75" customHeight="1">
      <c r="A1131" s="4" t="s">
        <v>6354</v>
      </c>
      <c r="B1131" s="4"/>
      <c r="C1131" s="4" t="s">
        <v>6433</v>
      </c>
      <c r="D1131" s="4" t="s">
        <v>5445</v>
      </c>
      <c r="E1131" s="6">
        <v>79000.0</v>
      </c>
    </row>
    <row r="1132" ht="15.75" customHeight="1">
      <c r="A1132" s="4" t="s">
        <v>6356</v>
      </c>
      <c r="B1132" s="4"/>
      <c r="C1132" s="4" t="s">
        <v>6434</v>
      </c>
      <c r="D1132" s="4" t="s">
        <v>5445</v>
      </c>
      <c r="E1132" s="6">
        <v>85000.0</v>
      </c>
    </row>
    <row r="1133" ht="15.75" customHeight="1">
      <c r="A1133" s="4" t="s">
        <v>6435</v>
      </c>
      <c r="B1133" s="4"/>
      <c r="C1133" s="4" t="s">
        <v>6436</v>
      </c>
      <c r="D1133" s="4" t="s">
        <v>27</v>
      </c>
      <c r="E1133" s="6">
        <v>24800.0</v>
      </c>
    </row>
    <row r="1134" ht="15.75" customHeight="1">
      <c r="A1134" s="4" t="s">
        <v>6437</v>
      </c>
      <c r="B1134" s="4"/>
      <c r="C1134" s="4" t="s">
        <v>6438</v>
      </c>
      <c r="D1134" s="4" t="s">
        <v>27</v>
      </c>
      <c r="E1134" s="6">
        <v>28100.0</v>
      </c>
    </row>
    <row r="1135" ht="15.75" customHeight="1">
      <c r="A1135" s="4" t="s">
        <v>6439</v>
      </c>
      <c r="B1135" s="4"/>
      <c r="C1135" s="4" t="s">
        <v>6440</v>
      </c>
      <c r="D1135" s="4" t="s">
        <v>27</v>
      </c>
      <c r="E1135" s="6">
        <v>30400.0</v>
      </c>
    </row>
    <row r="1136" ht="15.75" customHeight="1">
      <c r="A1136" s="4" t="s">
        <v>6441</v>
      </c>
      <c r="B1136" s="4"/>
      <c r="C1136" s="4" t="s">
        <v>6442</v>
      </c>
      <c r="D1136" s="4" t="s">
        <v>27</v>
      </c>
      <c r="E1136" s="6">
        <v>34600.0</v>
      </c>
    </row>
    <row r="1137" ht="15.75" customHeight="1">
      <c r="A1137" s="4" t="s">
        <v>6443</v>
      </c>
      <c r="B1137" s="4"/>
      <c r="C1137" s="4" t="s">
        <v>6444</v>
      </c>
      <c r="D1137" s="4" t="s">
        <v>5445</v>
      </c>
      <c r="E1137" s="6">
        <v>66900.0</v>
      </c>
    </row>
    <row r="1138" ht="15.75" customHeight="1">
      <c r="A1138" s="4" t="s">
        <v>6445</v>
      </c>
      <c r="B1138" s="4"/>
      <c r="C1138" s="4" t="s">
        <v>6446</v>
      </c>
      <c r="D1138" s="4" t="s">
        <v>5445</v>
      </c>
      <c r="E1138" s="6">
        <v>72200.0</v>
      </c>
    </row>
    <row r="1139" ht="15.75" customHeight="1">
      <c r="A1139" s="4"/>
      <c r="B1139" s="4"/>
      <c r="C1139" s="4" t="s">
        <v>6447</v>
      </c>
      <c r="D1139" s="4" t="s">
        <v>5445</v>
      </c>
      <c r="E1139" s="6">
        <v>72200.0</v>
      </c>
    </row>
    <row r="1140" ht="15.75" customHeight="1">
      <c r="A1140" s="4"/>
      <c r="B1140" s="4"/>
      <c r="C1140" s="4" t="s">
        <v>6448</v>
      </c>
      <c r="D1140" s="4" t="s">
        <v>5410</v>
      </c>
      <c r="E1140" s="6">
        <v>72200.0</v>
      </c>
    </row>
    <row r="1141" ht="15.75" customHeight="1">
      <c r="A1141" s="4" t="s">
        <v>6449</v>
      </c>
      <c r="B1141" s="4"/>
      <c r="C1141" s="4" t="s">
        <v>6450</v>
      </c>
      <c r="D1141" s="4" t="s">
        <v>27</v>
      </c>
      <c r="E1141" s="6">
        <v>70200.0</v>
      </c>
    </row>
    <row r="1142" ht="15.75" customHeight="1">
      <c r="A1142" s="4" t="s">
        <v>6451</v>
      </c>
      <c r="B1142" s="4"/>
      <c r="C1142" s="4" t="s">
        <v>6452</v>
      </c>
      <c r="D1142" s="4" t="s">
        <v>27</v>
      </c>
      <c r="E1142" s="6">
        <v>74400.0</v>
      </c>
    </row>
    <row r="1143" ht="15.75" customHeight="1">
      <c r="A1143" s="4" t="s">
        <v>6453</v>
      </c>
      <c r="B1143" s="4"/>
      <c r="C1143" s="4" t="s">
        <v>6452</v>
      </c>
      <c r="D1143" s="4" t="s">
        <v>5445</v>
      </c>
      <c r="E1143" s="6">
        <v>35000.0</v>
      </c>
    </row>
    <row r="1144" ht="15.75" customHeight="1">
      <c r="A1144" s="4" t="s">
        <v>6454</v>
      </c>
      <c r="B1144" s="4"/>
      <c r="C1144" s="4" t="s">
        <v>6455</v>
      </c>
      <c r="D1144" s="4" t="s">
        <v>6456</v>
      </c>
      <c r="E1144" s="6">
        <v>200000.0</v>
      </c>
    </row>
    <row r="1145" ht="15.75" customHeight="1">
      <c r="A1145" s="4" t="s">
        <v>6457</v>
      </c>
      <c r="B1145" s="4"/>
      <c r="C1145" s="4" t="s">
        <v>6458</v>
      </c>
      <c r="D1145" s="4" t="s">
        <v>43</v>
      </c>
      <c r="E1145" s="6">
        <v>5000.0</v>
      </c>
    </row>
    <row r="1146" ht="15.75" customHeight="1">
      <c r="A1146" s="4" t="s">
        <v>6459</v>
      </c>
      <c r="B1146" s="4"/>
      <c r="C1146" s="4" t="s">
        <v>6460</v>
      </c>
      <c r="D1146" s="4" t="s">
        <v>5403</v>
      </c>
      <c r="E1146" s="6">
        <v>55000.0</v>
      </c>
    </row>
    <row r="1147" ht="15.75" customHeight="1">
      <c r="A1147" s="4"/>
      <c r="B1147" s="4"/>
      <c r="C1147" s="4" t="s">
        <v>6461</v>
      </c>
      <c r="D1147" s="4"/>
      <c r="E1147" s="6"/>
    </row>
    <row r="1148" ht="15.75" customHeight="1">
      <c r="A1148" s="4" t="s">
        <v>5212</v>
      </c>
      <c r="B1148" s="4"/>
      <c r="C1148" s="4" t="s">
        <v>6462</v>
      </c>
      <c r="D1148" s="4" t="s">
        <v>5445</v>
      </c>
      <c r="E1148" s="6">
        <v>17400.0</v>
      </c>
    </row>
    <row r="1149" ht="15.75" customHeight="1">
      <c r="A1149" s="4" t="s">
        <v>353</v>
      </c>
      <c r="B1149" s="4"/>
      <c r="C1149" s="4" t="s">
        <v>6463</v>
      </c>
      <c r="D1149" s="4" t="s">
        <v>389</v>
      </c>
      <c r="E1149" s="6">
        <v>5000.0</v>
      </c>
    </row>
    <row r="1150" ht="15.75" customHeight="1">
      <c r="A1150" s="4" t="s">
        <v>791</v>
      </c>
      <c r="B1150" s="4"/>
      <c r="C1150" s="4" t="s">
        <v>6464</v>
      </c>
      <c r="D1150" s="4" t="s">
        <v>5403</v>
      </c>
      <c r="E1150" s="6">
        <v>18000.0</v>
      </c>
    </row>
    <row r="1151" ht="15.75" customHeight="1">
      <c r="A1151" s="4"/>
      <c r="B1151" s="4"/>
      <c r="C1151" s="4" t="s">
        <v>6465</v>
      </c>
      <c r="D1151" s="4" t="s">
        <v>5445</v>
      </c>
      <c r="E1151" s="6">
        <v>200000.0</v>
      </c>
    </row>
    <row r="1152" ht="15.75" customHeight="1">
      <c r="A1152" s="4" t="s">
        <v>1626</v>
      </c>
      <c r="B1152" s="4"/>
      <c r="C1152" s="4" t="s">
        <v>6466</v>
      </c>
      <c r="D1152" s="4" t="s">
        <v>36</v>
      </c>
      <c r="E1152" s="6">
        <v>80800.0</v>
      </c>
    </row>
    <row r="1153" ht="15.75" customHeight="1">
      <c r="A1153" s="4" t="s">
        <v>2310</v>
      </c>
      <c r="B1153" s="4"/>
      <c r="C1153" s="4" t="s">
        <v>6467</v>
      </c>
      <c r="D1153" s="4" t="s">
        <v>36</v>
      </c>
      <c r="E1153" s="6">
        <v>99300.0</v>
      </c>
    </row>
    <row r="1154" ht="15.75" customHeight="1">
      <c r="A1154" s="4" t="s">
        <v>3568</v>
      </c>
      <c r="B1154" s="4"/>
      <c r="C1154" s="4" t="s">
        <v>6468</v>
      </c>
      <c r="D1154" s="4" t="s">
        <v>5445</v>
      </c>
      <c r="E1154" s="6">
        <v>93000.0</v>
      </c>
    </row>
    <row r="1155" ht="15.75" customHeight="1">
      <c r="A1155" s="4"/>
      <c r="B1155" s="4"/>
      <c r="C1155" s="4" t="s">
        <v>6469</v>
      </c>
      <c r="D1155" s="4" t="s">
        <v>6427</v>
      </c>
      <c r="E1155" s="6">
        <v>96000.0</v>
      </c>
    </row>
    <row r="1156" ht="15.75" customHeight="1">
      <c r="A1156" s="4" t="s">
        <v>4362</v>
      </c>
      <c r="B1156" s="4"/>
      <c r="C1156" s="4" t="s">
        <v>6470</v>
      </c>
      <c r="D1156" s="4" t="s">
        <v>5445</v>
      </c>
      <c r="E1156" s="6">
        <v>70000.0</v>
      </c>
    </row>
    <row r="1157" ht="15.75" customHeight="1">
      <c r="A1157" s="4"/>
      <c r="B1157" s="4"/>
      <c r="C1157" s="4" t="s">
        <v>6471</v>
      </c>
      <c r="D1157" s="4" t="s">
        <v>36</v>
      </c>
      <c r="E1157" s="6">
        <v>290000.0</v>
      </c>
    </row>
    <row r="1158" ht="15.75" customHeight="1">
      <c r="A1158" s="4" t="s">
        <v>4423</v>
      </c>
      <c r="B1158" s="4"/>
      <c r="C1158" s="4" t="s">
        <v>6472</v>
      </c>
      <c r="D1158" s="4" t="s">
        <v>36</v>
      </c>
      <c r="E1158" s="6">
        <v>180000.0</v>
      </c>
    </row>
    <row r="1159" ht="15.75" customHeight="1">
      <c r="A1159" s="4" t="s">
        <v>4626</v>
      </c>
      <c r="B1159" s="4"/>
      <c r="C1159" s="4" t="s">
        <v>6473</v>
      </c>
      <c r="D1159" s="4" t="s">
        <v>36</v>
      </c>
      <c r="E1159" s="6">
        <v>200000.0</v>
      </c>
    </row>
    <row r="1160" ht="15.75" customHeight="1">
      <c r="A1160" s="4" t="s">
        <v>5171</v>
      </c>
      <c r="B1160" s="4"/>
      <c r="C1160" s="4" t="s">
        <v>6474</v>
      </c>
      <c r="D1160" s="4" t="s">
        <v>27</v>
      </c>
      <c r="E1160" s="6">
        <v>15800.0</v>
      </c>
    </row>
    <row r="1161" ht="15.75" customHeight="1">
      <c r="A1161" s="4" t="s">
        <v>5229</v>
      </c>
      <c r="B1161" s="4"/>
      <c r="C1161" s="4" t="s">
        <v>6475</v>
      </c>
      <c r="D1161" s="4" t="s">
        <v>27</v>
      </c>
      <c r="E1161" s="6">
        <v>21000.0</v>
      </c>
    </row>
    <row r="1162" ht="15.75" customHeight="1">
      <c r="A1162" s="4" t="s">
        <v>5231</v>
      </c>
      <c r="B1162" s="4"/>
      <c r="C1162" s="4" t="s">
        <v>6476</v>
      </c>
      <c r="D1162" s="4" t="s">
        <v>27</v>
      </c>
      <c r="E1162" s="6">
        <v>23000.0</v>
      </c>
    </row>
    <row r="1163" ht="15.75" customHeight="1">
      <c r="A1163" s="4" t="s">
        <v>5233</v>
      </c>
      <c r="B1163" s="4"/>
      <c r="C1163" s="4" t="s">
        <v>6477</v>
      </c>
      <c r="D1163" s="4" t="s">
        <v>5403</v>
      </c>
      <c r="E1163" s="6">
        <v>34000.0</v>
      </c>
    </row>
    <row r="1164" ht="15.75" customHeight="1">
      <c r="A1164" s="4" t="s">
        <v>5235</v>
      </c>
      <c r="B1164" s="4"/>
      <c r="C1164" s="4" t="s">
        <v>6478</v>
      </c>
      <c r="D1164" s="4" t="s">
        <v>36</v>
      </c>
      <c r="E1164" s="6">
        <v>45000.0</v>
      </c>
    </row>
    <row r="1165" ht="15.75" customHeight="1">
      <c r="A1165" s="4"/>
      <c r="B1165" s="4"/>
      <c r="C1165" s="4" t="s">
        <v>6479</v>
      </c>
      <c r="D1165" s="4" t="s">
        <v>5445</v>
      </c>
      <c r="E1165" s="6">
        <v>62400.0</v>
      </c>
    </row>
    <row r="1166" ht="15.75" customHeight="1">
      <c r="A1166" s="4" t="s">
        <v>5237</v>
      </c>
      <c r="B1166" s="4"/>
      <c r="C1166" s="4" t="s">
        <v>6480</v>
      </c>
      <c r="D1166" s="4" t="s">
        <v>5445</v>
      </c>
      <c r="E1166" s="6">
        <v>62400.0</v>
      </c>
    </row>
    <row r="1167" ht="15.75" customHeight="1">
      <c r="A1167" s="4" t="s">
        <v>5272</v>
      </c>
      <c r="B1167" s="4"/>
      <c r="C1167" s="4" t="s">
        <v>6481</v>
      </c>
      <c r="D1167" s="4" t="s">
        <v>5445</v>
      </c>
      <c r="E1167" s="6">
        <v>69800.0</v>
      </c>
    </row>
    <row r="1168" ht="15.75" customHeight="1">
      <c r="A1168" s="4" t="s">
        <v>5274</v>
      </c>
      <c r="B1168" s="4"/>
      <c r="C1168" s="4" t="s">
        <v>6482</v>
      </c>
      <c r="D1168" s="4" t="s">
        <v>5445</v>
      </c>
      <c r="E1168" s="6">
        <v>6200.0</v>
      </c>
    </row>
    <row r="1169" ht="15.75" customHeight="1">
      <c r="A1169" s="4" t="s">
        <v>5276</v>
      </c>
      <c r="B1169" s="4"/>
      <c r="C1169" s="4" t="s">
        <v>6483</v>
      </c>
      <c r="D1169" s="4" t="s">
        <v>5445</v>
      </c>
      <c r="E1169" s="6">
        <v>13900.0</v>
      </c>
    </row>
    <row r="1170" ht="15.75" customHeight="1">
      <c r="A1170" s="4" t="s">
        <v>5278</v>
      </c>
      <c r="B1170" s="4"/>
      <c r="C1170" s="4" t="s">
        <v>6484</v>
      </c>
      <c r="D1170" s="4" t="s">
        <v>5445</v>
      </c>
      <c r="E1170" s="6">
        <v>24000.0</v>
      </c>
    </row>
    <row r="1171" ht="15.75" customHeight="1">
      <c r="A1171" s="4"/>
      <c r="B1171" s="4"/>
      <c r="C1171" s="4" t="s">
        <v>6485</v>
      </c>
      <c r="D1171" s="4"/>
      <c r="E1171" s="6"/>
    </row>
    <row r="1172" ht="15.75" customHeight="1">
      <c r="A1172" s="4" t="s">
        <v>5212</v>
      </c>
      <c r="B1172" s="4"/>
      <c r="C1172" s="4" t="s">
        <v>6486</v>
      </c>
      <c r="D1172" s="4" t="s">
        <v>27</v>
      </c>
      <c r="E1172" s="6">
        <v>125000.0</v>
      </c>
    </row>
    <row r="1173" ht="15.75" customHeight="1">
      <c r="A1173" s="4" t="s">
        <v>353</v>
      </c>
      <c r="B1173" s="4"/>
      <c r="C1173" s="4" t="s">
        <v>6487</v>
      </c>
      <c r="D1173" s="4" t="s">
        <v>43</v>
      </c>
      <c r="E1173" s="6">
        <v>2500.0</v>
      </c>
    </row>
    <row r="1174" ht="15.75" customHeight="1">
      <c r="A1174" s="4" t="s">
        <v>791</v>
      </c>
      <c r="B1174" s="4"/>
      <c r="C1174" s="4" t="s">
        <v>6488</v>
      </c>
      <c r="D1174" s="4" t="s">
        <v>43</v>
      </c>
      <c r="E1174" s="6">
        <v>3000.0</v>
      </c>
    </row>
    <row r="1175" ht="15.75" customHeight="1">
      <c r="A1175" s="4" t="s">
        <v>1626</v>
      </c>
      <c r="B1175" s="4"/>
      <c r="C1175" s="4" t="s">
        <v>6489</v>
      </c>
      <c r="D1175" s="4" t="s">
        <v>36</v>
      </c>
      <c r="E1175" s="6">
        <v>165000.0</v>
      </c>
    </row>
    <row r="1176" ht="15.75" customHeight="1">
      <c r="A1176" s="4" t="s">
        <v>2310</v>
      </c>
      <c r="B1176" s="4"/>
      <c r="C1176" s="4" t="s">
        <v>6490</v>
      </c>
      <c r="D1176" s="4" t="s">
        <v>36</v>
      </c>
      <c r="E1176" s="6">
        <v>265000.0</v>
      </c>
    </row>
    <row r="1177" ht="15.75" customHeight="1">
      <c r="A1177" s="4" t="s">
        <v>3568</v>
      </c>
      <c r="B1177" s="4"/>
      <c r="C1177" s="4" t="s">
        <v>5328</v>
      </c>
      <c r="D1177" s="4" t="s">
        <v>36</v>
      </c>
      <c r="E1177" s="6">
        <v>125000.0</v>
      </c>
    </row>
    <row r="1178" ht="15.75" customHeight="1">
      <c r="A1178" s="4" t="s">
        <v>4362</v>
      </c>
      <c r="B1178" s="4"/>
      <c r="C1178" s="4" t="s">
        <v>6491</v>
      </c>
      <c r="D1178" s="4" t="s">
        <v>36</v>
      </c>
      <c r="E1178" s="6">
        <v>131600.0</v>
      </c>
    </row>
    <row r="1179" ht="15.75" customHeight="1">
      <c r="A1179" s="4" t="s">
        <v>4423</v>
      </c>
      <c r="B1179" s="4"/>
      <c r="C1179" s="4" t="s">
        <v>5338</v>
      </c>
      <c r="D1179" s="4" t="s">
        <v>36</v>
      </c>
      <c r="E1179" s="6">
        <v>121600.0</v>
      </c>
    </row>
    <row r="1180" ht="15.75" customHeight="1">
      <c r="A1180" s="4" t="s">
        <v>4626</v>
      </c>
      <c r="B1180" s="4"/>
      <c r="C1180" s="4" t="s">
        <v>6492</v>
      </c>
      <c r="D1180" s="4" t="s">
        <v>389</v>
      </c>
      <c r="E1180" s="6">
        <v>5000.0</v>
      </c>
    </row>
    <row r="1181" ht="15.75" customHeight="1">
      <c r="A1181" s="4" t="s">
        <v>5171</v>
      </c>
      <c r="B1181" s="4"/>
      <c r="C1181" s="4" t="s">
        <v>6493</v>
      </c>
      <c r="D1181" s="4" t="s">
        <v>36</v>
      </c>
      <c r="E1181" s="6">
        <v>195000.0</v>
      </c>
    </row>
    <row r="1182" ht="15.75" customHeight="1">
      <c r="A1182" s="4" t="s">
        <v>5229</v>
      </c>
      <c r="B1182" s="4"/>
      <c r="C1182" s="4" t="s">
        <v>6494</v>
      </c>
      <c r="D1182" s="4" t="s">
        <v>36</v>
      </c>
      <c r="E1182" s="6">
        <v>420000.0</v>
      </c>
    </row>
    <row r="1183" ht="15.75" customHeight="1">
      <c r="A1183" s="4" t="s">
        <v>5231</v>
      </c>
      <c r="B1183" s="4"/>
      <c r="C1183" s="4" t="s">
        <v>6495</v>
      </c>
      <c r="D1183" s="4" t="s">
        <v>36</v>
      </c>
      <c r="E1183" s="6">
        <v>420000.0</v>
      </c>
    </row>
    <row r="1184" ht="15.75" customHeight="1">
      <c r="A1184" s="4" t="s">
        <v>5233</v>
      </c>
      <c r="B1184" s="4"/>
      <c r="C1184" s="4" t="s">
        <v>6496</v>
      </c>
      <c r="D1184" s="4" t="s">
        <v>36</v>
      </c>
      <c r="E1184" s="6">
        <v>275000.0</v>
      </c>
    </row>
    <row r="1185" ht="15.75" customHeight="1">
      <c r="A1185" s="4" t="s">
        <v>5235</v>
      </c>
      <c r="B1185" s="4"/>
      <c r="C1185" s="4" t="s">
        <v>6497</v>
      </c>
      <c r="D1185" s="4" t="s">
        <v>36</v>
      </c>
      <c r="E1185" s="6">
        <v>315000.0</v>
      </c>
    </row>
    <row r="1186" ht="15.75" customHeight="1">
      <c r="A1186" s="4" t="s">
        <v>5237</v>
      </c>
      <c r="B1186" s="4"/>
      <c r="C1186" s="4" t="s">
        <v>6498</v>
      </c>
      <c r="D1186" s="4" t="s">
        <v>36</v>
      </c>
      <c r="E1186" s="6">
        <v>220100.0</v>
      </c>
    </row>
    <row r="1187" ht="15.75" customHeight="1">
      <c r="A1187" s="4" t="s">
        <v>5272</v>
      </c>
      <c r="B1187" s="4"/>
      <c r="C1187" s="4" t="s">
        <v>6499</v>
      </c>
      <c r="D1187" s="4" t="s">
        <v>43</v>
      </c>
      <c r="E1187" s="6">
        <v>27700.0</v>
      </c>
    </row>
    <row r="1188" ht="15.75" customHeight="1">
      <c r="A1188" s="4" t="s">
        <v>5274</v>
      </c>
      <c r="B1188" s="4"/>
      <c r="C1188" s="4" t="s">
        <v>6500</v>
      </c>
      <c r="D1188" s="4" t="s">
        <v>43</v>
      </c>
      <c r="E1188" s="6">
        <v>39200.0</v>
      </c>
    </row>
    <row r="1189" ht="15.75" customHeight="1">
      <c r="A1189" s="4" t="s">
        <v>5276</v>
      </c>
      <c r="B1189" s="4"/>
      <c r="C1189" s="4" t="s">
        <v>6501</v>
      </c>
      <c r="D1189" s="4" t="s">
        <v>43</v>
      </c>
      <c r="E1189" s="6">
        <v>92800.0</v>
      </c>
    </row>
    <row r="1190" ht="15.75" customHeight="1">
      <c r="A1190" s="4" t="s">
        <v>5278</v>
      </c>
      <c r="B1190" s="4"/>
      <c r="C1190" s="4" t="s">
        <v>6502</v>
      </c>
      <c r="D1190" s="4" t="s">
        <v>36</v>
      </c>
      <c r="E1190" s="6">
        <v>326400.0</v>
      </c>
    </row>
    <row r="1191" ht="15.75" customHeight="1">
      <c r="A1191" s="4" t="s">
        <v>5280</v>
      </c>
      <c r="B1191" s="4"/>
      <c r="C1191" s="4" t="s">
        <v>6503</v>
      </c>
      <c r="D1191" s="4" t="s">
        <v>36</v>
      </c>
      <c r="E1191" s="6">
        <v>242500.0</v>
      </c>
    </row>
    <row r="1192" ht="15.75" customHeight="1">
      <c r="A1192" s="4" t="s">
        <v>5250</v>
      </c>
      <c r="B1192" s="4"/>
      <c r="C1192" s="4" t="s">
        <v>6504</v>
      </c>
      <c r="D1192" s="4" t="s">
        <v>36</v>
      </c>
      <c r="E1192" s="6">
        <v>330600.0</v>
      </c>
    </row>
    <row r="1193" ht="15.75" customHeight="1">
      <c r="A1193" s="4" t="s">
        <v>5268</v>
      </c>
      <c r="B1193" s="4"/>
      <c r="C1193" s="4" t="s">
        <v>6505</v>
      </c>
      <c r="D1193" s="4" t="s">
        <v>43</v>
      </c>
      <c r="E1193" s="6">
        <v>20000.0</v>
      </c>
    </row>
    <row r="1194" ht="15.75" customHeight="1">
      <c r="A1194" s="4" t="s">
        <v>5282</v>
      </c>
      <c r="B1194" s="4"/>
      <c r="C1194" s="4" t="s">
        <v>6506</v>
      </c>
      <c r="D1194" s="4" t="s">
        <v>43</v>
      </c>
      <c r="E1194" s="6">
        <v>30000.0</v>
      </c>
    </row>
    <row r="1195" ht="15.75" customHeight="1">
      <c r="A1195" s="4" t="s">
        <v>5256</v>
      </c>
      <c r="B1195" s="4"/>
      <c r="C1195" s="4" t="s">
        <v>6507</v>
      </c>
      <c r="D1195" s="4" t="s">
        <v>43</v>
      </c>
      <c r="E1195" s="6">
        <v>50000.0</v>
      </c>
    </row>
    <row r="1196" ht="15.75" customHeight="1">
      <c r="A1196" s="4" t="s">
        <v>5268</v>
      </c>
      <c r="B1196" s="4"/>
      <c r="C1196" s="4" t="s">
        <v>6508</v>
      </c>
      <c r="D1196" s="4" t="s">
        <v>43</v>
      </c>
      <c r="E1196" s="6">
        <v>27000.0</v>
      </c>
    </row>
    <row r="1197" ht="15.75" customHeight="1">
      <c r="A1197" s="4" t="s">
        <v>5282</v>
      </c>
      <c r="B1197" s="4"/>
      <c r="C1197" s="4" t="s">
        <v>6509</v>
      </c>
      <c r="D1197" s="4" t="s">
        <v>43</v>
      </c>
      <c r="E1197" s="6">
        <v>39000.0</v>
      </c>
    </row>
    <row r="1198" ht="15.75" customHeight="1">
      <c r="A1198" s="4" t="s">
        <v>5256</v>
      </c>
      <c r="B1198" s="4"/>
      <c r="C1198" s="4" t="s">
        <v>6510</v>
      </c>
      <c r="D1198" s="4" t="s">
        <v>43</v>
      </c>
      <c r="E1198" s="6">
        <v>56000.0</v>
      </c>
    </row>
    <row r="1199" ht="15.75" customHeight="1">
      <c r="A1199" s="4" t="s">
        <v>5259</v>
      </c>
      <c r="B1199" s="4"/>
      <c r="C1199" s="4" t="s">
        <v>6511</v>
      </c>
      <c r="D1199" s="4" t="s">
        <v>43</v>
      </c>
      <c r="E1199" s="6">
        <v>22000.0</v>
      </c>
    </row>
    <row r="1200" ht="15.75" customHeight="1">
      <c r="A1200" s="4" t="s">
        <v>5284</v>
      </c>
      <c r="B1200" s="4"/>
      <c r="C1200" s="4" t="s">
        <v>6512</v>
      </c>
      <c r="D1200" s="4" t="s">
        <v>43</v>
      </c>
      <c r="E1200" s="6">
        <v>30000.0</v>
      </c>
    </row>
    <row r="1201" ht="15.75" customHeight="1">
      <c r="A1201" s="4" t="s">
        <v>5286</v>
      </c>
      <c r="B1201" s="4"/>
      <c r="C1201" s="4" t="s">
        <v>6513</v>
      </c>
      <c r="D1201" s="4" t="s">
        <v>43</v>
      </c>
      <c r="E1201" s="6">
        <v>35000.0</v>
      </c>
    </row>
    <row r="1202" ht="15.75" customHeight="1">
      <c r="A1202" s="4" t="s">
        <v>5253</v>
      </c>
      <c r="B1202" s="4"/>
      <c r="C1202" s="4" t="s">
        <v>6514</v>
      </c>
      <c r="D1202" s="4" t="s">
        <v>36</v>
      </c>
      <c r="E1202" s="6">
        <v>45000.0</v>
      </c>
    </row>
    <row r="1203" ht="15.75" customHeight="1">
      <c r="A1203" s="4" t="s">
        <v>5288</v>
      </c>
      <c r="B1203" s="4"/>
      <c r="C1203" s="4" t="s">
        <v>6515</v>
      </c>
      <c r="D1203" s="4" t="s">
        <v>43</v>
      </c>
      <c r="E1203" s="6">
        <v>2400.0</v>
      </c>
    </row>
    <row r="1204" ht="15.75" customHeight="1">
      <c r="A1204" s="4" t="s">
        <v>5262</v>
      </c>
      <c r="B1204" s="4"/>
      <c r="C1204" s="4" t="s">
        <v>6516</v>
      </c>
      <c r="D1204" s="4" t="s">
        <v>43</v>
      </c>
      <c r="E1204" s="6">
        <v>2300.0</v>
      </c>
    </row>
    <row r="1205" ht="15.75" customHeight="1">
      <c r="A1205" s="4" t="s">
        <v>5265</v>
      </c>
      <c r="B1205" s="4"/>
      <c r="C1205" s="4" t="s">
        <v>6517</v>
      </c>
      <c r="D1205" s="4" t="s">
        <v>43</v>
      </c>
      <c r="E1205" s="6">
        <v>2200.0</v>
      </c>
    </row>
    <row r="1206" ht="15.75" customHeight="1">
      <c r="A1206" s="4" t="s">
        <v>5290</v>
      </c>
      <c r="B1206" s="4"/>
      <c r="C1206" s="4" t="s">
        <v>6518</v>
      </c>
      <c r="D1206" s="4" t="s">
        <v>43</v>
      </c>
      <c r="E1206" s="6">
        <v>3100.0</v>
      </c>
    </row>
    <row r="1207" ht="15.75" customHeight="1">
      <c r="A1207" s="4" t="s">
        <v>5342</v>
      </c>
      <c r="B1207" s="4"/>
      <c r="C1207" s="4" t="s">
        <v>6519</v>
      </c>
      <c r="D1207" s="4" t="s">
        <v>43</v>
      </c>
      <c r="E1207" s="6">
        <v>4000.0</v>
      </c>
    </row>
    <row r="1208" ht="15.75" customHeight="1">
      <c r="A1208" s="4" t="s">
        <v>5346</v>
      </c>
      <c r="B1208" s="4"/>
      <c r="C1208" s="4" t="s">
        <v>6520</v>
      </c>
      <c r="D1208" s="4" t="s">
        <v>43</v>
      </c>
      <c r="E1208" s="6">
        <v>8100.0</v>
      </c>
    </row>
    <row r="1209" ht="15.75" customHeight="1">
      <c r="A1209" s="4" t="s">
        <v>5348</v>
      </c>
      <c r="B1209" s="4"/>
      <c r="C1209" s="4" t="s">
        <v>6521</v>
      </c>
      <c r="D1209" s="4" t="s">
        <v>43</v>
      </c>
      <c r="E1209" s="6">
        <v>12000.0</v>
      </c>
    </row>
    <row r="1210" ht="15.75" customHeight="1">
      <c r="A1210" s="4" t="s">
        <v>5342</v>
      </c>
      <c r="B1210" s="4"/>
      <c r="C1210" s="4" t="s">
        <v>6522</v>
      </c>
      <c r="D1210" s="4" t="s">
        <v>43</v>
      </c>
      <c r="E1210" s="6">
        <v>4000.0</v>
      </c>
    </row>
    <row r="1211" ht="15.75" customHeight="1">
      <c r="A1211" s="4" t="s">
        <v>5346</v>
      </c>
      <c r="B1211" s="4"/>
      <c r="C1211" s="4" t="s">
        <v>6523</v>
      </c>
      <c r="D1211" s="4" t="s">
        <v>43</v>
      </c>
      <c r="E1211" s="6">
        <v>8100.0</v>
      </c>
    </row>
    <row r="1212" ht="15.75" customHeight="1">
      <c r="A1212" s="4" t="s">
        <v>5348</v>
      </c>
      <c r="B1212" s="4"/>
      <c r="C1212" s="4" t="s">
        <v>6524</v>
      </c>
      <c r="D1212" s="4" t="s">
        <v>43</v>
      </c>
      <c r="E1212" s="6">
        <v>12000.0</v>
      </c>
    </row>
    <row r="1213" ht="15.75" customHeight="1">
      <c r="A1213" s="4"/>
      <c r="B1213" s="4"/>
      <c r="C1213" s="4" t="s">
        <v>6525</v>
      </c>
      <c r="D1213" s="4" t="s">
        <v>5313</v>
      </c>
      <c r="E1213" s="6">
        <v>28000.0</v>
      </c>
    </row>
    <row r="1214" ht="15.75" customHeight="1">
      <c r="A1214" s="4"/>
      <c r="B1214" s="4"/>
      <c r="C1214" s="4" t="s">
        <v>6526</v>
      </c>
      <c r="D1214" s="4" t="s">
        <v>5313</v>
      </c>
      <c r="E1214" s="6">
        <v>37000.0</v>
      </c>
    </row>
    <row r="1215" ht="15.75" customHeight="1">
      <c r="A1215" s="4"/>
      <c r="B1215" s="4"/>
      <c r="C1215" s="4" t="s">
        <v>6527</v>
      </c>
      <c r="D1215" s="4" t="s">
        <v>5313</v>
      </c>
      <c r="E1215" s="6">
        <v>39500.0</v>
      </c>
    </row>
    <row r="1216" ht="15.75" customHeight="1">
      <c r="A1216" s="4" t="s">
        <v>5350</v>
      </c>
      <c r="B1216" s="4"/>
      <c r="C1216" s="4" t="s">
        <v>6528</v>
      </c>
      <c r="D1216" s="4" t="s">
        <v>43</v>
      </c>
      <c r="E1216" s="6">
        <v>1500.0</v>
      </c>
    </row>
    <row r="1217" ht="15.75" customHeight="1">
      <c r="A1217" s="4" t="s">
        <v>5352</v>
      </c>
      <c r="B1217" s="4"/>
      <c r="C1217" s="4" t="s">
        <v>6529</v>
      </c>
      <c r="D1217" s="4" t="s">
        <v>43</v>
      </c>
      <c r="E1217" s="6">
        <v>2000.0</v>
      </c>
    </row>
    <row r="1218" ht="15.75" customHeight="1">
      <c r="A1218" s="4" t="s">
        <v>5354</v>
      </c>
      <c r="B1218" s="4"/>
      <c r="C1218" s="4" t="s">
        <v>6530</v>
      </c>
      <c r="D1218" s="4" t="s">
        <v>43</v>
      </c>
      <c r="E1218" s="6">
        <v>3000.0</v>
      </c>
    </row>
    <row r="1219" ht="15.75" customHeight="1">
      <c r="A1219" s="4" t="s">
        <v>5356</v>
      </c>
      <c r="B1219" s="4"/>
      <c r="C1219" s="4" t="s">
        <v>6531</v>
      </c>
      <c r="D1219" s="4" t="s">
        <v>43</v>
      </c>
      <c r="E1219" s="6">
        <v>4000.0</v>
      </c>
    </row>
    <row r="1220" ht="15.75" customHeight="1">
      <c r="A1220" s="4" t="s">
        <v>5359</v>
      </c>
      <c r="B1220" s="4"/>
      <c r="C1220" s="4" t="s">
        <v>6532</v>
      </c>
      <c r="D1220" s="4" t="s">
        <v>43</v>
      </c>
      <c r="E1220" s="6">
        <v>1000.0</v>
      </c>
    </row>
    <row r="1221" ht="15.75" customHeight="1">
      <c r="A1221" s="4" t="s">
        <v>5361</v>
      </c>
      <c r="B1221" s="4"/>
      <c r="C1221" s="4" t="s">
        <v>6533</v>
      </c>
      <c r="D1221" s="4" t="s">
        <v>43</v>
      </c>
      <c r="E1221" s="6">
        <v>27500.0</v>
      </c>
    </row>
    <row r="1222" ht="15.75" customHeight="1">
      <c r="A1222" s="4" t="s">
        <v>5363</v>
      </c>
      <c r="B1222" s="4"/>
      <c r="C1222" s="4" t="s">
        <v>6534</v>
      </c>
      <c r="D1222" s="4" t="s">
        <v>43</v>
      </c>
      <c r="E1222" s="6">
        <v>2000.0</v>
      </c>
    </row>
    <row r="1223" ht="15.75" customHeight="1">
      <c r="A1223" s="4" t="s">
        <v>5365</v>
      </c>
      <c r="B1223" s="4"/>
      <c r="C1223" s="4" t="s">
        <v>6535</v>
      </c>
      <c r="D1223" s="4" t="s">
        <v>43</v>
      </c>
      <c r="E1223" s="6">
        <v>3000.0</v>
      </c>
    </row>
    <row r="1224" ht="15.75" customHeight="1">
      <c r="A1224" s="4" t="s">
        <v>5367</v>
      </c>
      <c r="B1224" s="4"/>
      <c r="C1224" s="4" t="s">
        <v>6536</v>
      </c>
      <c r="D1224" s="4" t="s">
        <v>43</v>
      </c>
      <c r="E1224" s="6">
        <v>2500.0</v>
      </c>
    </row>
    <row r="1225" ht="15.75" customHeight="1">
      <c r="A1225" s="4" t="s">
        <v>5369</v>
      </c>
      <c r="B1225" s="4"/>
      <c r="C1225" s="4" t="s">
        <v>6537</v>
      </c>
      <c r="D1225" s="4" t="s">
        <v>43</v>
      </c>
      <c r="E1225" s="6">
        <v>2000.0</v>
      </c>
    </row>
    <row r="1226" ht="15.75" customHeight="1">
      <c r="A1226" s="4" t="s">
        <v>5372</v>
      </c>
      <c r="B1226" s="4"/>
      <c r="C1226" s="4" t="s">
        <v>6538</v>
      </c>
      <c r="D1226" s="4" t="s">
        <v>36</v>
      </c>
      <c r="E1226" s="6">
        <v>190000.0</v>
      </c>
    </row>
    <row r="1227" ht="15.75" customHeight="1">
      <c r="A1227" s="4" t="s">
        <v>5374</v>
      </c>
      <c r="B1227" s="4"/>
      <c r="C1227" s="4" t="s">
        <v>6539</v>
      </c>
      <c r="D1227" s="4" t="s">
        <v>36</v>
      </c>
      <c r="E1227" s="6">
        <v>200000.0</v>
      </c>
    </row>
    <row r="1228" ht="15.75" customHeight="1">
      <c r="A1228" s="4" t="s">
        <v>5376</v>
      </c>
      <c r="B1228" s="4"/>
      <c r="C1228" s="4" t="s">
        <v>6540</v>
      </c>
      <c r="D1228" s="4" t="s">
        <v>36</v>
      </c>
      <c r="E1228" s="6">
        <v>200000.0</v>
      </c>
    </row>
    <row r="1229" ht="15.75" customHeight="1">
      <c r="A1229" s="4" t="s">
        <v>5378</v>
      </c>
      <c r="B1229" s="4"/>
      <c r="C1229" s="4" t="s">
        <v>6541</v>
      </c>
      <c r="D1229" s="4" t="s">
        <v>36</v>
      </c>
      <c r="E1229" s="6">
        <v>175000.0</v>
      </c>
    </row>
    <row r="1230" ht="15.75" customHeight="1">
      <c r="A1230" s="4" t="s">
        <v>5380</v>
      </c>
      <c r="B1230" s="4"/>
      <c r="C1230" s="4" t="s">
        <v>6542</v>
      </c>
      <c r="D1230" s="4" t="s">
        <v>36</v>
      </c>
      <c r="E1230" s="6">
        <v>222000.0</v>
      </c>
    </row>
    <row r="1231" ht="15.75" customHeight="1">
      <c r="A1231" s="4" t="s">
        <v>5382</v>
      </c>
      <c r="B1231" s="4"/>
      <c r="C1231" s="4" t="s">
        <v>6543</v>
      </c>
      <c r="D1231" s="4" t="s">
        <v>36</v>
      </c>
      <c r="E1231" s="6">
        <v>250000.0</v>
      </c>
    </row>
    <row r="1232" ht="15.75" customHeight="1">
      <c r="A1232" s="4" t="s">
        <v>5384</v>
      </c>
      <c r="B1232" s="4"/>
      <c r="C1232" s="4" t="s">
        <v>6544</v>
      </c>
      <c r="D1232" s="4" t="s">
        <v>36</v>
      </c>
      <c r="E1232" s="6">
        <v>280000.0</v>
      </c>
    </row>
    <row r="1233" ht="15.75" customHeight="1">
      <c r="A1233" s="4" t="s">
        <v>5386</v>
      </c>
      <c r="B1233" s="4"/>
      <c r="C1233" s="4" t="s">
        <v>6545</v>
      </c>
      <c r="D1233" s="4" t="s">
        <v>36</v>
      </c>
      <c r="E1233" s="6">
        <v>160000.0</v>
      </c>
    </row>
    <row r="1234" ht="15.75" customHeight="1">
      <c r="A1234" s="4" t="s">
        <v>5388</v>
      </c>
      <c r="B1234" s="4"/>
      <c r="C1234" s="4" t="s">
        <v>6546</v>
      </c>
      <c r="D1234" s="4" t="s">
        <v>36</v>
      </c>
      <c r="E1234" s="6">
        <v>195000.0</v>
      </c>
    </row>
    <row r="1235" ht="15.75" customHeight="1">
      <c r="A1235" s="4" t="s">
        <v>5390</v>
      </c>
      <c r="B1235" s="4"/>
      <c r="C1235" s="4" t="s">
        <v>6547</v>
      </c>
      <c r="D1235" s="4" t="s">
        <v>36</v>
      </c>
      <c r="E1235" s="6">
        <v>210000.0</v>
      </c>
    </row>
    <row r="1236" ht="15.75" customHeight="1">
      <c r="A1236" s="4" t="s">
        <v>5392</v>
      </c>
      <c r="B1236" s="4"/>
      <c r="C1236" s="4" t="s">
        <v>6548</v>
      </c>
      <c r="D1236" s="4" t="s">
        <v>36</v>
      </c>
      <c r="E1236" s="6">
        <v>250000.0</v>
      </c>
    </row>
    <row r="1237" ht="15.75" customHeight="1">
      <c r="A1237" s="4" t="s">
        <v>5394</v>
      </c>
      <c r="B1237" s="4"/>
      <c r="C1237" s="4" t="s">
        <v>6549</v>
      </c>
      <c r="D1237" s="4" t="s">
        <v>36</v>
      </c>
      <c r="E1237" s="6">
        <v>140000.0</v>
      </c>
    </row>
    <row r="1238" ht="15.75" customHeight="1">
      <c r="A1238" s="4" t="s">
        <v>5396</v>
      </c>
      <c r="B1238" s="4"/>
      <c r="C1238" s="4" t="s">
        <v>6550</v>
      </c>
      <c r="D1238" s="4" t="s">
        <v>36</v>
      </c>
      <c r="E1238" s="6">
        <v>150000.0</v>
      </c>
    </row>
    <row r="1239" ht="15.75" customHeight="1">
      <c r="A1239" s="4" t="s">
        <v>5398</v>
      </c>
      <c r="B1239" s="4"/>
      <c r="C1239" s="4" t="s">
        <v>6551</v>
      </c>
      <c r="D1239" s="4" t="s">
        <v>36</v>
      </c>
      <c r="E1239" s="6">
        <v>160000.0</v>
      </c>
    </row>
    <row r="1240" ht="15.75" customHeight="1">
      <c r="A1240" s="4" t="s">
        <v>6332</v>
      </c>
      <c r="B1240" s="4"/>
      <c r="C1240" s="4" t="s">
        <v>6552</v>
      </c>
      <c r="D1240" s="4" t="s">
        <v>389</v>
      </c>
      <c r="E1240" s="6">
        <v>60000.0</v>
      </c>
    </row>
    <row r="1241" ht="15.75" customHeight="1">
      <c r="A1241" s="4" t="s">
        <v>6334</v>
      </c>
      <c r="B1241" s="4"/>
      <c r="C1241" s="4" t="s">
        <v>6553</v>
      </c>
      <c r="D1241" s="4" t="s">
        <v>43</v>
      </c>
      <c r="E1241" s="6">
        <v>800000.0</v>
      </c>
    </row>
    <row r="1242" ht="15.75" customHeight="1">
      <c r="A1242" s="4" t="s">
        <v>6336</v>
      </c>
      <c r="B1242" s="4"/>
      <c r="C1242" s="4" t="s">
        <v>6553</v>
      </c>
      <c r="D1242" s="4" t="s">
        <v>36</v>
      </c>
      <c r="E1242" s="6">
        <v>492600.0</v>
      </c>
    </row>
    <row r="1243" ht="15.75" customHeight="1">
      <c r="A1243" s="4"/>
      <c r="B1243" s="4"/>
      <c r="C1243" s="4" t="s">
        <v>6554</v>
      </c>
      <c r="D1243" s="4" t="s">
        <v>43</v>
      </c>
      <c r="E1243" s="6">
        <v>20000.0</v>
      </c>
    </row>
    <row r="1244" ht="15.75" customHeight="1">
      <c r="A1244" s="4"/>
      <c r="B1244" s="4"/>
      <c r="C1244" s="4" t="s">
        <v>6555</v>
      </c>
      <c r="D1244" s="4" t="s">
        <v>43</v>
      </c>
      <c r="E1244" s="6">
        <v>25000.0</v>
      </c>
    </row>
    <row r="1245" ht="15.75" customHeight="1">
      <c r="A1245" s="4"/>
      <c r="B1245" s="4"/>
      <c r="C1245" s="4" t="s">
        <v>6556</v>
      </c>
      <c r="D1245" s="4" t="s">
        <v>5313</v>
      </c>
      <c r="E1245" s="6">
        <v>27000.0</v>
      </c>
    </row>
    <row r="1246" ht="15.75" customHeight="1">
      <c r="A1246" s="4" t="s">
        <v>6338</v>
      </c>
      <c r="B1246" s="4"/>
      <c r="C1246" s="4" t="s">
        <v>6557</v>
      </c>
      <c r="D1246" s="4" t="s">
        <v>36</v>
      </c>
      <c r="E1246" s="6">
        <v>73400.0</v>
      </c>
    </row>
    <row r="1247" ht="15.75" customHeight="1">
      <c r="A1247" s="4" t="s">
        <v>6340</v>
      </c>
      <c r="B1247" s="4"/>
      <c r="C1247" s="4" t="s">
        <v>6558</v>
      </c>
      <c r="D1247" s="4" t="s">
        <v>36</v>
      </c>
      <c r="E1247" s="6">
        <v>74400.0</v>
      </c>
    </row>
    <row r="1248" ht="15.75" customHeight="1">
      <c r="A1248" s="4" t="s">
        <v>6342</v>
      </c>
      <c r="B1248" s="4"/>
      <c r="C1248" s="4" t="s">
        <v>6559</v>
      </c>
      <c r="D1248" s="4" t="s">
        <v>36</v>
      </c>
      <c r="E1248" s="6">
        <v>75400.0</v>
      </c>
    </row>
    <row r="1249" ht="15.75" customHeight="1">
      <c r="A1249" s="4" t="s">
        <v>6344</v>
      </c>
      <c r="B1249" s="4"/>
      <c r="C1249" s="4" t="s">
        <v>6560</v>
      </c>
      <c r="D1249" s="4" t="s">
        <v>36</v>
      </c>
      <c r="E1249" s="6">
        <v>75400.0</v>
      </c>
    </row>
    <row r="1250" ht="15.75" customHeight="1">
      <c r="A1250" s="4" t="s">
        <v>6346</v>
      </c>
      <c r="B1250" s="4"/>
      <c r="C1250" s="4" t="s">
        <v>6561</v>
      </c>
      <c r="D1250" s="4" t="s">
        <v>36</v>
      </c>
      <c r="E1250" s="6">
        <v>306600.0</v>
      </c>
    </row>
    <row r="1251" ht="15.75" customHeight="1">
      <c r="A1251" s="4" t="s">
        <v>6348</v>
      </c>
      <c r="B1251" s="4"/>
      <c r="C1251" s="4" t="s">
        <v>6562</v>
      </c>
      <c r="D1251" s="4" t="s">
        <v>43</v>
      </c>
      <c r="E1251" s="6">
        <v>85000.0</v>
      </c>
    </row>
    <row r="1252" ht="15.75" customHeight="1">
      <c r="A1252" s="4" t="s">
        <v>6350</v>
      </c>
      <c r="B1252" s="4"/>
      <c r="C1252" s="4" t="s">
        <v>6563</v>
      </c>
      <c r="D1252" s="4" t="s">
        <v>43</v>
      </c>
      <c r="E1252" s="6">
        <v>8200.0</v>
      </c>
    </row>
    <row r="1253" ht="15.75" customHeight="1">
      <c r="A1253" s="4" t="s">
        <v>6352</v>
      </c>
      <c r="B1253" s="4"/>
      <c r="C1253" s="4" t="s">
        <v>6564</v>
      </c>
      <c r="D1253" s="4" t="s">
        <v>43</v>
      </c>
      <c r="E1253" s="6">
        <v>3400.0</v>
      </c>
    </row>
    <row r="1254" ht="15.75" customHeight="1">
      <c r="A1254" s="4" t="s">
        <v>6354</v>
      </c>
      <c r="B1254" s="4"/>
      <c r="C1254" s="4" t="s">
        <v>6565</v>
      </c>
      <c r="D1254" s="4" t="s">
        <v>43</v>
      </c>
      <c r="E1254" s="6">
        <v>24000.0</v>
      </c>
    </row>
    <row r="1255" ht="15.75" customHeight="1">
      <c r="A1255" s="4" t="s">
        <v>6356</v>
      </c>
      <c r="B1255" s="4"/>
      <c r="C1255" s="4" t="s">
        <v>6566</v>
      </c>
      <c r="D1255" s="4" t="s">
        <v>43</v>
      </c>
      <c r="E1255" s="6">
        <v>22600.0</v>
      </c>
    </row>
    <row r="1256" ht="15.75" customHeight="1">
      <c r="A1256" s="4" t="s">
        <v>6435</v>
      </c>
      <c r="B1256" s="4"/>
      <c r="C1256" s="4" t="s">
        <v>6567</v>
      </c>
      <c r="D1256" s="4" t="s">
        <v>43</v>
      </c>
      <c r="E1256" s="6">
        <v>5000.0</v>
      </c>
    </row>
    <row r="1257" ht="15.75" customHeight="1">
      <c r="A1257" s="4" t="s">
        <v>6437</v>
      </c>
      <c r="B1257" s="4"/>
      <c r="C1257" s="4" t="s">
        <v>6568</v>
      </c>
      <c r="D1257" s="4" t="s">
        <v>43</v>
      </c>
      <c r="E1257" s="6">
        <v>7000.0</v>
      </c>
    </row>
    <row r="1258" ht="15.75" customHeight="1">
      <c r="A1258" s="4" t="s">
        <v>6439</v>
      </c>
      <c r="B1258" s="4"/>
      <c r="C1258" s="4" t="s">
        <v>6569</v>
      </c>
      <c r="D1258" s="4" t="s">
        <v>43</v>
      </c>
      <c r="E1258" s="6">
        <v>10000.0</v>
      </c>
    </row>
    <row r="1259" ht="15.75" customHeight="1">
      <c r="A1259" s="4"/>
      <c r="B1259" s="4"/>
      <c r="C1259" s="4" t="s">
        <v>6570</v>
      </c>
      <c r="D1259" s="4" t="s">
        <v>43</v>
      </c>
      <c r="E1259" s="6">
        <v>7000.0</v>
      </c>
    </row>
    <row r="1260" ht="15.75" customHeight="1">
      <c r="A1260" s="4"/>
      <c r="B1260" s="4"/>
      <c r="C1260" s="4" t="s">
        <v>6571</v>
      </c>
      <c r="D1260" s="4" t="s">
        <v>43</v>
      </c>
      <c r="E1260" s="6">
        <v>9000.0</v>
      </c>
    </row>
    <row r="1261" ht="15.75" customHeight="1">
      <c r="A1261" s="4"/>
      <c r="B1261" s="4"/>
      <c r="C1261" s="4" t="s">
        <v>6572</v>
      </c>
      <c r="D1261" s="4" t="s">
        <v>43</v>
      </c>
      <c r="E1261" s="6">
        <v>13000.0</v>
      </c>
    </row>
    <row r="1262" ht="15.75" customHeight="1">
      <c r="A1262" s="4" t="s">
        <v>6441</v>
      </c>
      <c r="B1262" s="4"/>
      <c r="C1262" s="4" t="s">
        <v>6573</v>
      </c>
      <c r="D1262" s="4" t="s">
        <v>43</v>
      </c>
      <c r="E1262" s="6">
        <v>5000.0</v>
      </c>
    </row>
    <row r="1263" ht="15.75" customHeight="1">
      <c r="A1263" s="4" t="s">
        <v>6443</v>
      </c>
      <c r="B1263" s="4"/>
      <c r="C1263" s="4" t="s">
        <v>6574</v>
      </c>
      <c r="D1263" s="4" t="s">
        <v>43</v>
      </c>
      <c r="E1263" s="6">
        <v>15300.0</v>
      </c>
    </row>
    <row r="1264" ht="15.75" customHeight="1">
      <c r="A1264" s="4" t="s">
        <v>6445</v>
      </c>
      <c r="B1264" s="4"/>
      <c r="C1264" s="4" t="s">
        <v>6575</v>
      </c>
      <c r="D1264" s="4" t="s">
        <v>43</v>
      </c>
      <c r="E1264" s="6">
        <v>2000.0</v>
      </c>
    </row>
    <row r="1265" ht="15.75" customHeight="1">
      <c r="A1265" s="4" t="s">
        <v>6449</v>
      </c>
      <c r="B1265" s="4"/>
      <c r="C1265" s="4" t="s">
        <v>6576</v>
      </c>
      <c r="D1265" s="4" t="s">
        <v>43</v>
      </c>
      <c r="E1265" s="6">
        <v>3000.0</v>
      </c>
    </row>
    <row r="1266" ht="15.75" customHeight="1">
      <c r="A1266" s="4" t="s">
        <v>6451</v>
      </c>
      <c r="B1266" s="4"/>
      <c r="C1266" s="4" t="s">
        <v>6577</v>
      </c>
      <c r="D1266" s="4" t="s">
        <v>43</v>
      </c>
      <c r="E1266" s="6">
        <v>4000.0</v>
      </c>
    </row>
    <row r="1267" ht="15.75" customHeight="1">
      <c r="A1267" s="4" t="s">
        <v>6453</v>
      </c>
      <c r="B1267" s="4"/>
      <c r="C1267" s="4" t="s">
        <v>6578</v>
      </c>
      <c r="D1267" s="4" t="s">
        <v>43</v>
      </c>
      <c r="E1267" s="6">
        <v>5000.0</v>
      </c>
    </row>
    <row r="1268" ht="15.75" customHeight="1">
      <c r="A1268" s="4" t="s">
        <v>6454</v>
      </c>
      <c r="B1268" s="4"/>
      <c r="C1268" s="4" t="s">
        <v>6579</v>
      </c>
      <c r="D1268" s="4" t="s">
        <v>43</v>
      </c>
      <c r="E1268" s="6">
        <v>2000.0</v>
      </c>
    </row>
    <row r="1269" ht="15.75" customHeight="1">
      <c r="A1269" s="4" t="s">
        <v>6457</v>
      </c>
      <c r="B1269" s="4"/>
      <c r="C1269" s="4" t="s">
        <v>6580</v>
      </c>
      <c r="D1269" s="4" t="s">
        <v>43</v>
      </c>
      <c r="E1269" s="6">
        <v>3000.0</v>
      </c>
    </row>
    <row r="1270" ht="15.75" customHeight="1">
      <c r="A1270" s="4" t="s">
        <v>6459</v>
      </c>
      <c r="B1270" s="4"/>
      <c r="C1270" s="4" t="s">
        <v>6581</v>
      </c>
      <c r="D1270" s="4" t="s">
        <v>43</v>
      </c>
      <c r="E1270" s="6">
        <v>4000.0</v>
      </c>
    </row>
    <row r="1271" ht="15.75" customHeight="1">
      <c r="A1271" s="4" t="s">
        <v>6582</v>
      </c>
      <c r="B1271" s="4"/>
      <c r="C1271" s="4" t="s">
        <v>6583</v>
      </c>
      <c r="D1271" s="4" t="s">
        <v>43</v>
      </c>
      <c r="E1271" s="6">
        <v>2500.0</v>
      </c>
    </row>
    <row r="1272" ht="15.75" customHeight="1">
      <c r="A1272" s="4" t="s">
        <v>6584</v>
      </c>
      <c r="B1272" s="4"/>
      <c r="C1272" s="4" t="s">
        <v>6585</v>
      </c>
      <c r="D1272" s="4" t="s">
        <v>43</v>
      </c>
      <c r="E1272" s="6">
        <v>3000.0</v>
      </c>
    </row>
    <row r="1273" ht="15.75" customHeight="1">
      <c r="A1273" s="4" t="s">
        <v>6586</v>
      </c>
      <c r="B1273" s="4"/>
      <c r="C1273" s="4" t="s">
        <v>6587</v>
      </c>
      <c r="D1273" s="4" t="s">
        <v>43</v>
      </c>
      <c r="E1273" s="6">
        <v>4000.0</v>
      </c>
    </row>
    <row r="1274" ht="15.75" customHeight="1">
      <c r="A1274" s="4" t="s">
        <v>6588</v>
      </c>
      <c r="B1274" s="4"/>
      <c r="C1274" s="4" t="s">
        <v>6589</v>
      </c>
      <c r="D1274" s="4" t="s">
        <v>43</v>
      </c>
      <c r="E1274" s="6">
        <v>6000.0</v>
      </c>
    </row>
    <row r="1275" ht="15.75" customHeight="1">
      <c r="A1275" s="4" t="s">
        <v>6590</v>
      </c>
      <c r="B1275" s="4"/>
      <c r="C1275" s="4" t="s">
        <v>6591</v>
      </c>
      <c r="D1275" s="4" t="s">
        <v>43</v>
      </c>
      <c r="E1275" s="6">
        <v>8000.0</v>
      </c>
    </row>
    <row r="1276" ht="15.75" customHeight="1">
      <c r="A1276" s="4" t="s">
        <v>6592</v>
      </c>
      <c r="B1276" s="4"/>
      <c r="C1276" s="4" t="s">
        <v>6593</v>
      </c>
      <c r="D1276" s="4" t="s">
        <v>43</v>
      </c>
      <c r="E1276" s="6">
        <v>10000.0</v>
      </c>
    </row>
    <row r="1277" ht="15.75" customHeight="1">
      <c r="A1277" s="4" t="s">
        <v>6594</v>
      </c>
      <c r="B1277" s="4"/>
      <c r="C1277" s="4" t="s">
        <v>6595</v>
      </c>
      <c r="D1277" s="4" t="s">
        <v>43</v>
      </c>
      <c r="E1277" s="6">
        <v>1000.0</v>
      </c>
    </row>
    <row r="1278" ht="15.75" customHeight="1">
      <c r="A1278" s="4" t="s">
        <v>6596</v>
      </c>
      <c r="B1278" s="4"/>
      <c r="C1278" s="4" t="s">
        <v>6597</v>
      </c>
      <c r="D1278" s="4" t="s">
        <v>43</v>
      </c>
      <c r="E1278" s="6">
        <v>1500.0</v>
      </c>
    </row>
    <row r="1279" ht="15.75" customHeight="1">
      <c r="A1279" s="4" t="s">
        <v>6598</v>
      </c>
      <c r="B1279" s="4"/>
      <c r="C1279" s="4" t="s">
        <v>6599</v>
      </c>
      <c r="D1279" s="4" t="s">
        <v>43</v>
      </c>
      <c r="E1279" s="6">
        <v>2000.0</v>
      </c>
    </row>
    <row r="1280" ht="15.75" customHeight="1">
      <c r="A1280" s="4" t="s">
        <v>6600</v>
      </c>
      <c r="B1280" s="4"/>
      <c r="C1280" s="4" t="s">
        <v>6601</v>
      </c>
      <c r="D1280" s="4" t="s">
        <v>43</v>
      </c>
      <c r="E1280" s="6">
        <v>2500.0</v>
      </c>
    </row>
    <row r="1281" ht="15.75" customHeight="1">
      <c r="A1281" s="4" t="s">
        <v>6602</v>
      </c>
      <c r="B1281" s="4"/>
      <c r="C1281" s="4" t="s">
        <v>6603</v>
      </c>
      <c r="D1281" s="4" t="s">
        <v>43</v>
      </c>
      <c r="E1281" s="6">
        <v>4000.0</v>
      </c>
    </row>
    <row r="1282" ht="15.75" customHeight="1">
      <c r="A1282" s="4" t="s">
        <v>6604</v>
      </c>
      <c r="B1282" s="4"/>
      <c r="C1282" s="4" t="s">
        <v>6605</v>
      </c>
      <c r="D1282" s="4" t="s">
        <v>43</v>
      </c>
      <c r="E1282" s="6">
        <v>6000.0</v>
      </c>
    </row>
    <row r="1283" ht="15.75" customHeight="1">
      <c r="A1283" s="4" t="s">
        <v>6606</v>
      </c>
      <c r="B1283" s="4"/>
      <c r="C1283" s="4" t="s">
        <v>6607</v>
      </c>
      <c r="D1283" s="4" t="s">
        <v>43</v>
      </c>
      <c r="E1283" s="6">
        <v>1500.0</v>
      </c>
    </row>
    <row r="1284" ht="15.75" customHeight="1">
      <c r="A1284" s="4" t="s">
        <v>6608</v>
      </c>
      <c r="B1284" s="4"/>
      <c r="C1284" s="4" t="s">
        <v>6609</v>
      </c>
      <c r="D1284" s="4" t="s">
        <v>43</v>
      </c>
      <c r="E1284" s="6">
        <v>2000.0</v>
      </c>
    </row>
    <row r="1285" ht="15.75" customHeight="1">
      <c r="A1285" s="4" t="s">
        <v>6610</v>
      </c>
      <c r="B1285" s="4"/>
      <c r="C1285" s="4" t="s">
        <v>6611</v>
      </c>
      <c r="D1285" s="4" t="s">
        <v>43</v>
      </c>
      <c r="E1285" s="6">
        <v>3000.0</v>
      </c>
    </row>
    <row r="1286" ht="15.75" customHeight="1">
      <c r="A1286" s="4" t="s">
        <v>6612</v>
      </c>
      <c r="B1286" s="4"/>
      <c r="C1286" s="4" t="s">
        <v>6613</v>
      </c>
      <c r="D1286" s="4" t="s">
        <v>43</v>
      </c>
      <c r="E1286" s="6">
        <v>4500.0</v>
      </c>
    </row>
    <row r="1287" ht="15.75" customHeight="1">
      <c r="A1287" s="4" t="s">
        <v>6614</v>
      </c>
      <c r="B1287" s="4"/>
      <c r="C1287" s="4" t="s">
        <v>6615</v>
      </c>
      <c r="D1287" s="4" t="s">
        <v>43</v>
      </c>
      <c r="E1287" s="6">
        <v>2000.0</v>
      </c>
    </row>
    <row r="1288" ht="15.75" customHeight="1">
      <c r="A1288" s="4" t="s">
        <v>6616</v>
      </c>
      <c r="B1288" s="4"/>
      <c r="C1288" s="4" t="s">
        <v>6617</v>
      </c>
      <c r="D1288" s="4" t="s">
        <v>43</v>
      </c>
      <c r="E1288" s="6">
        <v>1000.0</v>
      </c>
    </row>
    <row r="1289" ht="15.75" customHeight="1">
      <c r="A1289" s="4" t="s">
        <v>6618</v>
      </c>
      <c r="B1289" s="4"/>
      <c r="C1289" s="4" t="s">
        <v>6619</v>
      </c>
      <c r="D1289" s="4" t="s">
        <v>6620</v>
      </c>
      <c r="E1289" s="6">
        <v>83000.0</v>
      </c>
    </row>
    <row r="1290" ht="15.75" customHeight="1">
      <c r="A1290" s="4" t="s">
        <v>6621</v>
      </c>
      <c r="B1290" s="4"/>
      <c r="C1290" s="4" t="s">
        <v>6622</v>
      </c>
      <c r="D1290" s="4" t="s">
        <v>43</v>
      </c>
      <c r="E1290" s="6">
        <v>4000.0</v>
      </c>
    </row>
    <row r="1291" ht="15.75" customHeight="1">
      <c r="A1291" s="4" t="s">
        <v>6623</v>
      </c>
      <c r="B1291" s="4"/>
      <c r="C1291" s="4" t="s">
        <v>6624</v>
      </c>
      <c r="D1291" s="4" t="s">
        <v>36</v>
      </c>
      <c r="E1291" s="6">
        <v>160000.0</v>
      </c>
    </row>
    <row r="1292" ht="15.75" customHeight="1">
      <c r="A1292" s="4" t="s">
        <v>6625</v>
      </c>
      <c r="B1292" s="4"/>
      <c r="C1292" s="4" t="s">
        <v>6626</v>
      </c>
      <c r="D1292" s="4" t="s">
        <v>36</v>
      </c>
      <c r="E1292" s="6">
        <v>180000.0</v>
      </c>
    </row>
    <row r="1293" ht="15.75" customHeight="1">
      <c r="A1293" s="4" t="s">
        <v>6627</v>
      </c>
      <c r="B1293" s="4"/>
      <c r="C1293" s="4" t="s">
        <v>6628</v>
      </c>
      <c r="D1293" s="4" t="s">
        <v>43</v>
      </c>
      <c r="E1293" s="6">
        <v>6100.0</v>
      </c>
    </row>
    <row r="1294" ht="15.75" customHeight="1">
      <c r="A1294" s="4" t="s">
        <v>6629</v>
      </c>
      <c r="B1294" s="4"/>
      <c r="C1294" s="4" t="s">
        <v>6630</v>
      </c>
      <c r="D1294" s="4" t="s">
        <v>43</v>
      </c>
      <c r="E1294" s="6">
        <v>5300.0</v>
      </c>
    </row>
    <row r="1295" ht="15.75" customHeight="1">
      <c r="A1295" s="4" t="s">
        <v>6631</v>
      </c>
      <c r="B1295" s="4"/>
      <c r="C1295" s="4" t="s">
        <v>6632</v>
      </c>
      <c r="D1295" s="4" t="s">
        <v>116</v>
      </c>
      <c r="E1295" s="6">
        <v>3500000.0</v>
      </c>
    </row>
    <row r="1296" ht="15.75" customHeight="1">
      <c r="A1296" s="4" t="s">
        <v>6633</v>
      </c>
      <c r="B1296" s="4"/>
      <c r="C1296" s="4" t="s">
        <v>6634</v>
      </c>
      <c r="D1296" s="4" t="s">
        <v>43</v>
      </c>
      <c r="E1296" s="6">
        <v>14200.0</v>
      </c>
    </row>
    <row r="1297" ht="15.75" customHeight="1">
      <c r="A1297" s="4" t="s">
        <v>6635</v>
      </c>
      <c r="B1297" s="4"/>
      <c r="C1297" s="4" t="s">
        <v>6636</v>
      </c>
      <c r="D1297" s="4" t="s">
        <v>43</v>
      </c>
      <c r="E1297" s="6">
        <v>20000.0</v>
      </c>
    </row>
    <row r="1298" ht="15.75" customHeight="1">
      <c r="A1298" s="4" t="s">
        <v>6637</v>
      </c>
      <c r="B1298" s="4"/>
      <c r="C1298" s="4" t="s">
        <v>6638</v>
      </c>
      <c r="D1298" s="4" t="s">
        <v>43</v>
      </c>
      <c r="E1298" s="6">
        <v>30000.0</v>
      </c>
    </row>
    <row r="1299" ht="15.75" customHeight="1">
      <c r="A1299" s="4" t="s">
        <v>6639</v>
      </c>
      <c r="B1299" s="4"/>
      <c r="C1299" s="4" t="s">
        <v>6640</v>
      </c>
      <c r="D1299" s="4" t="s">
        <v>43</v>
      </c>
      <c r="E1299" s="6">
        <v>2000.0</v>
      </c>
    </row>
    <row r="1300" ht="15.75" customHeight="1">
      <c r="A1300" s="4" t="s">
        <v>6641</v>
      </c>
      <c r="B1300" s="4"/>
      <c r="C1300" s="4" t="s">
        <v>6642</v>
      </c>
      <c r="D1300" s="4" t="s">
        <v>43</v>
      </c>
      <c r="E1300" s="6">
        <v>3400.0</v>
      </c>
    </row>
    <row r="1301" ht="15.75" customHeight="1">
      <c r="A1301" s="4" t="s">
        <v>6643</v>
      </c>
      <c r="B1301" s="4"/>
      <c r="C1301" s="4" t="s">
        <v>6644</v>
      </c>
      <c r="D1301" s="4" t="s">
        <v>43</v>
      </c>
      <c r="E1301" s="6">
        <v>4600.0</v>
      </c>
    </row>
    <row r="1302" ht="15.75" customHeight="1">
      <c r="A1302" s="4" t="s">
        <v>6645</v>
      </c>
      <c r="B1302" s="4"/>
      <c r="C1302" s="4" t="s">
        <v>6646</v>
      </c>
      <c r="D1302" s="4" t="s">
        <v>43</v>
      </c>
      <c r="E1302" s="6">
        <v>6000.0</v>
      </c>
    </row>
    <row r="1303" ht="15.75" customHeight="1">
      <c r="A1303" s="4" t="s">
        <v>6647</v>
      </c>
      <c r="B1303" s="4"/>
      <c r="C1303" s="4" t="s">
        <v>6648</v>
      </c>
      <c r="D1303" s="4" t="s">
        <v>6649</v>
      </c>
      <c r="E1303" s="6">
        <v>43800.0</v>
      </c>
    </row>
    <row r="1304" ht="15.75" customHeight="1">
      <c r="A1304" s="4" t="s">
        <v>6650</v>
      </c>
      <c r="B1304" s="4"/>
      <c r="C1304" s="4" t="s">
        <v>6651</v>
      </c>
      <c r="D1304" s="4" t="s">
        <v>6649</v>
      </c>
      <c r="E1304" s="6">
        <v>46900.0</v>
      </c>
    </row>
    <row r="1305" ht="15.75" customHeight="1">
      <c r="A1305" s="4" t="s">
        <v>6652</v>
      </c>
      <c r="B1305" s="4"/>
      <c r="C1305" s="4" t="s">
        <v>6653</v>
      </c>
      <c r="D1305" s="4" t="s">
        <v>6649</v>
      </c>
      <c r="E1305" s="6">
        <v>48400.0</v>
      </c>
    </row>
    <row r="1306" ht="15.75" customHeight="1">
      <c r="A1306" s="4" t="s">
        <v>6654</v>
      </c>
      <c r="B1306" s="4"/>
      <c r="C1306" s="4" t="s">
        <v>6655</v>
      </c>
      <c r="D1306" s="4" t="s">
        <v>6649</v>
      </c>
      <c r="E1306" s="6">
        <v>49900.0</v>
      </c>
    </row>
    <row r="1307" ht="15.75" customHeight="1">
      <c r="A1307" s="4" t="s">
        <v>6656</v>
      </c>
      <c r="B1307" s="4"/>
      <c r="C1307" s="4" t="s">
        <v>6657</v>
      </c>
      <c r="D1307" s="4" t="s">
        <v>43</v>
      </c>
      <c r="E1307" s="6">
        <v>45000.0</v>
      </c>
    </row>
    <row r="1308" ht="15.75" customHeight="1">
      <c r="A1308" s="4" t="s">
        <v>6658</v>
      </c>
      <c r="B1308" s="4"/>
      <c r="C1308" s="4" t="s">
        <v>6659</v>
      </c>
      <c r="D1308" s="4" t="s">
        <v>43</v>
      </c>
      <c r="E1308" s="6">
        <v>60000.0</v>
      </c>
    </row>
    <row r="1309" ht="15.75" customHeight="1">
      <c r="A1309" s="4" t="s">
        <v>6660</v>
      </c>
      <c r="B1309" s="4"/>
      <c r="C1309" s="4" t="s">
        <v>6661</v>
      </c>
      <c r="D1309" s="4" t="s">
        <v>43</v>
      </c>
      <c r="E1309" s="6">
        <v>70000.0</v>
      </c>
    </row>
    <row r="1310" ht="15.75" customHeight="1">
      <c r="A1310" s="4" t="s">
        <v>6662</v>
      </c>
      <c r="B1310" s="4"/>
      <c r="C1310" s="4" t="s">
        <v>6663</v>
      </c>
      <c r="D1310" s="4" t="s">
        <v>43</v>
      </c>
      <c r="E1310" s="6">
        <v>24000.0</v>
      </c>
    </row>
    <row r="1311" ht="15.75" customHeight="1">
      <c r="A1311" s="4" t="s">
        <v>6664</v>
      </c>
      <c r="B1311" s="4"/>
      <c r="C1311" s="4" t="s">
        <v>6665</v>
      </c>
      <c r="D1311" s="4" t="s">
        <v>43</v>
      </c>
      <c r="E1311" s="6">
        <v>30000.0</v>
      </c>
    </row>
    <row r="1312" ht="15.75" customHeight="1">
      <c r="A1312" s="4" t="s">
        <v>6666</v>
      </c>
      <c r="B1312" s="4"/>
      <c r="C1312" s="4" t="s">
        <v>6667</v>
      </c>
      <c r="D1312" s="4" t="s">
        <v>43</v>
      </c>
      <c r="E1312" s="6">
        <v>2000.0</v>
      </c>
    </row>
    <row r="1313" ht="15.75" customHeight="1">
      <c r="A1313" s="4" t="s">
        <v>6668</v>
      </c>
      <c r="B1313" s="4"/>
      <c r="C1313" s="4" t="s">
        <v>6669</v>
      </c>
      <c r="D1313" s="4" t="s">
        <v>43</v>
      </c>
      <c r="E1313" s="6">
        <v>4500.0</v>
      </c>
    </row>
    <row r="1314" ht="15.75" customHeight="1">
      <c r="A1314" s="4" t="s">
        <v>6670</v>
      </c>
      <c r="B1314" s="4"/>
      <c r="C1314" s="4" t="s">
        <v>6671</v>
      </c>
      <c r="D1314" s="4" t="s">
        <v>43</v>
      </c>
      <c r="E1314" s="6">
        <v>6000.0</v>
      </c>
    </row>
    <row r="1315" ht="15.75" customHeight="1">
      <c r="A1315" s="4" t="s">
        <v>6672</v>
      </c>
      <c r="B1315" s="4"/>
      <c r="C1315" s="4" t="s">
        <v>6673</v>
      </c>
      <c r="D1315" s="4" t="s">
        <v>43</v>
      </c>
      <c r="E1315" s="6">
        <v>8000.0</v>
      </c>
    </row>
    <row r="1316" ht="15.75" customHeight="1">
      <c r="A1316" s="4" t="s">
        <v>6674</v>
      </c>
      <c r="B1316" s="4"/>
      <c r="C1316" s="4" t="s">
        <v>6675</v>
      </c>
      <c r="D1316" s="4" t="s">
        <v>36</v>
      </c>
      <c r="E1316" s="6">
        <v>10000.0</v>
      </c>
    </row>
    <row r="1317" ht="15.75" customHeight="1">
      <c r="A1317" s="4" t="s">
        <v>6676</v>
      </c>
      <c r="B1317" s="4"/>
      <c r="C1317" s="4" t="s">
        <v>6677</v>
      </c>
      <c r="D1317" s="4" t="s">
        <v>36</v>
      </c>
      <c r="E1317" s="6">
        <v>500000.0</v>
      </c>
    </row>
    <row r="1318" ht="15.75" customHeight="1">
      <c r="A1318" s="4" t="s">
        <v>6678</v>
      </c>
      <c r="B1318" s="4"/>
      <c r="C1318" s="4" t="s">
        <v>6679</v>
      </c>
      <c r="D1318" s="4" t="s">
        <v>43</v>
      </c>
      <c r="E1318" s="6">
        <v>7000.0</v>
      </c>
    </row>
    <row r="1319" ht="15.75" customHeight="1">
      <c r="A1319" s="4"/>
      <c r="B1319" s="4"/>
      <c r="C1319" s="4" t="s">
        <v>6680</v>
      </c>
      <c r="D1319" s="4"/>
      <c r="E1319" s="6"/>
    </row>
    <row r="1320" ht="15.75" customHeight="1">
      <c r="A1320" s="4" t="s">
        <v>5212</v>
      </c>
      <c r="B1320" s="4"/>
      <c r="C1320" s="4" t="s">
        <v>6681</v>
      </c>
      <c r="D1320" s="4" t="s">
        <v>6682</v>
      </c>
      <c r="E1320" s="6">
        <v>51600.0</v>
      </c>
    </row>
    <row r="1321" ht="15.75" customHeight="1">
      <c r="A1321" s="4"/>
      <c r="B1321" s="4"/>
      <c r="C1321" s="4" t="s">
        <v>6683</v>
      </c>
      <c r="D1321" s="4" t="s">
        <v>5300</v>
      </c>
      <c r="E1321" s="6">
        <v>25000.0</v>
      </c>
    </row>
    <row r="1322" ht="15.75" customHeight="1">
      <c r="A1322" s="4"/>
      <c r="B1322" s="4"/>
      <c r="C1322" s="4" t="s">
        <v>6684</v>
      </c>
      <c r="D1322" s="4" t="s">
        <v>116</v>
      </c>
      <c r="E1322" s="6">
        <v>805600.0</v>
      </c>
    </row>
    <row r="1323" ht="15.75" customHeight="1">
      <c r="A1323" s="4"/>
      <c r="B1323" s="4"/>
      <c r="C1323" s="4" t="s">
        <v>6685</v>
      </c>
      <c r="D1323" s="4" t="s">
        <v>116</v>
      </c>
      <c r="E1323" s="6">
        <v>805000.0</v>
      </c>
    </row>
    <row r="1324" ht="15.75" customHeight="1">
      <c r="A1324" s="4" t="s">
        <v>353</v>
      </c>
      <c r="B1324" s="4"/>
      <c r="C1324" s="4" t="s">
        <v>6686</v>
      </c>
      <c r="D1324" s="4" t="s">
        <v>116</v>
      </c>
      <c r="E1324" s="6">
        <v>2250000.0</v>
      </c>
    </row>
    <row r="1325" ht="15.75" customHeight="1">
      <c r="A1325" s="4" t="s">
        <v>791</v>
      </c>
      <c r="B1325" s="4"/>
      <c r="C1325" s="4" t="s">
        <v>6687</v>
      </c>
      <c r="D1325" s="4" t="s">
        <v>116</v>
      </c>
      <c r="E1325" s="6">
        <v>788100.0</v>
      </c>
    </row>
    <row r="1326" ht="15.75" customHeight="1">
      <c r="A1326" s="4" t="s">
        <v>1626</v>
      </c>
      <c r="B1326" s="4"/>
      <c r="C1326" s="4" t="s">
        <v>6688</v>
      </c>
      <c r="D1326" s="4" t="s">
        <v>116</v>
      </c>
      <c r="E1326" s="6">
        <v>805600.0</v>
      </c>
    </row>
    <row r="1327" ht="15.75" customHeight="1">
      <c r="A1327" s="4" t="s">
        <v>2310</v>
      </c>
      <c r="B1327" s="4"/>
      <c r="C1327" s="4" t="s">
        <v>6689</v>
      </c>
      <c r="D1327" s="4" t="s">
        <v>116</v>
      </c>
      <c r="E1327" s="6">
        <v>848100.0</v>
      </c>
    </row>
    <row r="1328" ht="15.75" customHeight="1">
      <c r="A1328" s="4" t="s">
        <v>3568</v>
      </c>
      <c r="B1328" s="4"/>
      <c r="C1328" s="4" t="s">
        <v>6690</v>
      </c>
      <c r="D1328" s="4" t="s">
        <v>116</v>
      </c>
      <c r="E1328" s="6">
        <v>869200.0</v>
      </c>
    </row>
    <row r="1329" ht="15.75" customHeight="1">
      <c r="A1329" s="4" t="s">
        <v>4362</v>
      </c>
      <c r="B1329" s="4"/>
      <c r="C1329" s="4" t="s">
        <v>6691</v>
      </c>
      <c r="D1329" s="4" t="s">
        <v>116</v>
      </c>
      <c r="E1329" s="6">
        <v>887700.0</v>
      </c>
    </row>
    <row r="1330" ht="15.75" customHeight="1">
      <c r="A1330" s="4" t="s">
        <v>4423</v>
      </c>
      <c r="B1330" s="4"/>
      <c r="C1330" s="4" t="s">
        <v>6692</v>
      </c>
      <c r="D1330" s="4" t="s">
        <v>116</v>
      </c>
      <c r="E1330" s="6">
        <v>911300.0</v>
      </c>
    </row>
    <row r="1331" ht="15.75" customHeight="1">
      <c r="A1331" s="4" t="s">
        <v>4626</v>
      </c>
      <c r="B1331" s="4"/>
      <c r="C1331" s="4" t="s">
        <v>6693</v>
      </c>
      <c r="D1331" s="4" t="s">
        <v>116</v>
      </c>
      <c r="E1331" s="6">
        <v>937100.0</v>
      </c>
    </row>
    <row r="1332" ht="15.75" customHeight="1">
      <c r="A1332" s="4" t="s">
        <v>5171</v>
      </c>
      <c r="B1332" s="4"/>
      <c r="C1332" s="4" t="s">
        <v>6694</v>
      </c>
      <c r="D1332" s="4" t="s">
        <v>116</v>
      </c>
      <c r="E1332" s="6">
        <v>961200.0</v>
      </c>
    </row>
    <row r="1333" ht="15.75" customHeight="1">
      <c r="A1333" s="4" t="s">
        <v>5229</v>
      </c>
      <c r="B1333" s="4"/>
      <c r="C1333" s="4" t="s">
        <v>6695</v>
      </c>
      <c r="D1333" s="4" t="s">
        <v>116</v>
      </c>
      <c r="E1333" s="6">
        <v>1001900.0</v>
      </c>
    </row>
    <row r="1334" ht="15.75" customHeight="1">
      <c r="A1334" s="4" t="s">
        <v>5231</v>
      </c>
      <c r="B1334" s="4"/>
      <c r="C1334" s="4" t="s">
        <v>6696</v>
      </c>
      <c r="D1334" s="4" t="s">
        <v>116</v>
      </c>
      <c r="E1334" s="6">
        <v>1066100.0</v>
      </c>
    </row>
    <row r="1335" ht="15.75" customHeight="1">
      <c r="A1335" s="4" t="s">
        <v>5233</v>
      </c>
      <c r="B1335" s="4"/>
      <c r="C1335" s="4" t="s">
        <v>6697</v>
      </c>
      <c r="D1335" s="4" t="s">
        <v>116</v>
      </c>
      <c r="E1335" s="6">
        <v>1152800.0</v>
      </c>
    </row>
    <row r="1336" ht="15.75" customHeight="1">
      <c r="A1336" s="4"/>
      <c r="B1336" s="4"/>
      <c r="C1336" s="4" t="s">
        <v>6698</v>
      </c>
      <c r="D1336" s="4" t="s">
        <v>116</v>
      </c>
      <c r="E1336" s="6">
        <v>848100.0</v>
      </c>
    </row>
    <row r="1337" ht="15.75" customHeight="1">
      <c r="A1337" s="4" t="s">
        <v>5235</v>
      </c>
      <c r="B1337" s="4"/>
      <c r="C1337" s="4" t="s">
        <v>6699</v>
      </c>
      <c r="D1337" s="4" t="s">
        <v>389</v>
      </c>
      <c r="E1337" s="6">
        <v>3500.0</v>
      </c>
    </row>
    <row r="1338" ht="15.75" customHeight="1">
      <c r="A1338" s="4" t="s">
        <v>5237</v>
      </c>
      <c r="B1338" s="4"/>
      <c r="C1338" s="4" t="s">
        <v>6700</v>
      </c>
      <c r="D1338" s="4" t="s">
        <v>389</v>
      </c>
      <c r="E1338" s="6">
        <v>3700.0</v>
      </c>
    </row>
    <row r="1339" ht="15.75" customHeight="1">
      <c r="A1339" s="4" t="s">
        <v>5272</v>
      </c>
      <c r="B1339" s="4"/>
      <c r="C1339" s="4" t="s">
        <v>6701</v>
      </c>
      <c r="D1339" s="4" t="s">
        <v>6682</v>
      </c>
      <c r="E1339" s="6">
        <v>44100.0</v>
      </c>
    </row>
    <row r="1340" ht="15.75" customHeight="1">
      <c r="A1340" s="4" t="s">
        <v>5274</v>
      </c>
      <c r="B1340" s="4"/>
      <c r="C1340" s="4" t="s">
        <v>6702</v>
      </c>
      <c r="D1340" s="4" t="s">
        <v>389</v>
      </c>
      <c r="E1340" s="6">
        <v>52400.0</v>
      </c>
    </row>
    <row r="1341" ht="15.75" customHeight="1">
      <c r="A1341" s="4"/>
      <c r="B1341" s="4"/>
      <c r="C1341" s="4" t="s">
        <v>6703</v>
      </c>
      <c r="D1341" s="4" t="s">
        <v>36</v>
      </c>
      <c r="E1341" s="6">
        <v>150000.0</v>
      </c>
    </row>
    <row r="1342" ht="15.75" customHeight="1">
      <c r="A1342" s="4"/>
      <c r="B1342" s="4"/>
      <c r="C1342" s="4" t="s">
        <v>6704</v>
      </c>
      <c r="D1342" s="4" t="s">
        <v>5300</v>
      </c>
      <c r="E1342" s="6">
        <v>57500.0</v>
      </c>
    </row>
    <row r="1343" ht="15.75" customHeight="1">
      <c r="A1343" s="4" t="s">
        <v>5276</v>
      </c>
      <c r="B1343" s="4"/>
      <c r="C1343" s="4" t="s">
        <v>6705</v>
      </c>
      <c r="D1343" s="4" t="s">
        <v>43</v>
      </c>
      <c r="E1343" s="6">
        <v>7000.0</v>
      </c>
    </row>
    <row r="1344" ht="15.75" customHeight="1">
      <c r="A1344" s="4" t="s">
        <v>5278</v>
      </c>
      <c r="B1344" s="4"/>
      <c r="C1344" s="4" t="s">
        <v>6706</v>
      </c>
      <c r="D1344" s="4" t="s">
        <v>27</v>
      </c>
      <c r="E1344" s="6">
        <v>8100.0</v>
      </c>
    </row>
    <row r="1345" ht="15.75" customHeight="1">
      <c r="A1345" s="4" t="s">
        <v>5280</v>
      </c>
      <c r="B1345" s="4"/>
      <c r="C1345" s="4" t="s">
        <v>6707</v>
      </c>
      <c r="D1345" s="4" t="s">
        <v>5403</v>
      </c>
      <c r="E1345" s="6">
        <v>282000.0</v>
      </c>
    </row>
    <row r="1346" ht="15.75" customHeight="1">
      <c r="A1346" s="4" t="s">
        <v>5250</v>
      </c>
      <c r="B1346" s="4"/>
      <c r="C1346" s="4" t="s">
        <v>6708</v>
      </c>
      <c r="D1346" s="4" t="s">
        <v>5445</v>
      </c>
      <c r="E1346" s="6">
        <v>125000.0</v>
      </c>
    </row>
    <row r="1347" ht="15.75" customHeight="1">
      <c r="A1347" s="4" t="s">
        <v>5268</v>
      </c>
      <c r="B1347" s="4"/>
      <c r="C1347" s="4" t="s">
        <v>6709</v>
      </c>
      <c r="D1347" s="4" t="s">
        <v>27</v>
      </c>
      <c r="E1347" s="6">
        <v>4800.0</v>
      </c>
    </row>
    <row r="1348" ht="15.75" customHeight="1">
      <c r="A1348" s="4" t="s">
        <v>5282</v>
      </c>
      <c r="B1348" s="4"/>
      <c r="C1348" s="4" t="s">
        <v>6710</v>
      </c>
      <c r="D1348" s="4" t="s">
        <v>389</v>
      </c>
      <c r="E1348" s="6">
        <v>15500.0</v>
      </c>
    </row>
    <row r="1349" ht="15.75" customHeight="1">
      <c r="A1349" s="4" t="s">
        <v>5256</v>
      </c>
      <c r="B1349" s="4"/>
      <c r="C1349" s="4" t="s">
        <v>6711</v>
      </c>
      <c r="D1349" s="4" t="s">
        <v>389</v>
      </c>
      <c r="E1349" s="6">
        <v>21100.0</v>
      </c>
    </row>
    <row r="1350" ht="15.75" customHeight="1">
      <c r="A1350" s="4" t="s">
        <v>5259</v>
      </c>
      <c r="B1350" s="4"/>
      <c r="C1350" s="4" t="s">
        <v>6712</v>
      </c>
      <c r="D1350" s="4" t="s">
        <v>389</v>
      </c>
      <c r="E1350" s="6">
        <v>17200.0</v>
      </c>
    </row>
    <row r="1351" ht="15.75" customHeight="1">
      <c r="A1351" s="4" t="s">
        <v>5284</v>
      </c>
      <c r="B1351" s="4"/>
      <c r="C1351" s="4" t="s">
        <v>6713</v>
      </c>
      <c r="D1351" s="4" t="s">
        <v>6714</v>
      </c>
      <c r="E1351" s="6">
        <v>46600.0</v>
      </c>
    </row>
    <row r="1352" ht="15.75" customHeight="1">
      <c r="A1352" s="4" t="s">
        <v>5286</v>
      </c>
      <c r="B1352" s="4"/>
      <c r="C1352" s="4" t="s">
        <v>6715</v>
      </c>
      <c r="D1352" s="4" t="s">
        <v>6714</v>
      </c>
      <c r="E1352" s="6">
        <v>58200.0</v>
      </c>
    </row>
    <row r="1353" ht="15.75" customHeight="1">
      <c r="A1353" s="4" t="s">
        <v>5253</v>
      </c>
      <c r="B1353" s="4"/>
      <c r="C1353" s="4" t="s">
        <v>6716</v>
      </c>
      <c r="D1353" s="4" t="s">
        <v>389</v>
      </c>
      <c r="E1353" s="6">
        <v>6000.0</v>
      </c>
    </row>
    <row r="1354" ht="15.75" customHeight="1">
      <c r="A1354" s="4" t="s">
        <v>5288</v>
      </c>
      <c r="B1354" s="4"/>
      <c r="C1354" s="4" t="s">
        <v>6717</v>
      </c>
      <c r="D1354" s="4" t="s">
        <v>389</v>
      </c>
      <c r="E1354" s="6">
        <v>15800.0</v>
      </c>
    </row>
    <row r="1355" ht="15.75" customHeight="1">
      <c r="A1355" s="4" t="s">
        <v>5262</v>
      </c>
      <c r="B1355" s="4"/>
      <c r="C1355" s="4" t="s">
        <v>6718</v>
      </c>
      <c r="D1355" s="4" t="s">
        <v>6714</v>
      </c>
      <c r="E1355" s="6">
        <v>46500.0</v>
      </c>
    </row>
    <row r="1356" ht="15.75" customHeight="1">
      <c r="A1356" s="4" t="s">
        <v>5265</v>
      </c>
      <c r="B1356" s="4"/>
      <c r="C1356" s="4" t="s">
        <v>6719</v>
      </c>
      <c r="D1356" s="4" t="s">
        <v>6714</v>
      </c>
      <c r="E1356" s="6">
        <v>57600.0</v>
      </c>
    </row>
    <row r="1357" ht="15.75" customHeight="1">
      <c r="A1357" s="4" t="s">
        <v>5290</v>
      </c>
      <c r="B1357" s="4"/>
      <c r="C1357" s="4" t="s">
        <v>6720</v>
      </c>
      <c r="D1357" s="4" t="s">
        <v>389</v>
      </c>
      <c r="E1357" s="6">
        <v>16100.0</v>
      </c>
    </row>
    <row r="1358" ht="15.75" customHeight="1">
      <c r="A1358" s="4" t="s">
        <v>5342</v>
      </c>
      <c r="B1358" s="4"/>
      <c r="C1358" s="4" t="s">
        <v>6721</v>
      </c>
      <c r="D1358" s="4" t="s">
        <v>389</v>
      </c>
      <c r="E1358" s="6">
        <v>1300.0</v>
      </c>
    </row>
    <row r="1359" ht="15.75" customHeight="1">
      <c r="A1359" s="4" t="s">
        <v>5346</v>
      </c>
      <c r="B1359" s="4"/>
      <c r="C1359" s="4" t="s">
        <v>6722</v>
      </c>
      <c r="D1359" s="4" t="s">
        <v>6714</v>
      </c>
      <c r="E1359" s="6">
        <v>89700.0</v>
      </c>
    </row>
    <row r="1360" ht="15.75" customHeight="1">
      <c r="A1360" s="4" t="s">
        <v>5348</v>
      </c>
      <c r="B1360" s="4"/>
      <c r="C1360" s="4" t="s">
        <v>6723</v>
      </c>
      <c r="D1360" s="4" t="s">
        <v>6714</v>
      </c>
      <c r="E1360" s="6">
        <v>97700.0</v>
      </c>
    </row>
    <row r="1361" ht="15.75" customHeight="1">
      <c r="A1361" s="4" t="s">
        <v>5350</v>
      </c>
      <c r="B1361" s="4"/>
      <c r="C1361" s="4" t="s">
        <v>6724</v>
      </c>
      <c r="D1361" s="4" t="s">
        <v>389</v>
      </c>
      <c r="E1361" s="6">
        <v>7800.0</v>
      </c>
    </row>
    <row r="1362" ht="15.75" customHeight="1">
      <c r="A1362" s="4" t="s">
        <v>5352</v>
      </c>
      <c r="B1362" s="4"/>
      <c r="C1362" s="4" t="s">
        <v>6725</v>
      </c>
      <c r="D1362" s="4" t="s">
        <v>389</v>
      </c>
      <c r="E1362" s="6">
        <v>61200.0</v>
      </c>
    </row>
    <row r="1363" ht="15.75" customHeight="1">
      <c r="A1363" s="4"/>
      <c r="B1363" s="4"/>
      <c r="C1363" s="4" t="s">
        <v>6726</v>
      </c>
      <c r="D1363" s="4" t="s">
        <v>389</v>
      </c>
      <c r="E1363" s="6">
        <v>62000.0</v>
      </c>
    </row>
    <row r="1364" ht="15.75" customHeight="1">
      <c r="A1364" s="4"/>
      <c r="B1364" s="4"/>
      <c r="C1364" s="4" t="s">
        <v>6727</v>
      </c>
      <c r="D1364" s="4" t="s">
        <v>389</v>
      </c>
      <c r="E1364" s="6">
        <v>74500.0</v>
      </c>
    </row>
    <row r="1365" ht="15.75" customHeight="1">
      <c r="A1365" s="4"/>
      <c r="B1365" s="4"/>
      <c r="C1365" s="4" t="s">
        <v>6728</v>
      </c>
      <c r="D1365" s="4" t="s">
        <v>389</v>
      </c>
      <c r="E1365" s="6">
        <v>64000.0</v>
      </c>
    </row>
    <row r="1366" ht="15.75" customHeight="1">
      <c r="A1366" s="4"/>
      <c r="B1366" s="4"/>
      <c r="C1366" s="4" t="s">
        <v>6729</v>
      </c>
      <c r="D1366" s="4" t="s">
        <v>389</v>
      </c>
      <c r="E1366" s="6">
        <v>22000.0</v>
      </c>
    </row>
    <row r="1367" ht="15.75" customHeight="1">
      <c r="A1367" s="4"/>
      <c r="B1367" s="4"/>
      <c r="C1367" s="4" t="s">
        <v>6730</v>
      </c>
      <c r="D1367" s="4" t="s">
        <v>5300</v>
      </c>
      <c r="E1367" s="6">
        <v>46000.0</v>
      </c>
    </row>
    <row r="1368" ht="15.75" customHeight="1">
      <c r="A1368" s="4"/>
      <c r="B1368" s="4"/>
      <c r="C1368" s="4" t="s">
        <v>6731</v>
      </c>
      <c r="D1368" s="4" t="s">
        <v>404</v>
      </c>
      <c r="E1368" s="6">
        <v>15367.96536796537</v>
      </c>
    </row>
    <row r="1369" ht="15.75" customHeight="1">
      <c r="A1369" s="4"/>
      <c r="B1369" s="4"/>
      <c r="C1369" s="4" t="s">
        <v>6732</v>
      </c>
      <c r="D1369" s="4" t="s">
        <v>6733</v>
      </c>
      <c r="E1369" s="6">
        <v>17721.51898734177</v>
      </c>
    </row>
    <row r="1370" ht="15.75" customHeight="1">
      <c r="A1370" s="4"/>
      <c r="B1370" s="4"/>
      <c r="C1370" s="4" t="s">
        <v>6734</v>
      </c>
      <c r="D1370" s="4" t="s">
        <v>116</v>
      </c>
      <c r="E1370" s="6">
        <v>1970000.0</v>
      </c>
    </row>
    <row r="1371" ht="15.75" customHeight="1">
      <c r="A1371" s="4"/>
      <c r="B1371" s="4"/>
      <c r="C1371" s="4" t="s">
        <v>6735</v>
      </c>
      <c r="D1371" s="4" t="s">
        <v>116</v>
      </c>
      <c r="E1371" s="6">
        <v>1799000.0</v>
      </c>
    </row>
    <row r="1372" ht="15.75" customHeight="1">
      <c r="A1372" s="4"/>
      <c r="B1372" s="4"/>
      <c r="C1372" s="4" t="s">
        <v>6736</v>
      </c>
      <c r="D1372" s="4" t="s">
        <v>116</v>
      </c>
      <c r="E1372" s="6">
        <v>1236000.0</v>
      </c>
    </row>
    <row r="1373" ht="15.75" customHeight="1">
      <c r="A1373" s="4"/>
      <c r="B1373" s="4"/>
      <c r="C1373" s="4" t="s">
        <v>6737</v>
      </c>
      <c r="D1373" s="4" t="s">
        <v>116</v>
      </c>
      <c r="E1373" s="6">
        <v>928000.0</v>
      </c>
    </row>
    <row r="1374" ht="15.75" customHeight="1">
      <c r="A1374" s="4"/>
      <c r="B1374" s="4"/>
      <c r="C1374" s="4" t="s">
        <v>6738</v>
      </c>
      <c r="D1374" s="4" t="s">
        <v>1757</v>
      </c>
      <c r="E1374" s="6">
        <v>220000.0</v>
      </c>
    </row>
    <row r="1375" ht="15.75" customHeight="1">
      <c r="A1375" s="4"/>
      <c r="B1375" s="4"/>
      <c r="C1375" s="4" t="s">
        <v>6739</v>
      </c>
      <c r="D1375" s="4" t="s">
        <v>1757</v>
      </c>
      <c r="E1375" s="6">
        <v>240000.0</v>
      </c>
    </row>
    <row r="1376" ht="15.75" customHeight="1">
      <c r="A1376" s="4"/>
      <c r="B1376" s="4"/>
      <c r="C1376" s="4" t="s">
        <v>6740</v>
      </c>
      <c r="D1376" s="4" t="s">
        <v>1757</v>
      </c>
      <c r="E1376" s="6">
        <v>270000.0</v>
      </c>
    </row>
    <row r="1377" ht="15.75" customHeight="1">
      <c r="A1377" s="4"/>
      <c r="B1377" s="4"/>
      <c r="C1377" s="4" t="s">
        <v>6741</v>
      </c>
      <c r="D1377" s="4" t="s">
        <v>1757</v>
      </c>
      <c r="E1377" s="6">
        <v>290000.0</v>
      </c>
    </row>
    <row r="1378" ht="15.75" customHeight="1">
      <c r="A1378" s="4"/>
      <c r="B1378" s="4"/>
      <c r="C1378" s="4" t="s">
        <v>6742</v>
      </c>
      <c r="D1378" s="4" t="s">
        <v>1757</v>
      </c>
      <c r="E1378" s="6">
        <v>320000.0</v>
      </c>
    </row>
    <row r="1379" ht="15.75" customHeight="1">
      <c r="A1379" s="4"/>
      <c r="B1379" s="4"/>
      <c r="C1379" s="4" t="s">
        <v>6743</v>
      </c>
      <c r="D1379" s="4" t="s">
        <v>1757</v>
      </c>
      <c r="E1379" s="6">
        <v>340000.0</v>
      </c>
    </row>
    <row r="1380" ht="15.75" customHeight="1">
      <c r="A1380" s="4"/>
      <c r="B1380" s="4"/>
      <c r="C1380" s="4" t="s">
        <v>6744</v>
      </c>
      <c r="D1380" s="4" t="s">
        <v>1757</v>
      </c>
      <c r="E1380" s="6">
        <v>370000.0</v>
      </c>
    </row>
    <row r="1381" ht="15.75" customHeight="1">
      <c r="A1381" s="4"/>
      <c r="B1381" s="4"/>
      <c r="C1381" s="4" t="s">
        <v>6745</v>
      </c>
      <c r="D1381" s="4" t="s">
        <v>1757</v>
      </c>
      <c r="E1381" s="6">
        <v>390000.0</v>
      </c>
    </row>
    <row r="1382" ht="15.75" customHeight="1">
      <c r="A1382" s="4"/>
      <c r="B1382" s="4"/>
      <c r="C1382" s="4" t="s">
        <v>6746</v>
      </c>
      <c r="D1382" s="4" t="s">
        <v>1757</v>
      </c>
      <c r="E1382" s="6">
        <v>420000.0</v>
      </c>
    </row>
    <row r="1383" ht="15.75" customHeight="1">
      <c r="A1383" s="4"/>
      <c r="B1383" s="4"/>
      <c r="C1383" s="4" t="s">
        <v>6747</v>
      </c>
      <c r="D1383" s="4" t="s">
        <v>1757</v>
      </c>
      <c r="E1383" s="6">
        <v>440000.0</v>
      </c>
    </row>
    <row r="1384" ht="15.75" customHeight="1">
      <c r="A1384" s="4"/>
      <c r="B1384" s="4"/>
      <c r="C1384" s="4" t="s">
        <v>6748</v>
      </c>
      <c r="D1384" s="4" t="s">
        <v>1757</v>
      </c>
      <c r="E1384" s="6">
        <v>470000.0</v>
      </c>
    </row>
    <row r="1385" ht="15.75" customHeight="1">
      <c r="A1385" s="4"/>
      <c r="B1385" s="4"/>
      <c r="C1385" s="4" t="s">
        <v>6749</v>
      </c>
      <c r="D1385" s="4" t="s">
        <v>1757</v>
      </c>
      <c r="E1385" s="6">
        <v>490000.0</v>
      </c>
    </row>
    <row r="1386" ht="15.75" customHeight="1">
      <c r="A1386" s="4"/>
      <c r="B1386" s="4"/>
      <c r="C1386" s="4" t="s">
        <v>6750</v>
      </c>
      <c r="D1386" s="4" t="s">
        <v>1757</v>
      </c>
      <c r="E1386" s="6">
        <v>520000.0</v>
      </c>
    </row>
    <row r="1387" ht="15.75" customHeight="1">
      <c r="A1387" s="4"/>
      <c r="B1387" s="4"/>
      <c r="C1387" s="4" t="s">
        <v>6751</v>
      </c>
      <c r="D1387" s="4" t="s">
        <v>1757</v>
      </c>
      <c r="E1387" s="6">
        <v>540000.0</v>
      </c>
    </row>
    <row r="1388" ht="15.75" customHeight="1">
      <c r="A1388" s="4"/>
      <c r="B1388" s="4"/>
      <c r="C1388" s="4" t="s">
        <v>6752</v>
      </c>
      <c r="D1388" s="4" t="s">
        <v>1757</v>
      </c>
      <c r="E1388" s="6">
        <v>570000.0</v>
      </c>
    </row>
    <row r="1389" ht="15.75" customHeight="1">
      <c r="A1389" s="4"/>
      <c r="B1389" s="4"/>
      <c r="C1389" s="4" t="s">
        <v>6753</v>
      </c>
      <c r="D1389" s="4" t="s">
        <v>1757</v>
      </c>
      <c r="E1389" s="6">
        <v>590000.0</v>
      </c>
    </row>
    <row r="1390" ht="15.75" customHeight="1">
      <c r="A1390" s="4"/>
      <c r="B1390" s="4"/>
      <c r="C1390" s="4" t="s">
        <v>6754</v>
      </c>
      <c r="D1390" s="4" t="s">
        <v>1757</v>
      </c>
      <c r="E1390" s="6">
        <v>620000.0</v>
      </c>
    </row>
    <row r="1391" ht="15.75" customHeight="1">
      <c r="A1391" s="4"/>
      <c r="B1391" s="4"/>
      <c r="C1391" s="4" t="s">
        <v>6755</v>
      </c>
      <c r="D1391" s="4" t="s">
        <v>1757</v>
      </c>
      <c r="E1391" s="6">
        <v>640000.0</v>
      </c>
    </row>
    <row r="1392" ht="15.75" customHeight="1">
      <c r="A1392" s="4"/>
      <c r="B1392" s="4"/>
      <c r="C1392" s="4" t="s">
        <v>6756</v>
      </c>
      <c r="D1392" s="4" t="s">
        <v>1757</v>
      </c>
      <c r="E1392" s="6">
        <v>670000.0</v>
      </c>
    </row>
    <row r="1393" ht="15.75" customHeight="1">
      <c r="A1393" s="4"/>
      <c r="B1393" s="4"/>
      <c r="C1393" s="4" t="s">
        <v>6757</v>
      </c>
      <c r="D1393" s="4" t="s">
        <v>1757</v>
      </c>
      <c r="E1393" s="6">
        <v>680000.0</v>
      </c>
    </row>
    <row r="1394" ht="15.75" customHeight="1">
      <c r="A1394" s="4"/>
      <c r="B1394" s="4"/>
      <c r="C1394" s="4" t="s">
        <v>6758</v>
      </c>
      <c r="D1394" s="4" t="s">
        <v>1757</v>
      </c>
      <c r="E1394" s="6">
        <v>710000.0</v>
      </c>
    </row>
    <row r="1395" ht="15.75" customHeight="1">
      <c r="A1395" s="4"/>
      <c r="B1395" s="4"/>
      <c r="C1395" s="4" t="s">
        <v>6759</v>
      </c>
      <c r="D1395" s="4" t="s">
        <v>1757</v>
      </c>
      <c r="E1395" s="6">
        <v>730000.0</v>
      </c>
    </row>
    <row r="1396" ht="15.75" customHeight="1">
      <c r="A1396" s="4"/>
      <c r="B1396" s="4"/>
      <c r="C1396" s="4" t="s">
        <v>6760</v>
      </c>
      <c r="D1396" s="4" t="s">
        <v>1757</v>
      </c>
      <c r="E1396" s="6">
        <v>750000.0</v>
      </c>
    </row>
    <row r="1397" ht="15.75" customHeight="1">
      <c r="A1397" s="4"/>
      <c r="B1397" s="4"/>
      <c r="C1397" s="4" t="s">
        <v>6761</v>
      </c>
      <c r="D1397" s="4" t="s">
        <v>1757</v>
      </c>
      <c r="E1397" s="6">
        <v>780000.0</v>
      </c>
    </row>
    <row r="1398" ht="15.75" customHeight="1">
      <c r="A1398" s="4"/>
      <c r="B1398" s="4"/>
      <c r="C1398" s="4" t="s">
        <v>6762</v>
      </c>
      <c r="D1398" s="4" t="s">
        <v>1757</v>
      </c>
      <c r="E1398" s="6">
        <v>800000.0</v>
      </c>
    </row>
    <row r="1399" ht="15.75" customHeight="1">
      <c r="A1399" s="4"/>
      <c r="B1399" s="4"/>
      <c r="C1399" s="4" t="s">
        <v>6763</v>
      </c>
      <c r="D1399" s="4" t="s">
        <v>1757</v>
      </c>
      <c r="E1399" s="6">
        <v>830000.0</v>
      </c>
    </row>
    <row r="1400" ht="15.75" customHeight="1">
      <c r="A1400" s="4"/>
      <c r="B1400" s="4"/>
      <c r="C1400" s="4" t="s">
        <v>6764</v>
      </c>
      <c r="D1400" s="4" t="s">
        <v>1757</v>
      </c>
      <c r="E1400" s="6">
        <v>850000.0</v>
      </c>
    </row>
    <row r="1401" ht="15.75" customHeight="1">
      <c r="A1401" s="4"/>
      <c r="B1401" s="4"/>
      <c r="C1401" s="4" t="s">
        <v>6765</v>
      </c>
      <c r="D1401" s="4" t="s">
        <v>5313</v>
      </c>
      <c r="E1401" s="6">
        <v>70000.0</v>
      </c>
    </row>
    <row r="1402" ht="15.75" customHeight="1">
      <c r="A1402" s="4"/>
      <c r="B1402" s="4"/>
      <c r="C1402" s="4" t="s">
        <v>6766</v>
      </c>
      <c r="D1402" s="4" t="s">
        <v>5313</v>
      </c>
      <c r="E1402" s="6">
        <v>100000.0</v>
      </c>
    </row>
    <row r="1403" ht="15.75" customHeight="1">
      <c r="A1403" s="4"/>
      <c r="B1403" s="4"/>
      <c r="C1403" s="4" t="s">
        <v>6767</v>
      </c>
      <c r="D1403" s="4" t="s">
        <v>5313</v>
      </c>
      <c r="E1403" s="6">
        <v>125000.0</v>
      </c>
    </row>
    <row r="1404" ht="15.75" customHeight="1">
      <c r="A1404" s="4"/>
      <c r="B1404" s="4"/>
      <c r="C1404" s="4" t="s">
        <v>6768</v>
      </c>
      <c r="D1404" s="4" t="s">
        <v>43</v>
      </c>
      <c r="E1404" s="6">
        <v>165000.0</v>
      </c>
    </row>
    <row r="1405" ht="15.75" customHeight="1">
      <c r="A1405" s="4"/>
      <c r="B1405" s="4"/>
      <c r="C1405" s="4" t="s">
        <v>6769</v>
      </c>
      <c r="D1405" s="4" t="s">
        <v>5313</v>
      </c>
      <c r="E1405" s="6">
        <v>195000.0</v>
      </c>
    </row>
    <row r="1406" ht="15.75" customHeight="1">
      <c r="A1406" s="4"/>
      <c r="B1406" s="4"/>
      <c r="C1406" s="4" t="s">
        <v>6770</v>
      </c>
      <c r="D1406" s="4" t="s">
        <v>5313</v>
      </c>
      <c r="E1406" s="6">
        <v>125000.0</v>
      </c>
    </row>
    <row r="1407" ht="15.75" customHeight="1">
      <c r="A1407" s="4"/>
      <c r="B1407" s="4"/>
      <c r="C1407" s="4" t="s">
        <v>6771</v>
      </c>
      <c r="D1407" s="4" t="s">
        <v>5313</v>
      </c>
      <c r="E1407" s="6">
        <v>176000.0</v>
      </c>
    </row>
    <row r="1408" ht="15.75" customHeight="1">
      <c r="A1408" s="4"/>
      <c r="B1408" s="4"/>
      <c r="C1408" s="4" t="s">
        <v>6772</v>
      </c>
      <c r="D1408" s="4" t="s">
        <v>5313</v>
      </c>
      <c r="E1408" s="6">
        <v>235000.0</v>
      </c>
    </row>
    <row r="1409" ht="15.75" customHeight="1">
      <c r="A1409" s="4"/>
      <c r="B1409" s="4"/>
      <c r="C1409" s="4" t="s">
        <v>6773</v>
      </c>
      <c r="D1409" s="4" t="s">
        <v>6774</v>
      </c>
      <c r="E1409" s="6">
        <v>375000.0</v>
      </c>
    </row>
    <row r="1410" ht="15.75" customHeight="1">
      <c r="A1410" s="4"/>
      <c r="B1410" s="4"/>
      <c r="C1410" s="4" t="s">
        <v>6775</v>
      </c>
      <c r="D1410" s="4"/>
      <c r="E1410" s="6"/>
    </row>
    <row r="1411" ht="15.75" customHeight="1">
      <c r="A1411" s="4" t="s">
        <v>5212</v>
      </c>
      <c r="B1411" s="4"/>
      <c r="C1411" s="4" t="s">
        <v>6776</v>
      </c>
      <c r="D1411" s="4" t="s">
        <v>389</v>
      </c>
      <c r="E1411" s="6">
        <v>58200.0</v>
      </c>
    </row>
    <row r="1412" ht="15.75" customHeight="1">
      <c r="A1412" s="4" t="s">
        <v>353</v>
      </c>
      <c r="B1412" s="4"/>
      <c r="C1412" s="4" t="s">
        <v>6777</v>
      </c>
      <c r="D1412" s="4" t="s">
        <v>389</v>
      </c>
      <c r="E1412" s="6">
        <v>62800.0</v>
      </c>
    </row>
    <row r="1413" ht="15.75" customHeight="1">
      <c r="A1413" s="4" t="s">
        <v>791</v>
      </c>
      <c r="B1413" s="4"/>
      <c r="C1413" s="4" t="s">
        <v>6778</v>
      </c>
      <c r="D1413" s="4" t="s">
        <v>6682</v>
      </c>
      <c r="E1413" s="6">
        <v>75700.0</v>
      </c>
    </row>
    <row r="1414" ht="15.75" customHeight="1">
      <c r="A1414" s="4" t="s">
        <v>1626</v>
      </c>
      <c r="B1414" s="4"/>
      <c r="C1414" s="4" t="s">
        <v>6779</v>
      </c>
      <c r="D1414" s="4" t="s">
        <v>389</v>
      </c>
      <c r="E1414" s="6">
        <v>52800.0</v>
      </c>
    </row>
    <row r="1415" ht="15.75" customHeight="1">
      <c r="A1415" s="4" t="s">
        <v>2310</v>
      </c>
      <c r="B1415" s="4"/>
      <c r="C1415" s="4" t="s">
        <v>6780</v>
      </c>
      <c r="D1415" s="4" t="s">
        <v>389</v>
      </c>
      <c r="E1415" s="6">
        <v>528800.0</v>
      </c>
    </row>
    <row r="1416" ht="15.75" customHeight="1">
      <c r="A1416" s="4" t="s">
        <v>3568</v>
      </c>
      <c r="B1416" s="4"/>
      <c r="C1416" s="4" t="s">
        <v>6781</v>
      </c>
      <c r="D1416" s="4" t="s">
        <v>389</v>
      </c>
      <c r="E1416" s="6">
        <v>49700.0</v>
      </c>
    </row>
    <row r="1417" ht="15.75" customHeight="1">
      <c r="A1417" s="4" t="s">
        <v>4362</v>
      </c>
      <c r="B1417" s="4"/>
      <c r="C1417" s="4" t="s">
        <v>6782</v>
      </c>
      <c r="D1417" s="4" t="s">
        <v>389</v>
      </c>
      <c r="E1417" s="6">
        <v>52300.0</v>
      </c>
    </row>
    <row r="1418" ht="15.75" customHeight="1">
      <c r="A1418" s="4" t="s">
        <v>4423</v>
      </c>
      <c r="B1418" s="4"/>
      <c r="C1418" s="4" t="s">
        <v>6783</v>
      </c>
      <c r="D1418" s="4" t="s">
        <v>389</v>
      </c>
      <c r="E1418" s="6">
        <v>38200.0</v>
      </c>
    </row>
    <row r="1419" ht="15.75" customHeight="1">
      <c r="A1419" s="4"/>
      <c r="B1419" s="4"/>
      <c r="C1419" s="4" t="s">
        <v>6784</v>
      </c>
      <c r="D1419" s="4" t="s">
        <v>389</v>
      </c>
      <c r="E1419" s="6">
        <v>50000.0</v>
      </c>
    </row>
    <row r="1420" ht="15.75" customHeight="1">
      <c r="A1420" s="4" t="s">
        <v>4626</v>
      </c>
      <c r="B1420" s="4"/>
      <c r="C1420" s="4" t="s">
        <v>6785</v>
      </c>
      <c r="D1420" s="4" t="s">
        <v>389</v>
      </c>
      <c r="E1420" s="6">
        <v>128500.0</v>
      </c>
    </row>
    <row r="1421" ht="15.75" customHeight="1">
      <c r="A1421" s="4" t="s">
        <v>5171</v>
      </c>
      <c r="B1421" s="4"/>
      <c r="C1421" s="4" t="s">
        <v>6786</v>
      </c>
      <c r="D1421" s="4" t="s">
        <v>389</v>
      </c>
      <c r="E1421" s="6">
        <v>119100.0</v>
      </c>
    </row>
    <row r="1422" ht="15.75" customHeight="1">
      <c r="A1422" s="4"/>
      <c r="B1422" s="4"/>
      <c r="C1422" s="4" t="s">
        <v>6787</v>
      </c>
      <c r="D1422" s="4" t="s">
        <v>6733</v>
      </c>
      <c r="E1422" s="6">
        <v>128500.0</v>
      </c>
    </row>
    <row r="1423" ht="15.75" customHeight="1">
      <c r="A1423" s="4"/>
      <c r="B1423" s="4"/>
      <c r="C1423" s="4" t="s">
        <v>6788</v>
      </c>
      <c r="D1423" s="4" t="s">
        <v>389</v>
      </c>
      <c r="E1423" s="6">
        <v>119100.0</v>
      </c>
    </row>
    <row r="1424" ht="15.75" customHeight="1">
      <c r="A1424" s="4" t="s">
        <v>5229</v>
      </c>
      <c r="B1424" s="4"/>
      <c r="C1424" s="4" t="s">
        <v>6789</v>
      </c>
      <c r="D1424" s="4" t="s">
        <v>389</v>
      </c>
      <c r="E1424" s="6">
        <v>30000.0</v>
      </c>
    </row>
    <row r="1425" ht="15.75" customHeight="1">
      <c r="A1425" s="4" t="s">
        <v>5231</v>
      </c>
      <c r="B1425" s="4"/>
      <c r="C1425" s="4" t="s">
        <v>6790</v>
      </c>
      <c r="D1425" s="4" t="s">
        <v>389</v>
      </c>
      <c r="E1425" s="6">
        <v>53300.0</v>
      </c>
    </row>
    <row r="1426" ht="15.75" customHeight="1">
      <c r="A1426" s="4" t="s">
        <v>5233</v>
      </c>
      <c r="B1426" s="4"/>
      <c r="C1426" s="4" t="s">
        <v>6791</v>
      </c>
      <c r="D1426" s="4" t="s">
        <v>389</v>
      </c>
      <c r="E1426" s="6">
        <v>54700.0</v>
      </c>
    </row>
    <row r="1427" ht="15.75" customHeight="1">
      <c r="A1427" s="4" t="s">
        <v>5235</v>
      </c>
      <c r="B1427" s="4"/>
      <c r="C1427" s="4" t="s">
        <v>6792</v>
      </c>
      <c r="D1427" s="4" t="s">
        <v>389</v>
      </c>
      <c r="E1427" s="6">
        <v>58500.0</v>
      </c>
    </row>
    <row r="1428" ht="15.75" customHeight="1">
      <c r="A1428" s="4" t="s">
        <v>5237</v>
      </c>
      <c r="B1428" s="4"/>
      <c r="C1428" s="4" t="s">
        <v>6793</v>
      </c>
      <c r="D1428" s="4" t="s">
        <v>389</v>
      </c>
      <c r="E1428" s="6">
        <v>136600.0</v>
      </c>
    </row>
    <row r="1429" ht="15.75" customHeight="1">
      <c r="A1429" s="4" t="s">
        <v>5272</v>
      </c>
      <c r="B1429" s="4"/>
      <c r="C1429" s="4" t="s">
        <v>6794</v>
      </c>
      <c r="D1429" s="4" t="s">
        <v>389</v>
      </c>
      <c r="E1429" s="6">
        <v>130500.0</v>
      </c>
    </row>
    <row r="1430" ht="15.75" customHeight="1">
      <c r="A1430" s="4"/>
      <c r="B1430" s="4"/>
      <c r="C1430" s="4" t="s">
        <v>6795</v>
      </c>
      <c r="D1430" s="4" t="s">
        <v>36</v>
      </c>
      <c r="E1430" s="6">
        <v>25000.0</v>
      </c>
    </row>
    <row r="1431" ht="15.75" customHeight="1">
      <c r="A1431" s="4" t="s">
        <v>5274</v>
      </c>
      <c r="B1431" s="4"/>
      <c r="C1431" s="4" t="s">
        <v>6796</v>
      </c>
      <c r="D1431" s="4" t="s">
        <v>389</v>
      </c>
      <c r="E1431" s="6">
        <v>26000.0</v>
      </c>
    </row>
    <row r="1432" ht="15.75" customHeight="1">
      <c r="A1432" s="4"/>
      <c r="B1432" s="4"/>
      <c r="C1432" s="4" t="s">
        <v>6797</v>
      </c>
      <c r="D1432" s="4" t="s">
        <v>5300</v>
      </c>
      <c r="E1432" s="6">
        <v>29120.0</v>
      </c>
    </row>
    <row r="1433" ht="15.75" customHeight="1">
      <c r="A1433" s="4"/>
      <c r="B1433" s="4"/>
      <c r="C1433" s="4" t="s">
        <v>6798</v>
      </c>
      <c r="D1433" s="4" t="s">
        <v>389</v>
      </c>
      <c r="E1433" s="6">
        <v>18000.0</v>
      </c>
    </row>
    <row r="1434" ht="15.75" customHeight="1">
      <c r="A1434" s="4"/>
      <c r="B1434" s="4"/>
      <c r="C1434" s="4" t="s">
        <v>6799</v>
      </c>
      <c r="D1434" s="4" t="s">
        <v>6800</v>
      </c>
      <c r="E1434" s="6">
        <v>92500.0</v>
      </c>
    </row>
    <row r="1435" ht="15.75" customHeight="1">
      <c r="A1435" s="4"/>
      <c r="B1435" s="4"/>
      <c r="C1435" s="4" t="s">
        <v>6801</v>
      </c>
      <c r="D1435" s="4" t="s">
        <v>5313</v>
      </c>
      <c r="E1435" s="6">
        <v>400000.0</v>
      </c>
    </row>
    <row r="1436" ht="15.75" customHeight="1">
      <c r="A1436" s="4"/>
      <c r="B1436" s="4"/>
      <c r="C1436" s="4" t="s">
        <v>6802</v>
      </c>
      <c r="D1436" s="4" t="s">
        <v>5313</v>
      </c>
      <c r="E1436" s="6">
        <v>450000.0</v>
      </c>
    </row>
    <row r="1437" ht="15.75" customHeight="1">
      <c r="A1437" s="4"/>
      <c r="B1437" s="4"/>
      <c r="C1437" s="4" t="s">
        <v>6803</v>
      </c>
      <c r="D1437" s="4" t="s">
        <v>5313</v>
      </c>
      <c r="E1437" s="6">
        <v>55000.0</v>
      </c>
    </row>
    <row r="1438" ht="15.75" customHeight="1">
      <c r="A1438" s="4"/>
      <c r="B1438" s="4"/>
      <c r="C1438" s="4" t="s">
        <v>6804</v>
      </c>
      <c r="D1438" s="4" t="s">
        <v>5553</v>
      </c>
      <c r="E1438" s="6">
        <v>436500.0</v>
      </c>
    </row>
    <row r="1439" ht="15.75" customHeight="1">
      <c r="A1439" s="4"/>
      <c r="B1439" s="4"/>
      <c r="C1439" s="4" t="s">
        <v>6805</v>
      </c>
      <c r="D1439" s="4" t="s">
        <v>2608</v>
      </c>
      <c r="E1439" s="6">
        <v>666000.0</v>
      </c>
    </row>
    <row r="1440" ht="15.75" customHeight="1">
      <c r="A1440" s="4" t="s">
        <v>5276</v>
      </c>
      <c r="B1440" s="4"/>
      <c r="C1440" s="4" t="s">
        <v>6806</v>
      </c>
      <c r="D1440" s="4" t="s">
        <v>389</v>
      </c>
      <c r="E1440" s="6">
        <v>33500.0</v>
      </c>
    </row>
    <row r="1441" ht="15.75" customHeight="1">
      <c r="A1441" s="4" t="s">
        <v>5278</v>
      </c>
      <c r="B1441" s="4"/>
      <c r="C1441" s="4" t="s">
        <v>6807</v>
      </c>
      <c r="D1441" s="4" t="s">
        <v>389</v>
      </c>
      <c r="E1441" s="6">
        <v>35500.0</v>
      </c>
    </row>
    <row r="1442" ht="15.75" customHeight="1">
      <c r="A1442" s="4" t="s">
        <v>5280</v>
      </c>
      <c r="B1442" s="4"/>
      <c r="C1442" s="4" t="s">
        <v>6808</v>
      </c>
      <c r="D1442" s="4" t="s">
        <v>43</v>
      </c>
      <c r="E1442" s="6">
        <v>7100.0</v>
      </c>
    </row>
    <row r="1443" ht="15.75" customHeight="1">
      <c r="A1443" s="4" t="s">
        <v>5250</v>
      </c>
      <c r="B1443" s="4"/>
      <c r="C1443" s="4" t="s">
        <v>6809</v>
      </c>
      <c r="D1443" s="4" t="s">
        <v>43</v>
      </c>
      <c r="E1443" s="6">
        <v>9800.0</v>
      </c>
    </row>
    <row r="1444" ht="15.75" customHeight="1">
      <c r="A1444" s="4" t="s">
        <v>5268</v>
      </c>
      <c r="B1444" s="4"/>
      <c r="C1444" s="4" t="s">
        <v>6810</v>
      </c>
      <c r="D1444" s="4" t="s">
        <v>43</v>
      </c>
      <c r="E1444" s="6">
        <v>14100.0</v>
      </c>
    </row>
    <row r="1445" ht="15.75" customHeight="1">
      <c r="A1445" s="4" t="s">
        <v>5282</v>
      </c>
      <c r="B1445" s="4"/>
      <c r="C1445" s="4" t="s">
        <v>6811</v>
      </c>
      <c r="D1445" s="4" t="s">
        <v>43</v>
      </c>
      <c r="E1445" s="6">
        <v>10400.0</v>
      </c>
    </row>
    <row r="1446" ht="15.75" customHeight="1">
      <c r="A1446" s="4" t="s">
        <v>5256</v>
      </c>
      <c r="B1446" s="4"/>
      <c r="C1446" s="4" t="s">
        <v>6812</v>
      </c>
      <c r="D1446" s="4" t="s">
        <v>389</v>
      </c>
      <c r="E1446" s="6">
        <v>60000.0</v>
      </c>
    </row>
    <row r="1447" ht="15.75" customHeight="1">
      <c r="A1447" s="4" t="s">
        <v>5259</v>
      </c>
      <c r="B1447" s="4"/>
      <c r="C1447" s="4" t="s">
        <v>6813</v>
      </c>
      <c r="D1447" s="4" t="s">
        <v>389</v>
      </c>
      <c r="E1447" s="6">
        <v>39700.0</v>
      </c>
    </row>
    <row r="1448" ht="15.75" customHeight="1">
      <c r="A1448" s="4" t="s">
        <v>5284</v>
      </c>
      <c r="B1448" s="4"/>
      <c r="C1448" s="4" t="s">
        <v>6814</v>
      </c>
      <c r="D1448" s="4" t="s">
        <v>389</v>
      </c>
      <c r="E1448" s="6">
        <v>34500.0</v>
      </c>
    </row>
    <row r="1449" ht="15.75" customHeight="1">
      <c r="A1449" s="4" t="s">
        <v>5286</v>
      </c>
      <c r="B1449" s="4"/>
      <c r="C1449" s="4" t="s">
        <v>6815</v>
      </c>
      <c r="D1449" s="4" t="s">
        <v>6682</v>
      </c>
      <c r="E1449" s="6">
        <v>73700.0</v>
      </c>
    </row>
    <row r="1450" ht="15.75" customHeight="1">
      <c r="A1450" s="4" t="s">
        <v>5253</v>
      </c>
      <c r="B1450" s="4"/>
      <c r="C1450" s="4" t="s">
        <v>6816</v>
      </c>
      <c r="D1450" s="4" t="s">
        <v>6682</v>
      </c>
      <c r="E1450" s="6">
        <v>66200.0</v>
      </c>
    </row>
    <row r="1451" ht="15.75" customHeight="1">
      <c r="A1451" s="4" t="s">
        <v>5288</v>
      </c>
      <c r="B1451" s="4"/>
      <c r="C1451" s="4" t="s">
        <v>6817</v>
      </c>
      <c r="D1451" s="4" t="s">
        <v>6682</v>
      </c>
      <c r="E1451" s="6">
        <v>20000.0</v>
      </c>
    </row>
    <row r="1452" ht="15.75" customHeight="1">
      <c r="A1452" s="4" t="s">
        <v>5262</v>
      </c>
      <c r="B1452" s="4"/>
      <c r="C1452" s="4" t="s">
        <v>6817</v>
      </c>
      <c r="D1452" s="4" t="s">
        <v>389</v>
      </c>
      <c r="E1452" s="6">
        <v>17400.0</v>
      </c>
    </row>
    <row r="1453" ht="15.75" customHeight="1">
      <c r="A1453" s="4" t="s">
        <v>5265</v>
      </c>
      <c r="B1453" s="4"/>
      <c r="C1453" s="4" t="s">
        <v>6818</v>
      </c>
      <c r="D1453" s="4" t="s">
        <v>389</v>
      </c>
      <c r="E1453" s="6">
        <v>75000.0</v>
      </c>
    </row>
    <row r="1454" ht="15.75" customHeight="1">
      <c r="A1454" s="4" t="s">
        <v>5290</v>
      </c>
      <c r="B1454" s="4"/>
      <c r="C1454" s="4" t="s">
        <v>6819</v>
      </c>
      <c r="D1454" s="4" t="s">
        <v>389</v>
      </c>
      <c r="E1454" s="6">
        <v>30100.0</v>
      </c>
    </row>
    <row r="1455" ht="15.75" customHeight="1">
      <c r="A1455" s="4" t="s">
        <v>5342</v>
      </c>
      <c r="B1455" s="4"/>
      <c r="C1455" s="4" t="s">
        <v>6820</v>
      </c>
      <c r="D1455" s="4" t="s">
        <v>389</v>
      </c>
      <c r="E1455" s="6">
        <v>26500.0</v>
      </c>
    </row>
    <row r="1456" ht="15.75" customHeight="1">
      <c r="A1456" s="4" t="s">
        <v>5346</v>
      </c>
      <c r="B1456" s="4"/>
      <c r="C1456" s="4" t="s">
        <v>6821</v>
      </c>
      <c r="D1456" s="4" t="s">
        <v>389</v>
      </c>
      <c r="E1456" s="6">
        <v>90000.0</v>
      </c>
    </row>
    <row r="1457" ht="15.75" customHeight="1">
      <c r="A1457" s="4" t="s">
        <v>5348</v>
      </c>
      <c r="B1457" s="4"/>
      <c r="C1457" s="4" t="s">
        <v>6822</v>
      </c>
      <c r="D1457" s="4" t="s">
        <v>6682</v>
      </c>
      <c r="E1457" s="6">
        <v>44500.0</v>
      </c>
    </row>
    <row r="1458" ht="15.75" customHeight="1">
      <c r="A1458" s="4" t="s">
        <v>5350</v>
      </c>
      <c r="B1458" s="4"/>
      <c r="C1458" s="4" t="s">
        <v>6823</v>
      </c>
      <c r="D1458" s="4" t="s">
        <v>389</v>
      </c>
      <c r="E1458" s="6">
        <v>53000.0</v>
      </c>
    </row>
    <row r="1459" ht="15.75" customHeight="1">
      <c r="A1459" s="4" t="s">
        <v>5352</v>
      </c>
      <c r="B1459" s="4"/>
      <c r="C1459" s="4" t="s">
        <v>6824</v>
      </c>
      <c r="D1459" s="4" t="s">
        <v>389</v>
      </c>
      <c r="E1459" s="6">
        <v>87000.0</v>
      </c>
    </row>
    <row r="1460" ht="15.75" customHeight="1">
      <c r="A1460" s="4"/>
      <c r="B1460" s="4"/>
      <c r="C1460" s="4" t="s">
        <v>6825</v>
      </c>
      <c r="D1460" s="4"/>
      <c r="E1460" s="6"/>
    </row>
    <row r="1461" ht="15.75" customHeight="1">
      <c r="A1461" s="4" t="s">
        <v>5212</v>
      </c>
      <c r="B1461" s="4"/>
      <c r="C1461" s="4" t="s">
        <v>6826</v>
      </c>
      <c r="D1461" s="4" t="s">
        <v>43</v>
      </c>
      <c r="E1461" s="6">
        <v>180900.0</v>
      </c>
    </row>
    <row r="1462" ht="15.75" customHeight="1">
      <c r="A1462" s="4" t="s">
        <v>353</v>
      </c>
      <c r="B1462" s="4"/>
      <c r="C1462" s="4" t="s">
        <v>6827</v>
      </c>
      <c r="D1462" s="4" t="s">
        <v>43</v>
      </c>
      <c r="E1462" s="6">
        <v>117900.0</v>
      </c>
    </row>
    <row r="1463" ht="15.75" customHeight="1">
      <c r="A1463" s="4" t="s">
        <v>791</v>
      </c>
      <c r="B1463" s="4"/>
      <c r="C1463" s="4" t="s">
        <v>6828</v>
      </c>
      <c r="D1463" s="4" t="s">
        <v>43</v>
      </c>
      <c r="E1463" s="6">
        <v>279000.0</v>
      </c>
    </row>
    <row r="1464" ht="15.75" customHeight="1">
      <c r="A1464" s="4" t="s">
        <v>1626</v>
      </c>
      <c r="B1464" s="4"/>
      <c r="C1464" s="4" t="s">
        <v>6829</v>
      </c>
      <c r="D1464" s="4" t="s">
        <v>43</v>
      </c>
      <c r="E1464" s="6">
        <v>167500.0</v>
      </c>
    </row>
    <row r="1465" ht="15.75" customHeight="1">
      <c r="A1465" s="4" t="s">
        <v>2310</v>
      </c>
      <c r="B1465" s="4"/>
      <c r="C1465" s="4" t="s">
        <v>6830</v>
      </c>
      <c r="D1465" s="4" t="s">
        <v>43</v>
      </c>
      <c r="E1465" s="6">
        <v>81000.0</v>
      </c>
    </row>
    <row r="1466" ht="15.75" customHeight="1">
      <c r="A1466" s="4" t="s">
        <v>3568</v>
      </c>
      <c r="B1466" s="4"/>
      <c r="C1466" s="4" t="s">
        <v>6831</v>
      </c>
      <c r="D1466" s="4" t="s">
        <v>43</v>
      </c>
      <c r="E1466" s="6">
        <v>58500.0</v>
      </c>
    </row>
    <row r="1467" ht="15.75" customHeight="1">
      <c r="A1467" s="4" t="s">
        <v>4362</v>
      </c>
      <c r="B1467" s="4"/>
      <c r="C1467" s="4" t="s">
        <v>6832</v>
      </c>
      <c r="D1467" s="4" t="s">
        <v>43</v>
      </c>
      <c r="E1467" s="6">
        <v>27400.0</v>
      </c>
    </row>
    <row r="1468" ht="15.75" customHeight="1">
      <c r="A1468" s="4" t="s">
        <v>4423</v>
      </c>
      <c r="B1468" s="4"/>
      <c r="C1468" s="4" t="s">
        <v>6833</v>
      </c>
      <c r="D1468" s="4" t="s">
        <v>43</v>
      </c>
      <c r="E1468" s="6">
        <v>18900.0</v>
      </c>
    </row>
    <row r="1469" ht="15.75" customHeight="1">
      <c r="A1469" s="4" t="s">
        <v>4626</v>
      </c>
      <c r="B1469" s="4"/>
      <c r="C1469" s="4" t="s">
        <v>6834</v>
      </c>
      <c r="D1469" s="4" t="s">
        <v>43</v>
      </c>
      <c r="E1469" s="6">
        <v>41700.0</v>
      </c>
    </row>
    <row r="1470" ht="15.75" customHeight="1">
      <c r="A1470" s="4" t="s">
        <v>5171</v>
      </c>
      <c r="B1470" s="4"/>
      <c r="C1470" s="4" t="s">
        <v>6835</v>
      </c>
      <c r="D1470" s="4" t="s">
        <v>43</v>
      </c>
      <c r="E1470" s="6">
        <v>26500.0</v>
      </c>
    </row>
    <row r="1471" ht="15.75" customHeight="1">
      <c r="A1471" s="4" t="s">
        <v>5229</v>
      </c>
      <c r="B1471" s="4"/>
      <c r="C1471" s="4" t="s">
        <v>6836</v>
      </c>
      <c r="D1471" s="4" t="s">
        <v>43</v>
      </c>
      <c r="E1471" s="6">
        <v>31500.0</v>
      </c>
    </row>
    <row r="1472" ht="15.75" customHeight="1">
      <c r="A1472" s="4" t="s">
        <v>5231</v>
      </c>
      <c r="B1472" s="4"/>
      <c r="C1472" s="4" t="s">
        <v>6837</v>
      </c>
      <c r="D1472" s="4" t="s">
        <v>43</v>
      </c>
      <c r="E1472" s="6">
        <v>23700.0</v>
      </c>
    </row>
    <row r="1473" ht="15.75" customHeight="1">
      <c r="A1473" s="4" t="s">
        <v>5233</v>
      </c>
      <c r="B1473" s="4"/>
      <c r="C1473" s="4" t="s">
        <v>6838</v>
      </c>
      <c r="D1473" s="4" t="s">
        <v>43</v>
      </c>
      <c r="E1473" s="6">
        <v>500000.0</v>
      </c>
    </row>
    <row r="1474" ht="15.75" customHeight="1">
      <c r="A1474" s="4" t="s">
        <v>5235</v>
      </c>
      <c r="B1474" s="4"/>
      <c r="C1474" s="4" t="s">
        <v>6839</v>
      </c>
      <c r="D1474" s="4" t="s">
        <v>43</v>
      </c>
      <c r="E1474" s="6">
        <v>32600.0</v>
      </c>
    </row>
    <row r="1475" ht="15.75" customHeight="1">
      <c r="A1475" s="4" t="s">
        <v>5237</v>
      </c>
      <c r="B1475" s="4"/>
      <c r="C1475" s="4" t="s">
        <v>6840</v>
      </c>
      <c r="D1475" s="4" t="s">
        <v>43</v>
      </c>
      <c r="E1475" s="6">
        <v>15000.0</v>
      </c>
    </row>
    <row r="1476" ht="15.75" customHeight="1">
      <c r="A1476" s="4" t="s">
        <v>5272</v>
      </c>
      <c r="B1476" s="4"/>
      <c r="C1476" s="4" t="s">
        <v>6841</v>
      </c>
      <c r="D1476" s="4" t="s">
        <v>43</v>
      </c>
      <c r="E1476" s="6">
        <v>150000.0</v>
      </c>
    </row>
    <row r="1477" ht="15.75" customHeight="1">
      <c r="A1477" s="4" t="s">
        <v>5274</v>
      </c>
      <c r="B1477" s="4"/>
      <c r="C1477" s="4" t="s">
        <v>6842</v>
      </c>
      <c r="D1477" s="4" t="s">
        <v>43</v>
      </c>
      <c r="E1477" s="6">
        <v>140800.0</v>
      </c>
    </row>
    <row r="1478" ht="15.75" customHeight="1">
      <c r="A1478" s="4"/>
      <c r="B1478" s="4"/>
      <c r="C1478" s="4" t="s">
        <v>6843</v>
      </c>
      <c r="D1478" s="4" t="s">
        <v>5313</v>
      </c>
      <c r="E1478" s="6">
        <v>58500.0</v>
      </c>
    </row>
    <row r="1479" ht="15.75" customHeight="1">
      <c r="A1479" s="4" t="s">
        <v>5276</v>
      </c>
      <c r="B1479" s="4"/>
      <c r="C1479" s="4" t="s">
        <v>6844</v>
      </c>
      <c r="D1479" s="4" t="s">
        <v>43</v>
      </c>
      <c r="E1479" s="6">
        <v>12000.0</v>
      </c>
    </row>
    <row r="1480" ht="15.75" customHeight="1">
      <c r="A1480" s="4" t="s">
        <v>5278</v>
      </c>
      <c r="B1480" s="4"/>
      <c r="C1480" s="4" t="s">
        <v>6845</v>
      </c>
      <c r="D1480" s="4" t="s">
        <v>43</v>
      </c>
      <c r="E1480" s="6">
        <v>14100.0</v>
      </c>
    </row>
    <row r="1481" ht="15.75" customHeight="1">
      <c r="A1481" s="4" t="s">
        <v>5280</v>
      </c>
      <c r="B1481" s="4"/>
      <c r="C1481" s="4" t="s">
        <v>6846</v>
      </c>
      <c r="D1481" s="4" t="s">
        <v>43</v>
      </c>
      <c r="E1481" s="6">
        <v>70000.0</v>
      </c>
    </row>
    <row r="1482" ht="15.75" customHeight="1">
      <c r="A1482" s="4" t="s">
        <v>5250</v>
      </c>
      <c r="B1482" s="4"/>
      <c r="C1482" s="4" t="s">
        <v>6847</v>
      </c>
      <c r="D1482" s="4" t="s">
        <v>43</v>
      </c>
      <c r="E1482" s="6">
        <v>101300.0</v>
      </c>
    </row>
    <row r="1483" ht="15.75" customHeight="1">
      <c r="A1483" s="4" t="s">
        <v>5282</v>
      </c>
      <c r="B1483" s="4"/>
      <c r="C1483" s="4" t="s">
        <v>6848</v>
      </c>
      <c r="D1483" s="4" t="s">
        <v>43</v>
      </c>
      <c r="E1483" s="6">
        <v>65800.0</v>
      </c>
    </row>
    <row r="1484" ht="15.75" customHeight="1">
      <c r="A1484" s="4" t="s">
        <v>5268</v>
      </c>
      <c r="B1484" s="4"/>
      <c r="C1484" s="4" t="s">
        <v>6849</v>
      </c>
      <c r="D1484" s="4" t="s">
        <v>43</v>
      </c>
      <c r="E1484" s="6">
        <v>144300.0</v>
      </c>
    </row>
    <row r="1485" ht="15.75" customHeight="1">
      <c r="A1485" s="4" t="s">
        <v>5282</v>
      </c>
      <c r="B1485" s="4"/>
      <c r="C1485" s="4" t="s">
        <v>6850</v>
      </c>
      <c r="D1485" s="4" t="s">
        <v>43</v>
      </c>
      <c r="E1485" s="6">
        <v>65800.0</v>
      </c>
    </row>
    <row r="1486" ht="15.75" customHeight="1">
      <c r="A1486" s="4" t="s">
        <v>5256</v>
      </c>
      <c r="B1486" s="4"/>
      <c r="C1486" s="4" t="s">
        <v>6851</v>
      </c>
      <c r="D1486" s="4" t="s">
        <v>43</v>
      </c>
      <c r="E1486" s="6">
        <v>75000.0</v>
      </c>
    </row>
    <row r="1487" ht="15.75" customHeight="1">
      <c r="A1487" s="4" t="s">
        <v>5259</v>
      </c>
      <c r="B1487" s="4"/>
      <c r="C1487" s="4" t="s">
        <v>6852</v>
      </c>
      <c r="D1487" s="4" t="s">
        <v>43</v>
      </c>
      <c r="E1487" s="6">
        <v>46900.0</v>
      </c>
    </row>
    <row r="1488" ht="15.75" customHeight="1">
      <c r="A1488" s="4" t="s">
        <v>5284</v>
      </c>
      <c r="B1488" s="4"/>
      <c r="C1488" s="4" t="s">
        <v>6853</v>
      </c>
      <c r="D1488" s="4" t="s">
        <v>43</v>
      </c>
      <c r="E1488" s="6">
        <v>290800.0</v>
      </c>
    </row>
    <row r="1489" ht="15.75" customHeight="1">
      <c r="A1489" s="4" t="s">
        <v>5286</v>
      </c>
      <c r="B1489" s="4"/>
      <c r="C1489" s="4" t="s">
        <v>6854</v>
      </c>
      <c r="D1489" s="4" t="s">
        <v>43</v>
      </c>
      <c r="E1489" s="6">
        <v>435200.0</v>
      </c>
    </row>
    <row r="1490" ht="15.75" customHeight="1">
      <c r="A1490" s="4" t="s">
        <v>5253</v>
      </c>
      <c r="B1490" s="4"/>
      <c r="C1490" s="4" t="s">
        <v>6855</v>
      </c>
      <c r="D1490" s="4" t="s">
        <v>2955</v>
      </c>
      <c r="E1490" s="6">
        <v>243100.0</v>
      </c>
    </row>
    <row r="1491" ht="15.75" customHeight="1">
      <c r="A1491" s="4" t="s">
        <v>5288</v>
      </c>
      <c r="B1491" s="4"/>
      <c r="C1491" s="4" t="s">
        <v>6856</v>
      </c>
      <c r="D1491" s="4" t="s">
        <v>43</v>
      </c>
      <c r="E1491" s="6">
        <v>21600.0</v>
      </c>
    </row>
    <row r="1492" ht="15.75" customHeight="1">
      <c r="A1492" s="4" t="s">
        <v>5262</v>
      </c>
      <c r="B1492" s="4"/>
      <c r="C1492" s="4" t="s">
        <v>6857</v>
      </c>
      <c r="D1492" s="4" t="s">
        <v>43</v>
      </c>
      <c r="E1492" s="6">
        <v>60000.0</v>
      </c>
    </row>
    <row r="1493" ht="15.75" customHeight="1">
      <c r="A1493" s="4" t="s">
        <v>5265</v>
      </c>
      <c r="B1493" s="4"/>
      <c r="C1493" s="4" t="s">
        <v>6858</v>
      </c>
      <c r="D1493" s="4" t="s">
        <v>36</v>
      </c>
      <c r="E1493" s="6">
        <v>140000.0</v>
      </c>
    </row>
    <row r="1494" ht="15.75" customHeight="1">
      <c r="A1494" s="4"/>
      <c r="B1494" s="4"/>
      <c r="C1494" s="4" t="s">
        <v>6859</v>
      </c>
      <c r="D1494" s="4"/>
      <c r="E1494" s="6"/>
    </row>
    <row r="1495" ht="15.75" customHeight="1">
      <c r="A1495" s="4" t="s">
        <v>5212</v>
      </c>
      <c r="B1495" s="4"/>
      <c r="C1495" s="4" t="s">
        <v>6860</v>
      </c>
      <c r="D1495" s="4" t="s">
        <v>43</v>
      </c>
      <c r="E1495" s="6">
        <v>2500.0</v>
      </c>
    </row>
    <row r="1496" ht="15.75" customHeight="1">
      <c r="A1496" s="4"/>
      <c r="B1496" s="4"/>
      <c r="C1496" s="4" t="s">
        <v>6861</v>
      </c>
      <c r="D1496" s="4" t="s">
        <v>6862</v>
      </c>
      <c r="E1496" s="6">
        <v>400000.0</v>
      </c>
    </row>
    <row r="1497" ht="15.75" customHeight="1">
      <c r="A1497" s="4" t="s">
        <v>353</v>
      </c>
      <c r="B1497" s="4"/>
      <c r="C1497" s="4" t="s">
        <v>6863</v>
      </c>
      <c r="D1497" s="4" t="s">
        <v>43</v>
      </c>
      <c r="E1497" s="6">
        <v>400000.0</v>
      </c>
    </row>
    <row r="1498" ht="15.75" customHeight="1">
      <c r="A1498" s="4"/>
      <c r="B1498" s="4"/>
      <c r="C1498" s="4" t="s">
        <v>6864</v>
      </c>
      <c r="D1498" s="4" t="s">
        <v>5313</v>
      </c>
      <c r="E1498" s="6">
        <v>2000000.0</v>
      </c>
    </row>
    <row r="1499" ht="15.75" customHeight="1">
      <c r="A1499" s="4"/>
      <c r="B1499" s="4"/>
      <c r="C1499" s="4" t="s">
        <v>6865</v>
      </c>
      <c r="D1499" s="4" t="s">
        <v>5313</v>
      </c>
      <c r="E1499" s="6">
        <v>596000.0</v>
      </c>
    </row>
    <row r="1500" ht="15.75" customHeight="1">
      <c r="A1500" s="4" t="s">
        <v>791</v>
      </c>
      <c r="B1500" s="4"/>
      <c r="C1500" s="4" t="s">
        <v>6866</v>
      </c>
      <c r="D1500" s="4" t="s">
        <v>36</v>
      </c>
      <c r="E1500" s="6">
        <v>242000.0</v>
      </c>
    </row>
    <row r="1501" ht="15.75" customHeight="1">
      <c r="A1501" s="4" t="s">
        <v>1626</v>
      </c>
      <c r="B1501" s="4"/>
      <c r="C1501" s="4" t="s">
        <v>6867</v>
      </c>
      <c r="D1501" s="4" t="s">
        <v>36</v>
      </c>
      <c r="E1501" s="6">
        <v>317000.0</v>
      </c>
    </row>
    <row r="1502" ht="15.75" customHeight="1">
      <c r="A1502" s="4" t="s">
        <v>2310</v>
      </c>
      <c r="B1502" s="4"/>
      <c r="C1502" s="4" t="s">
        <v>6868</v>
      </c>
      <c r="D1502" s="4" t="s">
        <v>36</v>
      </c>
      <c r="E1502" s="6">
        <v>221400.0</v>
      </c>
    </row>
    <row r="1503" ht="15.75" customHeight="1">
      <c r="A1503" s="4" t="s">
        <v>3568</v>
      </c>
      <c r="B1503" s="4"/>
      <c r="C1503" s="4" t="s">
        <v>6869</v>
      </c>
      <c r="D1503" s="4" t="s">
        <v>36</v>
      </c>
      <c r="E1503" s="6">
        <v>270900.0</v>
      </c>
    </row>
    <row r="1504" ht="15.75" customHeight="1">
      <c r="A1504" s="4" t="s">
        <v>4362</v>
      </c>
      <c r="B1504" s="4"/>
      <c r="C1504" s="4" t="s">
        <v>6870</v>
      </c>
      <c r="D1504" s="4" t="s">
        <v>36</v>
      </c>
      <c r="E1504" s="6">
        <v>796100.0</v>
      </c>
    </row>
    <row r="1505" ht="15.75" customHeight="1">
      <c r="A1505" s="4" t="s">
        <v>4423</v>
      </c>
      <c r="B1505" s="4"/>
      <c r="C1505" s="4" t="s">
        <v>6871</v>
      </c>
      <c r="D1505" s="4" t="s">
        <v>36</v>
      </c>
      <c r="E1505" s="6">
        <v>85000.0</v>
      </c>
    </row>
    <row r="1506" ht="15.75" customHeight="1">
      <c r="A1506" s="4" t="s">
        <v>4626</v>
      </c>
      <c r="B1506" s="4"/>
      <c r="C1506" s="4" t="s">
        <v>6872</v>
      </c>
      <c r="D1506" s="4" t="s">
        <v>36</v>
      </c>
      <c r="E1506" s="6">
        <v>95000.0</v>
      </c>
    </row>
    <row r="1507" ht="15.75" customHeight="1">
      <c r="A1507" s="4" t="s">
        <v>5171</v>
      </c>
      <c r="B1507" s="4"/>
      <c r="C1507" s="4" t="s">
        <v>6873</v>
      </c>
      <c r="D1507" s="4" t="s">
        <v>36</v>
      </c>
      <c r="E1507" s="6">
        <v>794400.0</v>
      </c>
    </row>
    <row r="1508" ht="15.75" customHeight="1">
      <c r="A1508" s="4" t="s">
        <v>5229</v>
      </c>
      <c r="B1508" s="4"/>
      <c r="C1508" s="4" t="s">
        <v>6874</v>
      </c>
      <c r="D1508" s="4" t="s">
        <v>36</v>
      </c>
      <c r="E1508" s="6">
        <v>750000.0</v>
      </c>
    </row>
    <row r="1509" ht="15.75" customHeight="1">
      <c r="A1509" s="4" t="s">
        <v>5231</v>
      </c>
      <c r="B1509" s="4"/>
      <c r="C1509" s="4" t="s">
        <v>6875</v>
      </c>
      <c r="D1509" s="4" t="s">
        <v>36</v>
      </c>
      <c r="E1509" s="6">
        <v>900000.0</v>
      </c>
    </row>
    <row r="1510" ht="15.75" customHeight="1">
      <c r="A1510" s="4" t="s">
        <v>5233</v>
      </c>
      <c r="B1510" s="4"/>
      <c r="C1510" s="4" t="s">
        <v>6876</v>
      </c>
      <c r="D1510" s="4" t="s">
        <v>36</v>
      </c>
      <c r="E1510" s="6">
        <v>700000.0</v>
      </c>
    </row>
    <row r="1511" ht="15.75" customHeight="1">
      <c r="A1511" s="4" t="s">
        <v>5235</v>
      </c>
      <c r="B1511" s="4"/>
      <c r="C1511" s="4" t="s">
        <v>6877</v>
      </c>
      <c r="D1511" s="4" t="s">
        <v>36</v>
      </c>
      <c r="E1511" s="6">
        <v>688700.0</v>
      </c>
    </row>
    <row r="1512" ht="15.75" customHeight="1">
      <c r="A1512" s="4" t="s">
        <v>5237</v>
      </c>
      <c r="B1512" s="4"/>
      <c r="C1512" s="4" t="s">
        <v>6878</v>
      </c>
      <c r="D1512" s="4" t="s">
        <v>36</v>
      </c>
      <c r="E1512" s="6">
        <v>1516300.0</v>
      </c>
    </row>
    <row r="1513" ht="15.75" customHeight="1">
      <c r="A1513" s="4" t="s">
        <v>5272</v>
      </c>
      <c r="B1513" s="4"/>
      <c r="C1513" s="4" t="s">
        <v>6879</v>
      </c>
      <c r="D1513" s="4" t="s">
        <v>36</v>
      </c>
      <c r="E1513" s="6">
        <v>120000.0</v>
      </c>
    </row>
    <row r="1514" ht="15.75" customHeight="1">
      <c r="A1514" s="4" t="s">
        <v>5272</v>
      </c>
      <c r="B1514" s="4"/>
      <c r="C1514" s="4" t="s">
        <v>6880</v>
      </c>
      <c r="D1514" s="4" t="s">
        <v>36</v>
      </c>
      <c r="E1514" s="6">
        <v>120000.0</v>
      </c>
    </row>
    <row r="1515" ht="15.75" customHeight="1">
      <c r="A1515" s="4" t="s">
        <v>5274</v>
      </c>
      <c r="B1515" s="4"/>
      <c r="C1515" s="4" t="s">
        <v>6881</v>
      </c>
      <c r="D1515" s="4" t="s">
        <v>36</v>
      </c>
      <c r="E1515" s="6">
        <v>198000.0</v>
      </c>
    </row>
    <row r="1516" ht="15.75" customHeight="1">
      <c r="A1516" s="4" t="s">
        <v>5276</v>
      </c>
      <c r="B1516" s="4"/>
      <c r="C1516" s="4" t="s">
        <v>6882</v>
      </c>
      <c r="D1516" s="4" t="s">
        <v>36</v>
      </c>
      <c r="E1516" s="6">
        <v>237000.0</v>
      </c>
    </row>
    <row r="1517" ht="15.75" customHeight="1">
      <c r="A1517" s="4" t="s">
        <v>5278</v>
      </c>
      <c r="B1517" s="4"/>
      <c r="C1517" s="4" t="s">
        <v>6883</v>
      </c>
      <c r="D1517" s="4" t="s">
        <v>36</v>
      </c>
      <c r="E1517" s="6">
        <v>226400.0</v>
      </c>
    </row>
    <row r="1518" ht="15.75" customHeight="1">
      <c r="A1518" s="4" t="s">
        <v>5280</v>
      </c>
      <c r="B1518" s="4"/>
      <c r="C1518" s="4" t="s">
        <v>6884</v>
      </c>
      <c r="D1518" s="4" t="s">
        <v>36</v>
      </c>
      <c r="E1518" s="6">
        <v>3447000.0</v>
      </c>
    </row>
    <row r="1519" ht="15.75" customHeight="1">
      <c r="A1519" s="4" t="s">
        <v>5250</v>
      </c>
      <c r="B1519" s="4"/>
      <c r="C1519" s="4" t="s">
        <v>6885</v>
      </c>
      <c r="D1519" s="4" t="s">
        <v>36</v>
      </c>
      <c r="E1519" s="6">
        <v>600000.0</v>
      </c>
    </row>
    <row r="1520" ht="15.75" customHeight="1">
      <c r="A1520" s="4" t="s">
        <v>5268</v>
      </c>
      <c r="B1520" s="4"/>
      <c r="C1520" s="4" t="s">
        <v>6886</v>
      </c>
      <c r="D1520" s="4" t="s">
        <v>36</v>
      </c>
      <c r="E1520" s="6">
        <v>3179400.0</v>
      </c>
    </row>
    <row r="1521" ht="15.75" customHeight="1">
      <c r="A1521" s="4" t="s">
        <v>5282</v>
      </c>
      <c r="B1521" s="4"/>
      <c r="C1521" s="4" t="s">
        <v>6887</v>
      </c>
      <c r="D1521" s="4" t="s">
        <v>36</v>
      </c>
      <c r="E1521" s="6">
        <v>3702800.0</v>
      </c>
    </row>
    <row r="1522" ht="15.75" customHeight="1">
      <c r="A1522" s="4" t="s">
        <v>5256</v>
      </c>
      <c r="B1522" s="4"/>
      <c r="C1522" s="4" t="s">
        <v>6888</v>
      </c>
      <c r="D1522" s="4" t="s">
        <v>36</v>
      </c>
      <c r="E1522" s="6">
        <v>144800.0</v>
      </c>
    </row>
    <row r="1523" ht="15.75" customHeight="1">
      <c r="A1523" s="4" t="s">
        <v>5259</v>
      </c>
      <c r="B1523" s="4"/>
      <c r="C1523" s="4" t="s">
        <v>6889</v>
      </c>
      <c r="D1523" s="4" t="s">
        <v>6890</v>
      </c>
      <c r="E1523" s="6">
        <v>14500.0</v>
      </c>
    </row>
    <row r="1524" ht="15.75" customHeight="1">
      <c r="A1524" s="4" t="s">
        <v>5272</v>
      </c>
      <c r="B1524" s="4"/>
      <c r="C1524" s="4" t="s">
        <v>6891</v>
      </c>
      <c r="D1524" s="4" t="s">
        <v>36</v>
      </c>
      <c r="E1524" s="6">
        <v>15000.0</v>
      </c>
    </row>
    <row r="1525" ht="15.75" customHeight="1">
      <c r="A1525" s="4" t="s">
        <v>5284</v>
      </c>
      <c r="B1525" s="4"/>
      <c r="C1525" s="4" t="s">
        <v>6892</v>
      </c>
      <c r="D1525" s="4" t="s">
        <v>36</v>
      </c>
      <c r="E1525" s="6">
        <v>85100.0</v>
      </c>
    </row>
    <row r="1526" ht="15.75" customHeight="1">
      <c r="A1526" s="4" t="s">
        <v>5286</v>
      </c>
      <c r="B1526" s="4"/>
      <c r="C1526" s="4" t="s">
        <v>6893</v>
      </c>
      <c r="D1526" s="4" t="s">
        <v>36</v>
      </c>
      <c r="E1526" s="6">
        <v>112400.0</v>
      </c>
    </row>
    <row r="1527" ht="15.75" customHeight="1">
      <c r="A1527" s="4"/>
      <c r="B1527" s="4"/>
      <c r="C1527" s="4" t="s">
        <v>6894</v>
      </c>
      <c r="D1527" s="4"/>
      <c r="E1527" s="6"/>
    </row>
    <row r="1528" ht="15.75" customHeight="1">
      <c r="A1528" s="4" t="s">
        <v>5212</v>
      </c>
      <c r="B1528" s="4"/>
      <c r="C1528" s="4" t="s">
        <v>6895</v>
      </c>
      <c r="D1528" s="4" t="s">
        <v>43</v>
      </c>
      <c r="E1528" s="6">
        <v>1793400.0</v>
      </c>
    </row>
    <row r="1529" ht="15.75" customHeight="1">
      <c r="A1529" s="4" t="s">
        <v>353</v>
      </c>
      <c r="B1529" s="4"/>
      <c r="C1529" s="4" t="s">
        <v>6896</v>
      </c>
      <c r="D1529" s="4" t="s">
        <v>43</v>
      </c>
      <c r="E1529" s="6">
        <v>1448700.0</v>
      </c>
    </row>
    <row r="1530" ht="15.75" customHeight="1">
      <c r="A1530" s="4" t="s">
        <v>791</v>
      </c>
      <c r="B1530" s="4"/>
      <c r="C1530" s="4" t="s">
        <v>6897</v>
      </c>
      <c r="D1530" s="4" t="s">
        <v>43</v>
      </c>
      <c r="E1530" s="6">
        <v>2125600.0</v>
      </c>
    </row>
    <row r="1531" ht="15.75" customHeight="1">
      <c r="A1531" s="4" t="s">
        <v>1626</v>
      </c>
      <c r="B1531" s="4"/>
      <c r="C1531" s="4" t="s">
        <v>6898</v>
      </c>
      <c r="D1531" s="4" t="s">
        <v>43</v>
      </c>
      <c r="E1531" s="6">
        <v>2778200.0</v>
      </c>
    </row>
    <row r="1532" ht="15.75" customHeight="1">
      <c r="A1532" s="4" t="s">
        <v>2310</v>
      </c>
      <c r="B1532" s="4"/>
      <c r="C1532" s="4" t="s">
        <v>6899</v>
      </c>
      <c r="D1532" s="4" t="s">
        <v>43</v>
      </c>
      <c r="E1532" s="6">
        <v>868300.0</v>
      </c>
    </row>
    <row r="1533" ht="15.75" customHeight="1">
      <c r="A1533" s="4" t="s">
        <v>3568</v>
      </c>
      <c r="B1533" s="4"/>
      <c r="C1533" s="4" t="s">
        <v>6900</v>
      </c>
      <c r="D1533" s="4" t="s">
        <v>43</v>
      </c>
      <c r="E1533" s="6">
        <v>230600.0</v>
      </c>
    </row>
    <row r="1534" ht="15.75" customHeight="1">
      <c r="A1534" s="4" t="s">
        <v>4362</v>
      </c>
      <c r="B1534" s="4"/>
      <c r="C1534" s="4" t="s">
        <v>6901</v>
      </c>
      <c r="D1534" s="4" t="s">
        <v>43</v>
      </c>
      <c r="E1534" s="6">
        <v>600000.0</v>
      </c>
    </row>
    <row r="1535" ht="15.75" customHeight="1">
      <c r="A1535" s="4" t="s">
        <v>4423</v>
      </c>
      <c r="B1535" s="4"/>
      <c r="C1535" s="4" t="s">
        <v>6902</v>
      </c>
      <c r="D1535" s="4" t="s">
        <v>43</v>
      </c>
      <c r="E1535" s="6">
        <v>400000.0</v>
      </c>
    </row>
    <row r="1536" ht="15.75" customHeight="1">
      <c r="A1536" s="4" t="s">
        <v>4626</v>
      </c>
      <c r="B1536" s="4"/>
      <c r="C1536" s="4" t="s">
        <v>6903</v>
      </c>
      <c r="D1536" s="4" t="s">
        <v>43</v>
      </c>
      <c r="E1536" s="6">
        <v>328400.0</v>
      </c>
    </row>
    <row r="1537" ht="15.75" customHeight="1">
      <c r="A1537" s="4" t="s">
        <v>5171</v>
      </c>
      <c r="B1537" s="4"/>
      <c r="C1537" s="4" t="s">
        <v>6904</v>
      </c>
      <c r="D1537" s="4" t="s">
        <v>43</v>
      </c>
      <c r="E1537" s="6">
        <v>450000.0</v>
      </c>
    </row>
    <row r="1538" ht="15.75" customHeight="1">
      <c r="A1538" s="4" t="s">
        <v>5229</v>
      </c>
      <c r="B1538" s="4"/>
      <c r="C1538" s="4" t="s">
        <v>6905</v>
      </c>
      <c r="D1538" s="4" t="s">
        <v>2608</v>
      </c>
      <c r="E1538" s="6">
        <v>2500000.0</v>
      </c>
    </row>
    <row r="1539" ht="15.75" customHeight="1">
      <c r="A1539" s="4" t="s">
        <v>5231</v>
      </c>
      <c r="B1539" s="4"/>
      <c r="C1539" s="4" t="s">
        <v>6906</v>
      </c>
      <c r="D1539" s="4" t="s">
        <v>2608</v>
      </c>
      <c r="E1539" s="6">
        <v>650000.0</v>
      </c>
    </row>
    <row r="1540" ht="15.75" customHeight="1">
      <c r="A1540" s="4" t="s">
        <v>5233</v>
      </c>
      <c r="B1540" s="4"/>
      <c r="C1540" s="4" t="s">
        <v>6907</v>
      </c>
      <c r="D1540" s="4" t="s">
        <v>2608</v>
      </c>
      <c r="E1540" s="6">
        <v>3000000.0</v>
      </c>
    </row>
    <row r="1541" ht="15.75" customHeight="1">
      <c r="A1541" s="4" t="s">
        <v>5235</v>
      </c>
      <c r="B1541" s="4"/>
      <c r="C1541" s="4" t="s">
        <v>6908</v>
      </c>
      <c r="D1541" s="4" t="s">
        <v>43</v>
      </c>
      <c r="E1541" s="6">
        <v>70000.0</v>
      </c>
    </row>
    <row r="1542" ht="15.75" customHeight="1">
      <c r="A1542" s="4" t="s">
        <v>5237</v>
      </c>
      <c r="B1542" s="4"/>
      <c r="C1542" s="4" t="s">
        <v>6909</v>
      </c>
      <c r="D1542" s="4" t="s">
        <v>27</v>
      </c>
      <c r="E1542" s="6">
        <v>55000.0</v>
      </c>
    </row>
    <row r="1543" ht="15.75" customHeight="1">
      <c r="A1543" s="4" t="s">
        <v>5272</v>
      </c>
      <c r="B1543" s="4"/>
      <c r="C1543" s="4" t="s">
        <v>6909</v>
      </c>
      <c r="D1543" s="4" t="s">
        <v>43</v>
      </c>
      <c r="E1543" s="6">
        <v>50000.0</v>
      </c>
    </row>
    <row r="1544" ht="15.75" customHeight="1">
      <c r="A1544" s="4" t="s">
        <v>5274</v>
      </c>
      <c r="B1544" s="4"/>
      <c r="C1544" s="4" t="s">
        <v>6910</v>
      </c>
      <c r="D1544" s="4" t="s">
        <v>43</v>
      </c>
      <c r="E1544" s="6">
        <v>44700.0</v>
      </c>
    </row>
    <row r="1545" ht="15.75" customHeight="1">
      <c r="A1545" s="4" t="s">
        <v>5276</v>
      </c>
      <c r="B1545" s="4"/>
      <c r="C1545" s="4" t="s">
        <v>6911</v>
      </c>
      <c r="D1545" s="4" t="s">
        <v>43</v>
      </c>
      <c r="E1545" s="6">
        <v>120000.0</v>
      </c>
    </row>
    <row r="1546" ht="15.75" customHeight="1">
      <c r="A1546" s="4" t="s">
        <v>5278</v>
      </c>
      <c r="B1546" s="4"/>
      <c r="C1546" s="4" t="s">
        <v>6912</v>
      </c>
      <c r="D1546" s="4" t="s">
        <v>2608</v>
      </c>
      <c r="E1546" s="6">
        <v>2.0E7</v>
      </c>
    </row>
    <row r="1547" ht="15.75" customHeight="1">
      <c r="A1547" s="4" t="s">
        <v>5280</v>
      </c>
      <c r="B1547" s="4"/>
      <c r="C1547" s="4" t="s">
        <v>6913</v>
      </c>
      <c r="D1547" s="4" t="s">
        <v>2608</v>
      </c>
      <c r="E1547" s="6">
        <v>1000000.0</v>
      </c>
    </row>
    <row r="1548" ht="15.75" customHeight="1">
      <c r="A1548" s="4" t="s">
        <v>5250</v>
      </c>
      <c r="B1548" s="4"/>
      <c r="C1548" s="4" t="s">
        <v>6914</v>
      </c>
      <c r="D1548" s="4" t="s">
        <v>2608</v>
      </c>
      <c r="E1548" s="6">
        <v>1500000.0</v>
      </c>
    </row>
    <row r="1549" ht="15.75" customHeight="1">
      <c r="A1549" s="4" t="s">
        <v>5268</v>
      </c>
      <c r="B1549" s="4"/>
      <c r="C1549" s="4" t="s">
        <v>6915</v>
      </c>
      <c r="D1549" s="4" t="s">
        <v>43</v>
      </c>
      <c r="E1549" s="6">
        <v>100000.0</v>
      </c>
    </row>
    <row r="1550" ht="15.75" customHeight="1">
      <c r="A1550" s="4" t="s">
        <v>5282</v>
      </c>
      <c r="B1550" s="4"/>
      <c r="C1550" s="4" t="s">
        <v>6916</v>
      </c>
      <c r="D1550" s="4" t="s">
        <v>43</v>
      </c>
      <c r="E1550" s="6">
        <v>1490000.0</v>
      </c>
    </row>
    <row r="1551" ht="15.75" customHeight="1">
      <c r="A1551" s="4" t="s">
        <v>5256</v>
      </c>
      <c r="B1551" s="4"/>
      <c r="C1551" s="4" t="s">
        <v>6917</v>
      </c>
      <c r="D1551" s="4" t="s">
        <v>43</v>
      </c>
      <c r="E1551" s="6">
        <v>250000.0</v>
      </c>
    </row>
    <row r="1552" ht="15.75" customHeight="1">
      <c r="A1552" s="4" t="s">
        <v>5259</v>
      </c>
      <c r="B1552" s="4"/>
      <c r="C1552" s="4" t="s">
        <v>6918</v>
      </c>
      <c r="D1552" s="4" t="s">
        <v>2608</v>
      </c>
      <c r="E1552" s="6">
        <v>3.0E7</v>
      </c>
    </row>
    <row r="1553" ht="15.75" customHeight="1">
      <c r="A1553" s="4" t="s">
        <v>5284</v>
      </c>
      <c r="B1553" s="4"/>
      <c r="C1553" s="4" t="s">
        <v>6919</v>
      </c>
      <c r="D1553" s="4" t="s">
        <v>2608</v>
      </c>
      <c r="E1553" s="6">
        <v>3.1E8</v>
      </c>
    </row>
    <row r="1554" ht="15.75" customHeight="1">
      <c r="A1554" s="4" t="s">
        <v>5286</v>
      </c>
      <c r="B1554" s="4"/>
      <c r="C1554" s="4" t="s">
        <v>6920</v>
      </c>
      <c r="D1554" s="4" t="s">
        <v>2608</v>
      </c>
      <c r="E1554" s="6">
        <v>3.9E8</v>
      </c>
    </row>
    <row r="1555" ht="15.75" customHeight="1">
      <c r="A1555" s="4" t="s">
        <v>5253</v>
      </c>
      <c r="B1555" s="4"/>
      <c r="C1555" s="4" t="s">
        <v>6921</v>
      </c>
      <c r="D1555" s="4" t="s">
        <v>2608</v>
      </c>
      <c r="E1555" s="6">
        <v>4.65E8</v>
      </c>
    </row>
    <row r="1556" ht="15.75" customHeight="1">
      <c r="A1556" s="4" t="s">
        <v>5288</v>
      </c>
      <c r="B1556" s="4"/>
      <c r="C1556" s="4" t="s">
        <v>6922</v>
      </c>
      <c r="D1556" s="4" t="s">
        <v>2608</v>
      </c>
      <c r="E1556" s="6">
        <v>7.0E7</v>
      </c>
    </row>
    <row r="1557" ht="15.75" customHeight="1">
      <c r="A1557" s="4" t="s">
        <v>5262</v>
      </c>
      <c r="B1557" s="4"/>
      <c r="C1557" s="4" t="s">
        <v>6923</v>
      </c>
      <c r="D1557" s="4" t="s">
        <v>2608</v>
      </c>
      <c r="E1557" s="6">
        <v>1.35E8</v>
      </c>
    </row>
    <row r="1558" ht="15.75" customHeight="1">
      <c r="A1558" s="4" t="s">
        <v>5265</v>
      </c>
      <c r="B1558" s="4"/>
      <c r="C1558" s="4" t="s">
        <v>6924</v>
      </c>
      <c r="D1558" s="4" t="s">
        <v>2608</v>
      </c>
      <c r="E1558" s="6">
        <v>2.45E8</v>
      </c>
    </row>
    <row r="1559" ht="15.75" customHeight="1">
      <c r="A1559" s="4" t="s">
        <v>5290</v>
      </c>
      <c r="B1559" s="4"/>
      <c r="C1559" s="4" t="s">
        <v>6925</v>
      </c>
      <c r="D1559" s="4" t="s">
        <v>43</v>
      </c>
      <c r="E1559" s="6">
        <v>41700.0</v>
      </c>
    </row>
    <row r="1560" ht="15.75" customHeight="1">
      <c r="A1560" s="4" t="s">
        <v>5342</v>
      </c>
      <c r="B1560" s="4"/>
      <c r="C1560" s="4" t="s">
        <v>6926</v>
      </c>
      <c r="D1560" s="4" t="s">
        <v>43</v>
      </c>
      <c r="E1560" s="6">
        <v>700000.0</v>
      </c>
    </row>
    <row r="1561" ht="15.75" customHeight="1">
      <c r="A1561" s="4" t="s">
        <v>5346</v>
      </c>
      <c r="B1561" s="4"/>
      <c r="C1561" s="4" t="s">
        <v>6927</v>
      </c>
      <c r="D1561" s="4" t="s">
        <v>2955</v>
      </c>
      <c r="E1561" s="6">
        <v>1000000.0</v>
      </c>
    </row>
    <row r="1562" ht="15.75" customHeight="1">
      <c r="A1562" s="4" t="s">
        <v>5348</v>
      </c>
      <c r="B1562" s="4"/>
      <c r="C1562" s="4" t="s">
        <v>6928</v>
      </c>
      <c r="D1562" s="4" t="s">
        <v>2608</v>
      </c>
      <c r="E1562" s="6">
        <v>1200000.0</v>
      </c>
    </row>
    <row r="1563" ht="15.75" customHeight="1">
      <c r="A1563" s="4" t="s">
        <v>5350</v>
      </c>
      <c r="B1563" s="4"/>
      <c r="C1563" s="4" t="s">
        <v>6929</v>
      </c>
      <c r="D1563" s="4" t="s">
        <v>2608</v>
      </c>
      <c r="E1563" s="6">
        <v>2970000.0</v>
      </c>
    </row>
    <row r="1564" ht="15.75" customHeight="1">
      <c r="A1564" s="4" t="s">
        <v>5352</v>
      </c>
      <c r="B1564" s="4"/>
      <c r="C1564" s="4" t="s">
        <v>6930</v>
      </c>
      <c r="D1564" s="4" t="s">
        <v>2608</v>
      </c>
      <c r="E1564" s="6">
        <v>2000000.0</v>
      </c>
    </row>
    <row r="1565" ht="15.75" customHeight="1">
      <c r="A1565" s="4" t="s">
        <v>5354</v>
      </c>
      <c r="B1565" s="4"/>
      <c r="C1565" s="4" t="s">
        <v>6931</v>
      </c>
      <c r="D1565" s="4" t="s">
        <v>2608</v>
      </c>
      <c r="E1565" s="6">
        <v>900000.0</v>
      </c>
    </row>
    <row r="1566" ht="15.75" customHeight="1">
      <c r="A1566" s="4" t="s">
        <v>5356</v>
      </c>
      <c r="B1566" s="4"/>
      <c r="C1566" s="4" t="s">
        <v>6932</v>
      </c>
      <c r="D1566" s="4" t="s">
        <v>2608</v>
      </c>
      <c r="E1566" s="6">
        <v>1200000.0</v>
      </c>
    </row>
    <row r="1567" ht="15.75" customHeight="1">
      <c r="A1567" s="4" t="s">
        <v>5359</v>
      </c>
      <c r="B1567" s="4"/>
      <c r="C1567" s="4" t="s">
        <v>6933</v>
      </c>
      <c r="D1567" s="4" t="s">
        <v>2608</v>
      </c>
      <c r="E1567" s="6">
        <v>3500000.0</v>
      </c>
    </row>
    <row r="1568" ht="15.75" customHeight="1">
      <c r="A1568" s="4" t="s">
        <v>5361</v>
      </c>
      <c r="B1568" s="4"/>
      <c r="C1568" s="4" t="s">
        <v>6934</v>
      </c>
      <c r="D1568" s="4" t="s">
        <v>2608</v>
      </c>
      <c r="E1568" s="6">
        <v>1000000.0</v>
      </c>
    </row>
    <row r="1569" ht="15.75" customHeight="1">
      <c r="A1569" s="4" t="s">
        <v>5363</v>
      </c>
      <c r="B1569" s="4"/>
      <c r="C1569" s="4" t="s">
        <v>6935</v>
      </c>
      <c r="D1569" s="4" t="s">
        <v>2608</v>
      </c>
      <c r="E1569" s="6">
        <v>1000000.0</v>
      </c>
    </row>
    <row r="1570" ht="15.75" customHeight="1">
      <c r="A1570" s="4" t="s">
        <v>5365</v>
      </c>
      <c r="B1570" s="4"/>
      <c r="C1570" s="4" t="s">
        <v>6936</v>
      </c>
      <c r="D1570" s="4" t="s">
        <v>2608</v>
      </c>
      <c r="E1570" s="6">
        <v>1.7E7</v>
      </c>
    </row>
    <row r="1571" ht="15.75" customHeight="1">
      <c r="A1571" s="4" t="s">
        <v>5367</v>
      </c>
      <c r="B1571" s="4"/>
      <c r="C1571" s="4" t="s">
        <v>6937</v>
      </c>
      <c r="D1571" s="4" t="s">
        <v>2608</v>
      </c>
      <c r="E1571" s="6">
        <v>2850000.0</v>
      </c>
    </row>
    <row r="1572" ht="15.75" customHeight="1">
      <c r="A1572" s="4" t="s">
        <v>5369</v>
      </c>
      <c r="B1572" s="4"/>
      <c r="C1572" s="4" t="s">
        <v>6938</v>
      </c>
      <c r="D1572" s="4" t="s">
        <v>2608</v>
      </c>
      <c r="E1572" s="6">
        <v>4000000.0</v>
      </c>
    </row>
    <row r="1573" ht="15.75" customHeight="1">
      <c r="A1573" s="4" t="s">
        <v>5372</v>
      </c>
      <c r="B1573" s="4"/>
      <c r="C1573" s="4" t="s">
        <v>6939</v>
      </c>
      <c r="D1573" s="4" t="s">
        <v>2608</v>
      </c>
      <c r="E1573" s="6">
        <v>1300000.0</v>
      </c>
    </row>
    <row r="1574" ht="15.75" customHeight="1">
      <c r="A1574" s="4" t="s">
        <v>5374</v>
      </c>
      <c r="B1574" s="4"/>
      <c r="C1574" s="4" t="s">
        <v>6940</v>
      </c>
      <c r="D1574" s="4" t="s">
        <v>2608</v>
      </c>
      <c r="E1574" s="6">
        <v>2080000.0</v>
      </c>
    </row>
    <row r="1575" ht="15.75" customHeight="1">
      <c r="A1575" s="4" t="s">
        <v>5376</v>
      </c>
      <c r="B1575" s="4"/>
      <c r="C1575" s="4" t="s">
        <v>6941</v>
      </c>
      <c r="D1575" s="4" t="s">
        <v>43</v>
      </c>
      <c r="E1575" s="6">
        <v>70000.0</v>
      </c>
    </row>
    <row r="1576" ht="15.75" customHeight="1">
      <c r="A1576" s="4" t="s">
        <v>5378</v>
      </c>
      <c r="B1576" s="4"/>
      <c r="C1576" s="4" t="s">
        <v>6942</v>
      </c>
      <c r="D1576" s="4" t="s">
        <v>2608</v>
      </c>
      <c r="E1576" s="6">
        <v>3.6E7</v>
      </c>
    </row>
    <row r="1577" ht="15.75" customHeight="1">
      <c r="A1577" s="4" t="s">
        <v>5380</v>
      </c>
      <c r="B1577" s="4"/>
      <c r="C1577" s="4" t="s">
        <v>6943</v>
      </c>
      <c r="D1577" s="4" t="s">
        <v>2608</v>
      </c>
      <c r="E1577" s="6">
        <v>6000000.0</v>
      </c>
    </row>
    <row r="1578" ht="15.75" customHeight="1">
      <c r="A1578" s="4" t="s">
        <v>5382</v>
      </c>
      <c r="B1578" s="4"/>
      <c r="C1578" s="4" t="s">
        <v>6944</v>
      </c>
      <c r="D1578" s="4" t="s">
        <v>2608</v>
      </c>
      <c r="E1578" s="6">
        <v>1.2E7</v>
      </c>
    </row>
    <row r="1579" ht="15.75" customHeight="1">
      <c r="A1579" s="4" t="s">
        <v>5384</v>
      </c>
      <c r="B1579" s="4"/>
      <c r="C1579" s="4" t="s">
        <v>6945</v>
      </c>
      <c r="D1579" s="4" t="s">
        <v>2608</v>
      </c>
      <c r="E1579" s="6">
        <v>4.8E7</v>
      </c>
    </row>
    <row r="1580" ht="15.75" customHeight="1">
      <c r="A1580" s="4" t="s">
        <v>5386</v>
      </c>
      <c r="B1580" s="4"/>
      <c r="C1580" s="4" t="s">
        <v>6946</v>
      </c>
      <c r="D1580" s="4" t="s">
        <v>2608</v>
      </c>
      <c r="E1580" s="6">
        <v>6400000.0</v>
      </c>
    </row>
    <row r="1581" ht="15.75" customHeight="1">
      <c r="A1581" s="4" t="s">
        <v>5388</v>
      </c>
      <c r="B1581" s="4"/>
      <c r="C1581" s="4" t="s">
        <v>6947</v>
      </c>
      <c r="D1581" s="4" t="s">
        <v>2608</v>
      </c>
      <c r="E1581" s="6">
        <v>1.5E7</v>
      </c>
    </row>
    <row r="1582" ht="15.75" customHeight="1">
      <c r="A1582" s="4" t="s">
        <v>5390</v>
      </c>
      <c r="B1582" s="4"/>
      <c r="C1582" s="4" t="s">
        <v>6948</v>
      </c>
      <c r="D1582" s="4" t="s">
        <v>2608</v>
      </c>
      <c r="E1582" s="6">
        <v>2500000.0</v>
      </c>
    </row>
    <row r="1583" ht="15.75" customHeight="1">
      <c r="A1583" s="4" t="s">
        <v>5392</v>
      </c>
      <c r="B1583" s="4"/>
      <c r="C1583" s="4" t="s">
        <v>6949</v>
      </c>
      <c r="D1583" s="4" t="s">
        <v>2608</v>
      </c>
      <c r="E1583" s="6">
        <v>4800000.0</v>
      </c>
    </row>
    <row r="1584" ht="15.75" customHeight="1">
      <c r="A1584" s="4" t="s">
        <v>5394</v>
      </c>
      <c r="B1584" s="4"/>
      <c r="C1584" s="4" t="s">
        <v>6950</v>
      </c>
      <c r="D1584" s="4" t="s">
        <v>36</v>
      </c>
      <c r="E1584" s="6">
        <v>1200000.0</v>
      </c>
    </row>
    <row r="1585" ht="15.75" customHeight="1">
      <c r="A1585" s="4" t="s">
        <v>5396</v>
      </c>
      <c r="B1585" s="4"/>
      <c r="C1585" s="4" t="s">
        <v>6951</v>
      </c>
      <c r="D1585" s="4" t="s">
        <v>2608</v>
      </c>
      <c r="E1585" s="6">
        <v>3200000.0</v>
      </c>
    </row>
    <row r="1586" ht="15.75" customHeight="1">
      <c r="A1586" s="4" t="s">
        <v>5398</v>
      </c>
      <c r="B1586" s="4"/>
      <c r="C1586" s="4" t="s">
        <v>6952</v>
      </c>
      <c r="D1586" s="4" t="s">
        <v>2608</v>
      </c>
      <c r="E1586" s="6">
        <v>3500000.0</v>
      </c>
    </row>
    <row r="1587" ht="15.75" customHeight="1">
      <c r="A1587" s="4" t="s">
        <v>6332</v>
      </c>
      <c r="B1587" s="4"/>
      <c r="C1587" s="4" t="s">
        <v>6953</v>
      </c>
      <c r="D1587" s="4" t="s">
        <v>2608</v>
      </c>
      <c r="E1587" s="6">
        <v>3600000.0</v>
      </c>
    </row>
    <row r="1588" ht="15.75" customHeight="1">
      <c r="A1588" s="4" t="s">
        <v>6334</v>
      </c>
      <c r="B1588" s="4"/>
      <c r="C1588" s="4" t="s">
        <v>6954</v>
      </c>
      <c r="D1588" s="4" t="s">
        <v>2608</v>
      </c>
      <c r="E1588" s="6">
        <v>4600000.0</v>
      </c>
    </row>
    <row r="1589" ht="15.75" customHeight="1">
      <c r="A1589" s="4" t="s">
        <v>6336</v>
      </c>
      <c r="B1589" s="4"/>
      <c r="C1589" s="4" t="s">
        <v>6955</v>
      </c>
      <c r="D1589" s="4" t="s">
        <v>2608</v>
      </c>
      <c r="E1589" s="6">
        <v>1.6E7</v>
      </c>
    </row>
    <row r="1590" ht="15.75" customHeight="1">
      <c r="A1590" s="4" t="s">
        <v>6338</v>
      </c>
      <c r="B1590" s="4"/>
      <c r="C1590" s="4" t="s">
        <v>6956</v>
      </c>
      <c r="D1590" s="4" t="s">
        <v>2608</v>
      </c>
      <c r="E1590" s="6">
        <v>5.32E7</v>
      </c>
    </row>
    <row r="1591" ht="15.75" customHeight="1">
      <c r="A1591" s="4" t="s">
        <v>6340</v>
      </c>
      <c r="B1591" s="4"/>
      <c r="C1591" s="4" t="s">
        <v>6957</v>
      </c>
      <c r="D1591" s="4" t="s">
        <v>2608</v>
      </c>
      <c r="E1591" s="6">
        <v>1.95E7</v>
      </c>
    </row>
    <row r="1592" ht="15.75" customHeight="1">
      <c r="A1592" s="4" t="s">
        <v>6342</v>
      </c>
      <c r="B1592" s="4"/>
      <c r="C1592" s="4" t="s">
        <v>6958</v>
      </c>
      <c r="D1592" s="4" t="s">
        <v>2608</v>
      </c>
      <c r="E1592" s="6">
        <v>1.0E8</v>
      </c>
    </row>
    <row r="1593" ht="15.75" customHeight="1">
      <c r="A1593" s="4" t="s">
        <v>6344</v>
      </c>
      <c r="B1593" s="4"/>
      <c r="C1593" s="4" t="s">
        <v>6959</v>
      </c>
      <c r="D1593" s="4" t="s">
        <v>2608</v>
      </c>
      <c r="E1593" s="6">
        <v>3.3E7</v>
      </c>
    </row>
    <row r="1594" ht="15.75" customHeight="1">
      <c r="A1594" s="4" t="s">
        <v>6346</v>
      </c>
      <c r="B1594" s="4"/>
      <c r="C1594" s="4" t="s">
        <v>6960</v>
      </c>
      <c r="D1594" s="4" t="s">
        <v>2608</v>
      </c>
      <c r="E1594" s="6">
        <v>8.4E7</v>
      </c>
    </row>
    <row r="1595" ht="15.75" customHeight="1">
      <c r="A1595" s="4" t="s">
        <v>6348</v>
      </c>
      <c r="B1595" s="4"/>
      <c r="C1595" s="4" t="s">
        <v>6961</v>
      </c>
      <c r="D1595" s="4" t="s">
        <v>2608</v>
      </c>
      <c r="E1595" s="6">
        <v>500000.0</v>
      </c>
    </row>
    <row r="1596" ht="15.75" customHeight="1">
      <c r="A1596" s="4" t="s">
        <v>6350</v>
      </c>
      <c r="B1596" s="4"/>
      <c r="C1596" s="4" t="s">
        <v>6962</v>
      </c>
      <c r="D1596" s="4" t="s">
        <v>43</v>
      </c>
      <c r="E1596" s="6">
        <v>150000.0</v>
      </c>
    </row>
    <row r="1597" ht="15.75" customHeight="1">
      <c r="A1597" s="4" t="s">
        <v>6352</v>
      </c>
      <c r="B1597" s="4"/>
      <c r="C1597" s="4" t="s">
        <v>6963</v>
      </c>
      <c r="D1597" s="4" t="s">
        <v>43</v>
      </c>
      <c r="E1597" s="6">
        <v>4000.0</v>
      </c>
    </row>
    <row r="1598" ht="15.75" customHeight="1">
      <c r="A1598" s="4" t="s">
        <v>6354</v>
      </c>
      <c r="B1598" s="4"/>
      <c r="C1598" s="4" t="s">
        <v>6964</v>
      </c>
      <c r="D1598" s="4" t="s">
        <v>43</v>
      </c>
      <c r="E1598" s="6">
        <v>6000.0</v>
      </c>
    </row>
    <row r="1599" ht="15.75" customHeight="1">
      <c r="A1599" s="4" t="s">
        <v>6356</v>
      </c>
      <c r="B1599" s="4"/>
      <c r="C1599" s="4" t="s">
        <v>6965</v>
      </c>
      <c r="D1599" s="4" t="s">
        <v>2608</v>
      </c>
      <c r="E1599" s="6">
        <v>8500000.0</v>
      </c>
    </row>
    <row r="1600" ht="15.75" customHeight="1">
      <c r="A1600" s="4" t="s">
        <v>6435</v>
      </c>
      <c r="B1600" s="4"/>
      <c r="C1600" s="4" t="s">
        <v>6966</v>
      </c>
      <c r="D1600" s="4" t="s">
        <v>2608</v>
      </c>
      <c r="E1600" s="6">
        <v>1100000.0</v>
      </c>
    </row>
    <row r="1601" ht="15.75" customHeight="1">
      <c r="A1601" s="4" t="s">
        <v>6437</v>
      </c>
      <c r="B1601" s="4"/>
      <c r="C1601" s="4" t="s">
        <v>6967</v>
      </c>
      <c r="D1601" s="4" t="s">
        <v>2608</v>
      </c>
      <c r="E1601" s="6">
        <v>1700000.0</v>
      </c>
    </row>
    <row r="1602" ht="15.75" customHeight="1">
      <c r="A1602" s="4" t="s">
        <v>6439</v>
      </c>
      <c r="B1602" s="4"/>
      <c r="C1602" s="4" t="s">
        <v>6968</v>
      </c>
      <c r="D1602" s="4" t="s">
        <v>2608</v>
      </c>
      <c r="E1602" s="6">
        <v>3400000.0</v>
      </c>
    </row>
    <row r="1603" ht="15.75" customHeight="1">
      <c r="A1603" s="4" t="s">
        <v>6441</v>
      </c>
      <c r="B1603" s="4"/>
      <c r="C1603" s="4" t="s">
        <v>6969</v>
      </c>
      <c r="D1603" s="4" t="s">
        <v>2608</v>
      </c>
      <c r="E1603" s="6">
        <v>4600000.0</v>
      </c>
    </row>
    <row r="1604" ht="15.75" customHeight="1">
      <c r="A1604" s="4" t="s">
        <v>6443</v>
      </c>
      <c r="B1604" s="4"/>
      <c r="C1604" s="4" t="s">
        <v>6970</v>
      </c>
      <c r="D1604" s="4" t="s">
        <v>2608</v>
      </c>
      <c r="E1604" s="6">
        <v>5500000.0</v>
      </c>
    </row>
    <row r="1605" ht="15.75" customHeight="1">
      <c r="A1605" s="4" t="s">
        <v>6445</v>
      </c>
      <c r="B1605" s="4"/>
      <c r="C1605" s="4" t="s">
        <v>6971</v>
      </c>
      <c r="D1605" s="4" t="s">
        <v>2608</v>
      </c>
      <c r="E1605" s="6">
        <v>6900000.0</v>
      </c>
    </row>
    <row r="1606" ht="15.75" customHeight="1">
      <c r="A1606" s="4" t="s">
        <v>6449</v>
      </c>
      <c r="B1606" s="4"/>
      <c r="C1606" s="4" t="s">
        <v>6972</v>
      </c>
      <c r="D1606" s="4" t="s">
        <v>2608</v>
      </c>
      <c r="E1606" s="6">
        <v>7100000.0</v>
      </c>
    </row>
    <row r="1607" ht="15.75" customHeight="1">
      <c r="A1607" s="4" t="s">
        <v>6451</v>
      </c>
      <c r="B1607" s="4"/>
      <c r="C1607" s="4" t="s">
        <v>6973</v>
      </c>
      <c r="D1607" s="4" t="s">
        <v>2608</v>
      </c>
      <c r="E1607" s="6">
        <v>7850000.0</v>
      </c>
    </row>
    <row r="1608" ht="15.75" customHeight="1">
      <c r="A1608" s="4"/>
      <c r="B1608" s="4"/>
      <c r="C1608" s="4" t="s">
        <v>6974</v>
      </c>
      <c r="D1608" s="4" t="s">
        <v>5553</v>
      </c>
      <c r="E1608" s="6">
        <v>1.5E7</v>
      </c>
    </row>
    <row r="1609" ht="15.75" customHeight="1">
      <c r="A1609" s="4"/>
      <c r="B1609" s="4"/>
      <c r="C1609" s="4" t="s">
        <v>6975</v>
      </c>
      <c r="D1609" s="4" t="s">
        <v>5589</v>
      </c>
      <c r="E1609" s="6">
        <v>1.25E7</v>
      </c>
    </row>
    <row r="1610" ht="15.75" customHeight="1">
      <c r="A1610" s="4"/>
      <c r="B1610" s="4"/>
      <c r="C1610" s="4" t="s">
        <v>6976</v>
      </c>
      <c r="D1610" s="4" t="s">
        <v>5589</v>
      </c>
      <c r="E1610" s="6">
        <v>1.2E7</v>
      </c>
    </row>
    <row r="1611" ht="15.75" customHeight="1">
      <c r="A1611" s="4"/>
      <c r="B1611" s="4"/>
      <c r="C1611" s="4" t="s">
        <v>6977</v>
      </c>
      <c r="D1611" s="4" t="s">
        <v>5589</v>
      </c>
      <c r="E1611" s="6">
        <v>650000.0</v>
      </c>
    </row>
    <row r="1612" ht="15.75" customHeight="1">
      <c r="A1612" s="4"/>
      <c r="B1612" s="4"/>
      <c r="C1612" s="4" t="s">
        <v>6978</v>
      </c>
      <c r="D1612" s="4" t="s">
        <v>2608</v>
      </c>
      <c r="E1612" s="6">
        <v>730000.0</v>
      </c>
    </row>
    <row r="1613" ht="15.75" customHeight="1">
      <c r="A1613" s="4"/>
      <c r="B1613" s="4"/>
      <c r="C1613" s="4" t="s">
        <v>6979</v>
      </c>
      <c r="D1613" s="4" t="s">
        <v>116</v>
      </c>
      <c r="E1613" s="6">
        <v>45000.0</v>
      </c>
    </row>
    <row r="1614" ht="15.75" customHeight="1">
      <c r="A1614" s="4"/>
      <c r="B1614" s="4"/>
      <c r="C1614" s="4" t="s">
        <v>6980</v>
      </c>
      <c r="D1614" s="4" t="s">
        <v>36</v>
      </c>
      <c r="E1614" s="6">
        <v>65000.0</v>
      </c>
    </row>
    <row r="1615" ht="15.75" customHeight="1">
      <c r="A1615" s="4"/>
      <c r="B1615" s="4"/>
      <c r="C1615" s="4" t="s">
        <v>6981</v>
      </c>
      <c r="D1615" s="4" t="s">
        <v>116</v>
      </c>
      <c r="E1615" s="6">
        <v>150000.0</v>
      </c>
    </row>
    <row r="1616" ht="15.75" customHeight="1">
      <c r="A1616" s="4"/>
      <c r="B1616" s="4"/>
      <c r="C1616" s="4" t="s">
        <v>6982</v>
      </c>
      <c r="D1616" s="4" t="s">
        <v>5313</v>
      </c>
      <c r="E1616" s="6">
        <v>93000.0</v>
      </c>
    </row>
    <row r="1617" ht="15.75" customHeight="1">
      <c r="A1617" s="4"/>
      <c r="B1617" s="4"/>
      <c r="C1617" s="4" t="s">
        <v>6983</v>
      </c>
      <c r="D1617" s="4" t="s">
        <v>5313</v>
      </c>
      <c r="E1617" s="6">
        <v>110250.0</v>
      </c>
    </row>
    <row r="1618" ht="15.75" customHeight="1">
      <c r="A1618" s="4"/>
      <c r="B1618" s="4"/>
      <c r="C1618" s="4" t="s">
        <v>6984</v>
      </c>
      <c r="D1618" s="4" t="s">
        <v>5313</v>
      </c>
      <c r="E1618" s="6">
        <v>115000.0</v>
      </c>
    </row>
    <row r="1619" ht="15.75" customHeight="1">
      <c r="A1619" s="4"/>
      <c r="B1619" s="4"/>
      <c r="C1619" s="4" t="s">
        <v>6985</v>
      </c>
      <c r="D1619" s="4" t="s">
        <v>5313</v>
      </c>
      <c r="E1619" s="6">
        <v>125500.0</v>
      </c>
    </row>
    <row r="1620" ht="15.75" customHeight="1">
      <c r="A1620" s="4"/>
      <c r="B1620" s="4"/>
      <c r="C1620" s="4" t="s">
        <v>6986</v>
      </c>
      <c r="D1620" s="4" t="s">
        <v>5313</v>
      </c>
      <c r="E1620" s="6">
        <v>150600.0</v>
      </c>
    </row>
    <row r="1621" ht="15.75" customHeight="1">
      <c r="A1621" s="4"/>
      <c r="B1621" s="4"/>
      <c r="C1621" s="4" t="s">
        <v>6987</v>
      </c>
      <c r="D1621" s="4" t="s">
        <v>5313</v>
      </c>
      <c r="E1621" s="6">
        <v>190000.0</v>
      </c>
    </row>
    <row r="1622" ht="15.75" customHeight="1">
      <c r="A1622" s="4"/>
      <c r="B1622" s="4"/>
      <c r="C1622" s="4" t="s">
        <v>6988</v>
      </c>
      <c r="D1622" s="4" t="s">
        <v>5313</v>
      </c>
      <c r="E1622" s="6">
        <v>75000.0</v>
      </c>
    </row>
    <row r="1623" ht="15.75" customHeight="1">
      <c r="A1623" s="4"/>
      <c r="B1623" s="4"/>
      <c r="C1623" s="4" t="s">
        <v>6989</v>
      </c>
      <c r="D1623" s="4" t="s">
        <v>5313</v>
      </c>
      <c r="E1623" s="6">
        <v>120000.0</v>
      </c>
    </row>
    <row r="1624" ht="15.75" customHeight="1">
      <c r="A1624" s="4"/>
      <c r="B1624" s="4"/>
      <c r="C1624" s="4" t="s">
        <v>6990</v>
      </c>
      <c r="D1624" s="4" t="s">
        <v>5313</v>
      </c>
      <c r="E1624" s="6">
        <v>150000.0</v>
      </c>
    </row>
    <row r="1625" ht="15.75" customHeight="1">
      <c r="A1625" s="4"/>
      <c r="B1625" s="4"/>
      <c r="C1625" s="4" t="s">
        <v>6991</v>
      </c>
      <c r="D1625" s="4" t="s">
        <v>5313</v>
      </c>
      <c r="E1625" s="6">
        <v>250000.0</v>
      </c>
    </row>
    <row r="1626" ht="15.75" customHeight="1">
      <c r="A1626" s="4"/>
      <c r="B1626" s="4"/>
      <c r="C1626" s="4" t="s">
        <v>6992</v>
      </c>
      <c r="D1626" s="4" t="s">
        <v>5313</v>
      </c>
      <c r="E1626" s="6">
        <v>255400.0</v>
      </c>
    </row>
    <row r="1627" ht="15.75" customHeight="1">
      <c r="A1627" s="4"/>
      <c r="B1627" s="4"/>
      <c r="C1627" s="4" t="s">
        <v>6993</v>
      </c>
      <c r="D1627" s="4" t="s">
        <v>5313</v>
      </c>
      <c r="E1627" s="6">
        <v>269500.0</v>
      </c>
    </row>
    <row r="1628" ht="15.75" customHeight="1">
      <c r="A1628" s="4"/>
      <c r="B1628" s="4"/>
      <c r="C1628" s="4" t="s">
        <v>6994</v>
      </c>
      <c r="D1628" s="4" t="s">
        <v>5300</v>
      </c>
      <c r="E1628" s="6">
        <v>7000.0</v>
      </c>
    </row>
    <row r="1629" ht="15.75" customHeight="1">
      <c r="A1629" s="4"/>
      <c r="B1629" s="4"/>
      <c r="C1629" s="4" t="s">
        <v>6995</v>
      </c>
      <c r="D1629" s="4" t="s">
        <v>116</v>
      </c>
      <c r="E1629" s="6">
        <v>825000.0</v>
      </c>
    </row>
    <row r="1630" ht="15.75" customHeight="1">
      <c r="A1630" s="4"/>
      <c r="B1630" s="4"/>
      <c r="C1630" s="4" t="s">
        <v>6996</v>
      </c>
      <c r="D1630" s="4" t="s">
        <v>389</v>
      </c>
      <c r="E1630" s="6">
        <v>10300.0</v>
      </c>
    </row>
    <row r="1631" ht="15.75" customHeight="1">
      <c r="A1631" s="4"/>
      <c r="B1631" s="4"/>
      <c r="C1631" s="4" t="s">
        <v>6997</v>
      </c>
      <c r="D1631" s="4" t="s">
        <v>36</v>
      </c>
      <c r="E1631" s="6">
        <v>37500.0</v>
      </c>
    </row>
    <row r="1632" ht="15.75" customHeight="1">
      <c r="A1632" s="4"/>
      <c r="B1632" s="4"/>
      <c r="C1632" s="4" t="s">
        <v>6998</v>
      </c>
      <c r="D1632" s="4" t="s">
        <v>6774</v>
      </c>
      <c r="E1632" s="6">
        <v>27383.0</v>
      </c>
    </row>
    <row r="1633" ht="15.75" customHeight="1">
      <c r="A1633" s="4"/>
      <c r="B1633" s="4"/>
      <c r="C1633" s="4" t="s">
        <v>6999</v>
      </c>
      <c r="D1633" s="4" t="s">
        <v>5313</v>
      </c>
      <c r="E1633" s="6">
        <v>93000.0</v>
      </c>
    </row>
    <row r="1634" ht="15.75" customHeight="1">
      <c r="A1634" s="4"/>
      <c r="B1634" s="4"/>
      <c r="C1634" s="4" t="s">
        <v>7000</v>
      </c>
      <c r="D1634" s="4" t="s">
        <v>5313</v>
      </c>
      <c r="E1634" s="6">
        <v>855000.0</v>
      </c>
    </row>
    <row r="1635" ht="15.75" customHeight="1">
      <c r="A1635" s="4"/>
      <c r="B1635" s="4"/>
      <c r="C1635" s="4" t="s">
        <v>7001</v>
      </c>
      <c r="D1635" s="4" t="s">
        <v>5313</v>
      </c>
      <c r="E1635" s="6">
        <v>1119000.0</v>
      </c>
    </row>
    <row r="1636" ht="15.75" customHeight="1">
      <c r="A1636" s="4"/>
      <c r="B1636" s="4"/>
      <c r="C1636" s="4" t="s">
        <v>7002</v>
      </c>
      <c r="D1636" s="4" t="s">
        <v>5313</v>
      </c>
      <c r="E1636" s="6">
        <v>1504000.0</v>
      </c>
    </row>
    <row r="1637" ht="15.75" customHeight="1">
      <c r="A1637" s="4"/>
      <c r="B1637" s="4"/>
      <c r="C1637" s="4" t="s">
        <v>7003</v>
      </c>
      <c r="D1637" s="4" t="s">
        <v>5313</v>
      </c>
      <c r="E1637" s="6">
        <v>2560000.0</v>
      </c>
    </row>
    <row r="1638" ht="15.75" customHeight="1">
      <c r="A1638" s="4"/>
      <c r="B1638" s="4"/>
      <c r="C1638" s="4" t="s">
        <v>7004</v>
      </c>
      <c r="D1638" s="4" t="s">
        <v>5313</v>
      </c>
      <c r="E1638" s="6">
        <v>3052000.0</v>
      </c>
    </row>
    <row r="1639" ht="15.75" customHeight="1">
      <c r="A1639" s="4"/>
      <c r="B1639" s="4"/>
      <c r="C1639" s="4" t="s">
        <v>7005</v>
      </c>
      <c r="D1639" s="4" t="s">
        <v>5313</v>
      </c>
      <c r="E1639" s="6">
        <v>3570000.0</v>
      </c>
    </row>
    <row r="1640" ht="15.75" customHeight="1">
      <c r="A1640" s="4"/>
      <c r="B1640" s="4"/>
      <c r="C1640" s="4" t="s">
        <v>7006</v>
      </c>
      <c r="D1640" s="4" t="s">
        <v>5313</v>
      </c>
      <c r="E1640" s="6">
        <v>3930000.0</v>
      </c>
    </row>
    <row r="1641" ht="15.75" customHeight="1">
      <c r="A1641" s="4"/>
      <c r="B1641" s="4"/>
      <c r="C1641" s="4" t="s">
        <v>7007</v>
      </c>
      <c r="D1641" s="4" t="s">
        <v>5313</v>
      </c>
      <c r="E1641" s="6">
        <v>4110000.0</v>
      </c>
    </row>
    <row r="1642" ht="15.75" customHeight="1">
      <c r="A1642" s="4" t="s">
        <v>6453</v>
      </c>
      <c r="B1642" s="4"/>
      <c r="C1642" s="4" t="s">
        <v>7008</v>
      </c>
      <c r="D1642" s="4" t="s">
        <v>43</v>
      </c>
      <c r="E1642" s="6">
        <v>70100.0</v>
      </c>
    </row>
    <row r="1643" ht="15.75" customHeight="1">
      <c r="A1643" s="4" t="s">
        <v>6454</v>
      </c>
      <c r="B1643" s="4"/>
      <c r="C1643" s="4" t="s">
        <v>7009</v>
      </c>
      <c r="D1643" s="4" t="s">
        <v>43</v>
      </c>
      <c r="E1643" s="6">
        <v>53300.0</v>
      </c>
    </row>
    <row r="1644" ht="15.75" customHeight="1">
      <c r="A1644" s="4" t="s">
        <v>6457</v>
      </c>
      <c r="B1644" s="4"/>
      <c r="C1644" s="4" t="s">
        <v>7010</v>
      </c>
      <c r="D1644" s="4" t="s">
        <v>43</v>
      </c>
      <c r="E1644" s="6">
        <v>150000.0</v>
      </c>
    </row>
    <row r="1645" ht="15.75" customHeight="1">
      <c r="A1645" s="4" t="s">
        <v>6459</v>
      </c>
      <c r="B1645" s="4"/>
      <c r="C1645" s="4" t="s">
        <v>7011</v>
      </c>
      <c r="D1645" s="4" t="s">
        <v>43</v>
      </c>
      <c r="E1645" s="6">
        <v>150000.0</v>
      </c>
    </row>
    <row r="1646" ht="15.75" customHeight="1">
      <c r="A1646" s="4" t="s">
        <v>6582</v>
      </c>
      <c r="B1646" s="4"/>
      <c r="C1646" s="4" t="s">
        <v>7012</v>
      </c>
      <c r="D1646" s="4" t="s">
        <v>43</v>
      </c>
      <c r="E1646" s="6">
        <v>456800.0</v>
      </c>
    </row>
    <row r="1647" ht="15.75" customHeight="1">
      <c r="A1647" s="4" t="s">
        <v>6584</v>
      </c>
      <c r="B1647" s="4"/>
      <c r="C1647" s="4" t="s">
        <v>7013</v>
      </c>
      <c r="D1647" s="4" t="s">
        <v>43</v>
      </c>
      <c r="E1647" s="6">
        <v>325100.0</v>
      </c>
    </row>
    <row r="1648" ht="15.75" customHeight="1">
      <c r="A1648" s="4" t="s">
        <v>6586</v>
      </c>
      <c r="B1648" s="4"/>
      <c r="C1648" s="4" t="s">
        <v>7014</v>
      </c>
      <c r="D1648" s="4" t="s">
        <v>2955</v>
      </c>
      <c r="E1648" s="6">
        <v>321900.0</v>
      </c>
    </row>
    <row r="1649" ht="15.75" customHeight="1">
      <c r="A1649" s="4"/>
      <c r="B1649" s="4"/>
      <c r="C1649" s="4" t="s">
        <v>7015</v>
      </c>
      <c r="D1649" s="4"/>
      <c r="E1649" s="6"/>
    </row>
    <row r="1650" ht="15.75" customHeight="1">
      <c r="A1650" s="4" t="s">
        <v>5212</v>
      </c>
      <c r="B1650" s="4"/>
      <c r="C1650" s="4" t="s">
        <v>7016</v>
      </c>
      <c r="D1650" s="4" t="s">
        <v>6682</v>
      </c>
      <c r="E1650" s="6">
        <v>7800.0</v>
      </c>
    </row>
    <row r="1651" ht="15.75" customHeight="1">
      <c r="A1651" s="4" t="s">
        <v>353</v>
      </c>
      <c r="B1651" s="4"/>
      <c r="C1651" s="4" t="s">
        <v>7017</v>
      </c>
      <c r="D1651" s="4" t="s">
        <v>6682</v>
      </c>
      <c r="E1651" s="6">
        <v>8100.0</v>
      </c>
    </row>
    <row r="1652" ht="15.75" customHeight="1">
      <c r="A1652" s="4" t="s">
        <v>791</v>
      </c>
      <c r="B1652" s="4"/>
      <c r="C1652" s="4" t="s">
        <v>7018</v>
      </c>
      <c r="D1652" s="4" t="s">
        <v>116</v>
      </c>
      <c r="E1652" s="6">
        <v>2.0E7</v>
      </c>
    </row>
    <row r="1653" ht="15.75" customHeight="1">
      <c r="A1653" s="4" t="s">
        <v>1626</v>
      </c>
      <c r="B1653" s="4"/>
      <c r="C1653" s="4" t="s">
        <v>7019</v>
      </c>
      <c r="D1653" s="4" t="s">
        <v>389</v>
      </c>
      <c r="E1653" s="6">
        <v>20000.0</v>
      </c>
    </row>
    <row r="1654" ht="15.75" customHeight="1">
      <c r="A1654" s="4" t="s">
        <v>2310</v>
      </c>
      <c r="B1654" s="4"/>
      <c r="C1654" s="4" t="s">
        <v>7020</v>
      </c>
      <c r="D1654" s="4" t="s">
        <v>6682</v>
      </c>
      <c r="E1654" s="6">
        <v>50000.0</v>
      </c>
    </row>
    <row r="1655" ht="15.75" customHeight="1">
      <c r="A1655" s="4" t="s">
        <v>3568</v>
      </c>
      <c r="B1655" s="4"/>
      <c r="C1655" s="4" t="s">
        <v>7021</v>
      </c>
      <c r="D1655" s="4" t="s">
        <v>6682</v>
      </c>
      <c r="E1655" s="6">
        <v>16800.0</v>
      </c>
    </row>
    <row r="1656" ht="15.75" customHeight="1">
      <c r="A1656" s="4" t="s">
        <v>4362</v>
      </c>
      <c r="B1656" s="4"/>
      <c r="C1656" s="4" t="s">
        <v>7022</v>
      </c>
      <c r="D1656" s="4" t="s">
        <v>389</v>
      </c>
      <c r="E1656" s="6">
        <v>24000.0</v>
      </c>
    </row>
    <row r="1657" ht="15.75" customHeight="1">
      <c r="A1657" s="4" t="s">
        <v>4423</v>
      </c>
      <c r="B1657" s="4"/>
      <c r="C1657" s="4" t="s">
        <v>7023</v>
      </c>
      <c r="D1657" s="4" t="s">
        <v>6682</v>
      </c>
      <c r="E1657" s="6">
        <v>28000.0</v>
      </c>
    </row>
    <row r="1658" ht="15.75" customHeight="1">
      <c r="A1658" s="4" t="s">
        <v>4626</v>
      </c>
      <c r="B1658" s="4"/>
      <c r="C1658" s="4" t="s">
        <v>7024</v>
      </c>
      <c r="D1658" s="4" t="s">
        <v>6682</v>
      </c>
      <c r="E1658" s="6">
        <v>15300.0</v>
      </c>
    </row>
    <row r="1659" ht="15.75" customHeight="1">
      <c r="A1659" s="4" t="s">
        <v>5171</v>
      </c>
      <c r="B1659" s="4"/>
      <c r="C1659" s="4" t="s">
        <v>7025</v>
      </c>
      <c r="D1659" s="4" t="s">
        <v>6682</v>
      </c>
      <c r="E1659" s="6">
        <v>31300.0</v>
      </c>
    </row>
    <row r="1660" ht="15.75" customHeight="1">
      <c r="A1660" s="4" t="s">
        <v>5229</v>
      </c>
      <c r="B1660" s="4"/>
      <c r="C1660" s="4" t="s">
        <v>7026</v>
      </c>
      <c r="D1660" s="4" t="s">
        <v>6682</v>
      </c>
      <c r="E1660" s="6">
        <v>30300.0</v>
      </c>
    </row>
    <row r="1661" ht="15.75" customHeight="1">
      <c r="A1661" s="4" t="s">
        <v>5231</v>
      </c>
      <c r="B1661" s="4"/>
      <c r="C1661" s="4" t="s">
        <v>7027</v>
      </c>
      <c r="D1661" s="4" t="s">
        <v>6682</v>
      </c>
      <c r="E1661" s="6">
        <v>9400.0</v>
      </c>
    </row>
    <row r="1662" ht="15.75" customHeight="1">
      <c r="A1662" s="4" t="s">
        <v>5233</v>
      </c>
      <c r="B1662" s="4"/>
      <c r="C1662" s="4" t="s">
        <v>7028</v>
      </c>
      <c r="D1662" s="4" t="s">
        <v>6682</v>
      </c>
      <c r="E1662" s="6">
        <v>21000.0</v>
      </c>
    </row>
    <row r="1663" ht="15.75" customHeight="1">
      <c r="A1663" s="4" t="s">
        <v>5235</v>
      </c>
      <c r="B1663" s="4"/>
      <c r="C1663" s="4" t="s">
        <v>7029</v>
      </c>
      <c r="D1663" s="4" t="s">
        <v>6682</v>
      </c>
      <c r="E1663" s="6">
        <v>6500.0</v>
      </c>
    </row>
    <row r="1664" ht="15.75" customHeight="1">
      <c r="A1664" s="4" t="s">
        <v>5237</v>
      </c>
      <c r="B1664" s="4"/>
      <c r="C1664" s="4" t="s">
        <v>7030</v>
      </c>
      <c r="D1664" s="4" t="s">
        <v>6682</v>
      </c>
      <c r="E1664" s="6">
        <v>8800.0</v>
      </c>
    </row>
    <row r="1665" ht="15.75" customHeight="1">
      <c r="A1665" s="4" t="s">
        <v>5272</v>
      </c>
      <c r="B1665" s="4"/>
      <c r="C1665" s="4" t="s">
        <v>7031</v>
      </c>
      <c r="D1665" s="4" t="s">
        <v>6682</v>
      </c>
      <c r="E1665" s="6">
        <v>51000.0</v>
      </c>
    </row>
    <row r="1666" ht="15.75" customHeight="1">
      <c r="A1666" s="4" t="s">
        <v>5274</v>
      </c>
      <c r="B1666" s="4"/>
      <c r="C1666" s="4" t="s">
        <v>7032</v>
      </c>
      <c r="D1666" s="4" t="s">
        <v>6682</v>
      </c>
      <c r="E1666" s="6">
        <v>29200.0</v>
      </c>
    </row>
    <row r="1667" ht="15.75" customHeight="1">
      <c r="A1667" s="4" t="s">
        <v>5276</v>
      </c>
      <c r="B1667" s="4"/>
      <c r="C1667" s="4" t="s">
        <v>7033</v>
      </c>
      <c r="D1667" s="4" t="s">
        <v>6682</v>
      </c>
      <c r="E1667" s="6">
        <v>21800.0</v>
      </c>
    </row>
    <row r="1668" ht="15.75" customHeight="1">
      <c r="A1668" s="4" t="s">
        <v>5278</v>
      </c>
      <c r="B1668" s="4"/>
      <c r="C1668" s="4" t="s">
        <v>7034</v>
      </c>
      <c r="D1668" s="4" t="s">
        <v>6682</v>
      </c>
      <c r="E1668" s="6">
        <v>18800.0</v>
      </c>
    </row>
    <row r="1669" ht="15.75" customHeight="1">
      <c r="A1669" s="4"/>
      <c r="B1669" s="4"/>
      <c r="C1669" s="4" t="s">
        <v>7035</v>
      </c>
      <c r="D1669" s="4"/>
      <c r="E1669" s="6"/>
    </row>
    <row r="1670" ht="15.75" customHeight="1">
      <c r="A1670" s="4" t="s">
        <v>5212</v>
      </c>
      <c r="B1670" s="4"/>
      <c r="C1670" s="4" t="s">
        <v>7036</v>
      </c>
      <c r="D1670" s="4" t="s">
        <v>36</v>
      </c>
      <c r="E1670" s="6">
        <v>225800.0</v>
      </c>
    </row>
    <row r="1671" ht="15.75" customHeight="1">
      <c r="A1671" s="4" t="s">
        <v>353</v>
      </c>
      <c r="B1671" s="4"/>
      <c r="C1671" s="4" t="s">
        <v>7037</v>
      </c>
      <c r="D1671" s="4" t="s">
        <v>5445</v>
      </c>
      <c r="E1671" s="6">
        <v>200000.0</v>
      </c>
    </row>
    <row r="1672" ht="15.75" customHeight="1">
      <c r="A1672" s="4" t="s">
        <v>791</v>
      </c>
      <c r="B1672" s="4"/>
      <c r="C1672" s="4" t="s">
        <v>7038</v>
      </c>
      <c r="D1672" s="4" t="s">
        <v>27</v>
      </c>
      <c r="E1672" s="6">
        <v>50000.0</v>
      </c>
    </row>
    <row r="1673" ht="15.75" customHeight="1">
      <c r="A1673" s="4" t="s">
        <v>1626</v>
      </c>
      <c r="B1673" s="4"/>
      <c r="C1673" s="4" t="s">
        <v>7039</v>
      </c>
      <c r="D1673" s="4" t="s">
        <v>389</v>
      </c>
      <c r="E1673" s="6">
        <v>40200.0</v>
      </c>
    </row>
    <row r="1674" ht="15.75" customHeight="1">
      <c r="A1674" s="4" t="s">
        <v>2310</v>
      </c>
      <c r="B1674" s="4"/>
      <c r="C1674" s="4" t="s">
        <v>6251</v>
      </c>
      <c r="D1674" s="4" t="s">
        <v>389</v>
      </c>
      <c r="E1674" s="6">
        <v>34500.0</v>
      </c>
    </row>
    <row r="1675" ht="15.75" customHeight="1">
      <c r="A1675" s="4" t="s">
        <v>3568</v>
      </c>
      <c r="B1675" s="4"/>
      <c r="C1675" s="4" t="s">
        <v>7040</v>
      </c>
      <c r="D1675" s="4" t="s">
        <v>7041</v>
      </c>
      <c r="E1675" s="6">
        <v>1055700.0</v>
      </c>
    </row>
    <row r="1676" ht="15.75" customHeight="1">
      <c r="A1676" s="4" t="s">
        <v>4362</v>
      </c>
      <c r="B1676" s="4"/>
      <c r="C1676" s="4" t="s">
        <v>7042</v>
      </c>
      <c r="D1676" s="4" t="s">
        <v>7041</v>
      </c>
      <c r="E1676" s="6">
        <v>1508800.0</v>
      </c>
    </row>
    <row r="1677" ht="15.75" customHeight="1">
      <c r="A1677" s="4" t="s">
        <v>4423</v>
      </c>
      <c r="B1677" s="4"/>
      <c r="C1677" s="4" t="s">
        <v>7043</v>
      </c>
      <c r="D1677" s="4" t="s">
        <v>7041</v>
      </c>
      <c r="E1677" s="6">
        <v>422000.0</v>
      </c>
    </row>
    <row r="1678" ht="15.75" customHeight="1">
      <c r="A1678" s="4" t="s">
        <v>4626</v>
      </c>
      <c r="B1678" s="4"/>
      <c r="C1678" s="4" t="s">
        <v>7044</v>
      </c>
      <c r="D1678" s="4" t="s">
        <v>27</v>
      </c>
      <c r="E1678" s="6">
        <v>10700.0</v>
      </c>
    </row>
    <row r="1679" ht="15.75" customHeight="1">
      <c r="A1679" s="4" t="s">
        <v>5171</v>
      </c>
      <c r="B1679" s="4"/>
      <c r="C1679" s="4" t="s">
        <v>7045</v>
      </c>
      <c r="D1679" s="4" t="s">
        <v>27</v>
      </c>
      <c r="E1679" s="6">
        <v>13600.0</v>
      </c>
    </row>
    <row r="1680" ht="15.75" customHeight="1">
      <c r="A1680" s="4" t="s">
        <v>5229</v>
      </c>
      <c r="B1680" s="4"/>
      <c r="C1680" s="4" t="s">
        <v>7046</v>
      </c>
      <c r="D1680" s="4" t="s">
        <v>389</v>
      </c>
      <c r="E1680" s="6">
        <v>50600.0</v>
      </c>
    </row>
    <row r="1681" ht="15.75" customHeight="1">
      <c r="A1681" s="4" t="s">
        <v>5231</v>
      </c>
      <c r="B1681" s="4"/>
      <c r="C1681" s="4" t="s">
        <v>7047</v>
      </c>
      <c r="D1681" s="4" t="s">
        <v>2608</v>
      </c>
      <c r="E1681" s="6">
        <v>475000.0</v>
      </c>
    </row>
    <row r="1682" ht="15.75" customHeight="1">
      <c r="A1682" s="4"/>
      <c r="B1682" s="4"/>
      <c r="C1682" s="4" t="s">
        <v>7048</v>
      </c>
      <c r="D1682" s="4" t="s">
        <v>5313</v>
      </c>
      <c r="E1682" s="6">
        <v>1043100.0</v>
      </c>
    </row>
    <row r="1683" ht="15.75" customHeight="1">
      <c r="A1683" s="4"/>
      <c r="B1683" s="4"/>
      <c r="C1683" s="4" t="s">
        <v>7049</v>
      </c>
      <c r="D1683" s="4" t="s">
        <v>5313</v>
      </c>
      <c r="E1683" s="6">
        <v>730000.0</v>
      </c>
    </row>
    <row r="1684" ht="15.75" customHeight="1">
      <c r="A1684" s="4" t="s">
        <v>5233</v>
      </c>
      <c r="B1684" s="4"/>
      <c r="C1684" s="4" t="s">
        <v>7050</v>
      </c>
      <c r="D1684" s="4" t="s">
        <v>27</v>
      </c>
      <c r="E1684" s="6">
        <v>38333.0</v>
      </c>
    </row>
    <row r="1685" ht="15.75" customHeight="1">
      <c r="A1685" s="4"/>
      <c r="B1685" s="4"/>
      <c r="C1685" s="4" t="s">
        <v>7051</v>
      </c>
      <c r="D1685" s="4" t="s">
        <v>27</v>
      </c>
      <c r="E1685" s="6">
        <v>39000.0</v>
      </c>
    </row>
    <row r="1686" ht="15.75" customHeight="1">
      <c r="A1686" s="4" t="s">
        <v>5235</v>
      </c>
      <c r="B1686" s="4"/>
      <c r="C1686" s="4" t="s">
        <v>7052</v>
      </c>
      <c r="D1686" s="4" t="s">
        <v>7041</v>
      </c>
      <c r="E1686" s="6">
        <v>102300.0</v>
      </c>
    </row>
    <row r="1687" ht="15.75" customHeight="1">
      <c r="A1687" s="4" t="s">
        <v>5237</v>
      </c>
      <c r="B1687" s="4"/>
      <c r="C1687" s="4" t="s">
        <v>7053</v>
      </c>
      <c r="D1687" s="4" t="s">
        <v>389</v>
      </c>
      <c r="E1687" s="6">
        <v>67800.0</v>
      </c>
    </row>
    <row r="1688" ht="15.75" customHeight="1">
      <c r="A1688" s="4" t="s">
        <v>5272</v>
      </c>
      <c r="B1688" s="4"/>
      <c r="C1688" s="4" t="s">
        <v>7054</v>
      </c>
      <c r="D1688" s="4" t="s">
        <v>27</v>
      </c>
      <c r="E1688" s="6">
        <v>7500.0</v>
      </c>
    </row>
    <row r="1689" ht="15.75" customHeight="1">
      <c r="A1689" s="4"/>
      <c r="B1689" s="4"/>
      <c r="C1689" s="4" t="s">
        <v>7055</v>
      </c>
      <c r="D1689" s="4" t="s">
        <v>27</v>
      </c>
      <c r="E1689" s="6">
        <v>7500.0</v>
      </c>
    </row>
    <row r="1690" ht="15.75" customHeight="1">
      <c r="A1690" s="4" t="s">
        <v>5274</v>
      </c>
      <c r="B1690" s="4"/>
      <c r="C1690" s="4" t="s">
        <v>7056</v>
      </c>
      <c r="D1690" s="4" t="s">
        <v>27</v>
      </c>
      <c r="E1690" s="6">
        <v>10700.0</v>
      </c>
    </row>
    <row r="1691" ht="15.75" customHeight="1">
      <c r="A1691" s="4" t="s">
        <v>5276</v>
      </c>
      <c r="B1691" s="4"/>
      <c r="C1691" s="4" t="s">
        <v>7057</v>
      </c>
      <c r="D1691" s="4" t="s">
        <v>36</v>
      </c>
      <c r="E1691" s="6">
        <v>600000.0</v>
      </c>
    </row>
    <row r="1692" ht="15.75" customHeight="1">
      <c r="A1692" s="4"/>
      <c r="B1692" s="4"/>
      <c r="C1692" s="4" t="s">
        <v>7058</v>
      </c>
      <c r="D1692" s="4" t="s">
        <v>5313</v>
      </c>
      <c r="E1692" s="6">
        <v>49500.0</v>
      </c>
    </row>
    <row r="1693" ht="15.75" customHeight="1">
      <c r="A1693" s="4" t="s">
        <v>5278</v>
      </c>
      <c r="B1693" s="4"/>
      <c r="C1693" s="4" t="s">
        <v>7059</v>
      </c>
      <c r="D1693" s="4" t="s">
        <v>7041</v>
      </c>
      <c r="E1693" s="6">
        <v>343800.0</v>
      </c>
    </row>
    <row r="1694" ht="15.75" customHeight="1">
      <c r="A1694" s="4" t="s">
        <v>5280</v>
      </c>
      <c r="B1694" s="4"/>
      <c r="C1694" s="4" t="s">
        <v>7060</v>
      </c>
      <c r="D1694" s="4" t="s">
        <v>7041</v>
      </c>
      <c r="E1694" s="6">
        <v>301300.0</v>
      </c>
    </row>
    <row r="1695" ht="15.75" customHeight="1">
      <c r="A1695" s="4" t="s">
        <v>5250</v>
      </c>
      <c r="B1695" s="4"/>
      <c r="C1695" s="4" t="s">
        <v>7061</v>
      </c>
      <c r="D1695" s="4" t="s">
        <v>7041</v>
      </c>
      <c r="E1695" s="6">
        <v>542800.0</v>
      </c>
    </row>
    <row r="1696" ht="15.75" customHeight="1">
      <c r="A1696" s="4" t="s">
        <v>5268</v>
      </c>
      <c r="B1696" s="4"/>
      <c r="C1696" s="4" t="s">
        <v>7062</v>
      </c>
      <c r="D1696" s="4" t="s">
        <v>27</v>
      </c>
      <c r="E1696" s="6">
        <v>107000.0</v>
      </c>
    </row>
    <row r="1697" ht="15.75" customHeight="1">
      <c r="A1697" s="4"/>
      <c r="B1697" s="4"/>
      <c r="C1697" s="4" t="s">
        <v>7063</v>
      </c>
      <c r="D1697" s="4" t="s">
        <v>7064</v>
      </c>
      <c r="E1697" s="6">
        <v>270000.0</v>
      </c>
    </row>
    <row r="1698" ht="15.75" customHeight="1">
      <c r="A1698" s="4" t="s">
        <v>5282</v>
      </c>
      <c r="B1698" s="4"/>
      <c r="C1698" s="4" t="s">
        <v>7065</v>
      </c>
      <c r="D1698" s="4" t="s">
        <v>7041</v>
      </c>
      <c r="E1698" s="6">
        <v>905000.0</v>
      </c>
    </row>
    <row r="1699" ht="15.75" customHeight="1">
      <c r="A1699" s="4" t="s">
        <v>5256</v>
      </c>
      <c r="B1699" s="4"/>
      <c r="C1699" s="4" t="s">
        <v>7066</v>
      </c>
      <c r="D1699" s="4" t="s">
        <v>7041</v>
      </c>
      <c r="E1699" s="6">
        <v>693400.0</v>
      </c>
    </row>
    <row r="1700" ht="15.75" customHeight="1">
      <c r="A1700" s="4" t="s">
        <v>5259</v>
      </c>
      <c r="B1700" s="4"/>
      <c r="C1700" s="4" t="s">
        <v>7067</v>
      </c>
      <c r="D1700" s="4" t="s">
        <v>7041</v>
      </c>
      <c r="E1700" s="6">
        <v>16100.0</v>
      </c>
    </row>
    <row r="1701" ht="15.75" customHeight="1">
      <c r="A1701" s="4" t="s">
        <v>5284</v>
      </c>
      <c r="B1701" s="4"/>
      <c r="C1701" s="4" t="s">
        <v>7068</v>
      </c>
      <c r="D1701" s="4" t="s">
        <v>7041</v>
      </c>
      <c r="E1701" s="6">
        <v>19500.0</v>
      </c>
    </row>
    <row r="1702" ht="15.75" customHeight="1">
      <c r="A1702" s="4" t="s">
        <v>5286</v>
      </c>
      <c r="B1702" s="4"/>
      <c r="C1702" s="4" t="s">
        <v>7069</v>
      </c>
      <c r="D1702" s="4" t="s">
        <v>7041</v>
      </c>
      <c r="E1702" s="6">
        <v>19500.0</v>
      </c>
    </row>
    <row r="1703" ht="15.75" customHeight="1">
      <c r="A1703" s="4"/>
      <c r="B1703" s="4"/>
      <c r="C1703" s="4" t="s">
        <v>7070</v>
      </c>
      <c r="D1703" s="4" t="s">
        <v>5313</v>
      </c>
      <c r="E1703" s="6">
        <v>20000.0</v>
      </c>
    </row>
    <row r="1704" ht="15.75" customHeight="1">
      <c r="A1704" s="4"/>
      <c r="B1704" s="4"/>
      <c r="C1704" s="4" t="s">
        <v>7071</v>
      </c>
      <c r="D1704" s="4" t="s">
        <v>5313</v>
      </c>
      <c r="E1704" s="6">
        <v>22000.0</v>
      </c>
    </row>
    <row r="1705" ht="15.75" customHeight="1">
      <c r="A1705" s="4"/>
      <c r="B1705" s="4"/>
      <c r="C1705" s="4" t="s">
        <v>7072</v>
      </c>
      <c r="D1705" s="4" t="s">
        <v>5313</v>
      </c>
      <c r="E1705" s="6">
        <v>23000.0</v>
      </c>
    </row>
    <row r="1706" ht="15.75" customHeight="1">
      <c r="A1706" s="4"/>
      <c r="B1706" s="4"/>
      <c r="C1706" s="4" t="s">
        <v>7073</v>
      </c>
      <c r="D1706" s="4" t="s">
        <v>5313</v>
      </c>
      <c r="E1706" s="6">
        <v>2500.0</v>
      </c>
    </row>
    <row r="1707" ht="15.75" customHeight="1">
      <c r="A1707" s="4" t="s">
        <v>5253</v>
      </c>
      <c r="B1707" s="4"/>
      <c r="C1707" s="4" t="s">
        <v>7074</v>
      </c>
      <c r="D1707" s="4" t="s">
        <v>389</v>
      </c>
      <c r="E1707" s="6">
        <v>210400.0</v>
      </c>
    </row>
    <row r="1708" ht="15.75" customHeight="1">
      <c r="A1708" s="4" t="s">
        <v>5288</v>
      </c>
      <c r="B1708" s="4"/>
      <c r="C1708" s="4" t="s">
        <v>7075</v>
      </c>
      <c r="D1708" s="4" t="s">
        <v>389</v>
      </c>
      <c r="E1708" s="6">
        <v>210400.0</v>
      </c>
    </row>
    <row r="1709" ht="15.75" customHeight="1">
      <c r="A1709" s="4" t="s">
        <v>5262</v>
      </c>
      <c r="B1709" s="4"/>
      <c r="C1709" s="4" t="s">
        <v>7076</v>
      </c>
      <c r="D1709" s="4" t="s">
        <v>7041</v>
      </c>
      <c r="E1709" s="6">
        <v>102300.0</v>
      </c>
    </row>
    <row r="1710" ht="15.75" customHeight="1">
      <c r="A1710" s="4" t="s">
        <v>5265</v>
      </c>
      <c r="B1710" s="4"/>
      <c r="C1710" s="4" t="s">
        <v>7077</v>
      </c>
      <c r="D1710" s="4" t="s">
        <v>7041</v>
      </c>
      <c r="E1710" s="6">
        <v>542800.0</v>
      </c>
    </row>
    <row r="1711" ht="15.75" customHeight="1">
      <c r="A1711" s="4" t="s">
        <v>5290</v>
      </c>
      <c r="B1711" s="4"/>
      <c r="C1711" s="4" t="s">
        <v>7078</v>
      </c>
      <c r="D1711" s="4" t="s">
        <v>27</v>
      </c>
      <c r="E1711" s="6">
        <v>73600.0</v>
      </c>
    </row>
    <row r="1712" ht="15.75" customHeight="1">
      <c r="A1712" s="4" t="s">
        <v>5342</v>
      </c>
      <c r="B1712" s="4"/>
      <c r="C1712" s="4" t="s">
        <v>7079</v>
      </c>
      <c r="D1712" s="4" t="s">
        <v>2608</v>
      </c>
      <c r="E1712" s="6">
        <v>1500000.0</v>
      </c>
    </row>
    <row r="1713" ht="15.75" customHeight="1">
      <c r="A1713" s="4" t="s">
        <v>5346</v>
      </c>
      <c r="B1713" s="4"/>
      <c r="C1713" s="4" t="s">
        <v>7080</v>
      </c>
      <c r="D1713" s="4" t="s">
        <v>36</v>
      </c>
      <c r="E1713" s="6">
        <v>494200.0</v>
      </c>
    </row>
    <row r="1714" ht="15.75" customHeight="1">
      <c r="A1714" s="4" t="s">
        <v>5348</v>
      </c>
      <c r="B1714" s="4"/>
      <c r="C1714" s="4" t="s">
        <v>7081</v>
      </c>
      <c r="D1714" s="4" t="s">
        <v>36</v>
      </c>
      <c r="E1714" s="6">
        <v>750000.0</v>
      </c>
    </row>
    <row r="1715" ht="15.75" customHeight="1">
      <c r="A1715" s="4" t="s">
        <v>5350</v>
      </c>
      <c r="B1715" s="4"/>
      <c r="C1715" s="4" t="s">
        <v>7082</v>
      </c>
      <c r="D1715" s="4" t="s">
        <v>389</v>
      </c>
      <c r="E1715" s="6">
        <v>210400.0</v>
      </c>
    </row>
    <row r="1716" ht="15.75" customHeight="1">
      <c r="A1716" s="4" t="s">
        <v>5352</v>
      </c>
      <c r="B1716" s="4"/>
      <c r="C1716" s="4" t="s">
        <v>7083</v>
      </c>
      <c r="D1716" s="4" t="s">
        <v>389</v>
      </c>
      <c r="E1716" s="6">
        <v>34500.0</v>
      </c>
    </row>
    <row r="1717" ht="15.75" customHeight="1">
      <c r="A1717" s="4" t="s">
        <v>5354</v>
      </c>
      <c r="B1717" s="4"/>
      <c r="C1717" s="4" t="s">
        <v>7084</v>
      </c>
      <c r="D1717" s="4" t="s">
        <v>27</v>
      </c>
      <c r="E1717" s="6">
        <v>130000.0</v>
      </c>
    </row>
    <row r="1718" ht="15.75" customHeight="1">
      <c r="A1718" s="4" t="s">
        <v>5356</v>
      </c>
      <c r="B1718" s="4"/>
      <c r="C1718" s="4" t="s">
        <v>7085</v>
      </c>
      <c r="D1718" s="4" t="s">
        <v>27</v>
      </c>
      <c r="E1718" s="6">
        <v>15000.0</v>
      </c>
    </row>
    <row r="1719" ht="15.75" customHeight="1">
      <c r="A1719" s="4" t="s">
        <v>5359</v>
      </c>
      <c r="B1719" s="4"/>
      <c r="C1719" s="4" t="s">
        <v>7086</v>
      </c>
      <c r="D1719" s="4" t="s">
        <v>27</v>
      </c>
      <c r="E1719" s="6">
        <v>60000.0</v>
      </c>
    </row>
    <row r="1720" ht="15.75" customHeight="1">
      <c r="A1720" s="4" t="s">
        <v>5361</v>
      </c>
      <c r="B1720" s="4"/>
      <c r="C1720" s="4" t="s">
        <v>7087</v>
      </c>
      <c r="D1720" s="4" t="s">
        <v>27</v>
      </c>
      <c r="E1720" s="6">
        <v>16200.0</v>
      </c>
    </row>
    <row r="1721" ht="15.75" customHeight="1">
      <c r="A1721" s="4" t="s">
        <v>5363</v>
      </c>
      <c r="B1721" s="4"/>
      <c r="C1721" s="4" t="s">
        <v>7088</v>
      </c>
      <c r="D1721" s="4" t="s">
        <v>27</v>
      </c>
      <c r="E1721" s="6">
        <v>19000.0</v>
      </c>
    </row>
    <row r="1722" ht="15.75" customHeight="1">
      <c r="A1722" s="4" t="s">
        <v>5365</v>
      </c>
      <c r="B1722" s="4"/>
      <c r="C1722" s="4" t="s">
        <v>7089</v>
      </c>
      <c r="D1722" s="4" t="s">
        <v>7041</v>
      </c>
      <c r="E1722" s="6">
        <v>1025800.0</v>
      </c>
    </row>
    <row r="1723" ht="15.75" customHeight="1">
      <c r="A1723" s="4" t="s">
        <v>5367</v>
      </c>
      <c r="B1723" s="4"/>
      <c r="C1723" s="4" t="s">
        <v>7090</v>
      </c>
      <c r="D1723" s="4" t="s">
        <v>7041</v>
      </c>
      <c r="E1723" s="6">
        <v>1750300.0</v>
      </c>
    </row>
    <row r="1724" ht="15.75" customHeight="1">
      <c r="A1724" s="4" t="s">
        <v>5369</v>
      </c>
      <c r="B1724" s="4"/>
      <c r="C1724" s="4" t="s">
        <v>7091</v>
      </c>
      <c r="D1724" s="4" t="s">
        <v>36</v>
      </c>
      <c r="E1724" s="6">
        <v>600600.0</v>
      </c>
    </row>
    <row r="1725" ht="15.75" customHeight="1">
      <c r="A1725" s="4" t="s">
        <v>5372</v>
      </c>
      <c r="B1725" s="4"/>
      <c r="C1725" s="4" t="s">
        <v>7092</v>
      </c>
      <c r="D1725" s="4" t="s">
        <v>36</v>
      </c>
      <c r="E1725" s="6">
        <v>509100.0</v>
      </c>
    </row>
    <row r="1726" ht="15.75" customHeight="1">
      <c r="A1726" s="4" t="s">
        <v>5374</v>
      </c>
      <c r="B1726" s="4"/>
      <c r="C1726" s="4" t="s">
        <v>7093</v>
      </c>
      <c r="D1726" s="4" t="s">
        <v>27</v>
      </c>
      <c r="E1726" s="6">
        <v>1811200.0</v>
      </c>
    </row>
    <row r="1727" ht="15.75" customHeight="1">
      <c r="A1727" s="4" t="s">
        <v>5376</v>
      </c>
      <c r="B1727" s="4"/>
      <c r="C1727" s="4" t="s">
        <v>7094</v>
      </c>
      <c r="D1727" s="4" t="s">
        <v>43</v>
      </c>
      <c r="E1727" s="6">
        <v>456000.0</v>
      </c>
    </row>
    <row r="1728" ht="15.75" customHeight="1">
      <c r="A1728" s="4" t="s">
        <v>5378</v>
      </c>
      <c r="B1728" s="4"/>
      <c r="C1728" s="4" t="s">
        <v>7095</v>
      </c>
      <c r="D1728" s="4" t="s">
        <v>27</v>
      </c>
      <c r="E1728" s="6">
        <v>2750000.0</v>
      </c>
    </row>
    <row r="1729" ht="15.75" customHeight="1">
      <c r="A1729" s="4" t="s">
        <v>5380</v>
      </c>
      <c r="B1729" s="4"/>
      <c r="C1729" s="4" t="s">
        <v>7096</v>
      </c>
      <c r="D1729" s="4" t="s">
        <v>27</v>
      </c>
      <c r="E1729" s="6">
        <v>3150000.0</v>
      </c>
    </row>
    <row r="1730" ht="15.75" customHeight="1">
      <c r="A1730" s="4" t="s">
        <v>5382</v>
      </c>
      <c r="B1730" s="4"/>
      <c r="C1730" s="4" t="s">
        <v>7097</v>
      </c>
      <c r="D1730" s="4" t="s">
        <v>27</v>
      </c>
      <c r="E1730" s="6">
        <v>3500000.0</v>
      </c>
    </row>
    <row r="1731" ht="15.75" customHeight="1">
      <c r="A1731" s="4" t="s">
        <v>5384</v>
      </c>
      <c r="B1731" s="4"/>
      <c r="C1731" s="4" t="s">
        <v>7098</v>
      </c>
      <c r="D1731" s="4" t="s">
        <v>27</v>
      </c>
      <c r="E1731" s="6">
        <v>3800000.0</v>
      </c>
    </row>
    <row r="1732" ht="15.75" customHeight="1">
      <c r="A1732" s="4" t="s">
        <v>5386</v>
      </c>
      <c r="B1732" s="4"/>
      <c r="C1732" s="4" t="s">
        <v>7099</v>
      </c>
      <c r="D1732" s="4" t="s">
        <v>7041</v>
      </c>
      <c r="E1732" s="6">
        <v>78200.0</v>
      </c>
    </row>
    <row r="1733" ht="15.75" customHeight="1">
      <c r="A1733" s="4" t="s">
        <v>5388</v>
      </c>
      <c r="B1733" s="4"/>
      <c r="C1733" s="4" t="s">
        <v>7100</v>
      </c>
      <c r="D1733" s="4" t="s">
        <v>7041</v>
      </c>
      <c r="E1733" s="6">
        <v>1146500.0</v>
      </c>
    </row>
    <row r="1734" ht="15.75" customHeight="1">
      <c r="A1734" s="4" t="s">
        <v>5390</v>
      </c>
      <c r="B1734" s="4"/>
      <c r="C1734" s="4" t="s">
        <v>7101</v>
      </c>
      <c r="D1734" s="4" t="s">
        <v>7041</v>
      </c>
      <c r="E1734" s="6">
        <v>633600.0</v>
      </c>
    </row>
    <row r="1735" ht="15.75" customHeight="1">
      <c r="A1735" s="4" t="s">
        <v>5392</v>
      </c>
      <c r="B1735" s="4"/>
      <c r="C1735" s="4" t="s">
        <v>7102</v>
      </c>
      <c r="D1735" s="4" t="s">
        <v>36</v>
      </c>
      <c r="E1735" s="6">
        <v>381900.0</v>
      </c>
    </row>
    <row r="1736" ht="15.75" customHeight="1">
      <c r="A1736" s="4" t="s">
        <v>5394</v>
      </c>
      <c r="B1736" s="4"/>
      <c r="C1736" s="4" t="s">
        <v>7103</v>
      </c>
      <c r="D1736" s="4" t="s">
        <v>27</v>
      </c>
      <c r="E1736" s="6">
        <v>53300.0</v>
      </c>
    </row>
    <row r="1737" ht="15.75" customHeight="1">
      <c r="A1737" s="4"/>
      <c r="B1737" s="4"/>
      <c r="C1737" s="4" t="s">
        <v>7104</v>
      </c>
      <c r="D1737" s="4" t="s">
        <v>419</v>
      </c>
      <c r="E1737" s="6">
        <v>75000.0</v>
      </c>
    </row>
    <row r="1738" ht="15.75" customHeight="1">
      <c r="A1738" s="4"/>
      <c r="B1738" s="4"/>
      <c r="C1738" s="4" t="s">
        <v>7105</v>
      </c>
      <c r="D1738" s="4" t="s">
        <v>419</v>
      </c>
      <c r="E1738" s="6">
        <v>133000.0</v>
      </c>
    </row>
    <row r="1739" ht="15.75" customHeight="1">
      <c r="A1739" s="4" t="s">
        <v>5396</v>
      </c>
      <c r="B1739" s="4"/>
      <c r="C1739" s="4" t="s">
        <v>7033</v>
      </c>
      <c r="D1739" s="4" t="s">
        <v>7106</v>
      </c>
      <c r="E1739" s="6">
        <v>35600.0</v>
      </c>
    </row>
    <row r="1740" ht="15.75" customHeight="1">
      <c r="A1740" s="4"/>
      <c r="B1740" s="4"/>
      <c r="C1740" s="4" t="s">
        <v>7107</v>
      </c>
      <c r="D1740" s="4"/>
      <c r="E1740" s="6"/>
    </row>
    <row r="1741" ht="15.75" customHeight="1">
      <c r="A1741" s="4" t="s">
        <v>5212</v>
      </c>
      <c r="B1741" s="4"/>
      <c r="C1741" s="4" t="s">
        <v>7108</v>
      </c>
      <c r="D1741" s="4" t="s">
        <v>43</v>
      </c>
      <c r="E1741" s="6">
        <v>300000.0</v>
      </c>
    </row>
    <row r="1742" ht="15.75" customHeight="1">
      <c r="A1742" s="4" t="s">
        <v>353</v>
      </c>
      <c r="B1742" s="4"/>
      <c r="C1742" s="4" t="s">
        <v>7109</v>
      </c>
      <c r="D1742" s="4" t="s">
        <v>27</v>
      </c>
      <c r="E1742" s="6">
        <v>29000.0</v>
      </c>
    </row>
    <row r="1743" ht="15.75" customHeight="1">
      <c r="A1743" s="4" t="s">
        <v>791</v>
      </c>
      <c r="B1743" s="4"/>
      <c r="C1743" s="4" t="s">
        <v>7110</v>
      </c>
      <c r="D1743" s="4" t="s">
        <v>27</v>
      </c>
      <c r="E1743" s="6">
        <v>33000.0</v>
      </c>
    </row>
    <row r="1744" ht="15.75" customHeight="1">
      <c r="A1744" s="4" t="s">
        <v>1626</v>
      </c>
      <c r="B1744" s="4"/>
      <c r="C1744" s="4" t="s">
        <v>7111</v>
      </c>
      <c r="D1744" s="4" t="s">
        <v>27</v>
      </c>
      <c r="E1744" s="6">
        <v>53000.0</v>
      </c>
    </row>
    <row r="1745" ht="15.75" customHeight="1">
      <c r="A1745" s="4" t="s">
        <v>2310</v>
      </c>
      <c r="B1745" s="4"/>
      <c r="C1745" s="4" t="s">
        <v>7112</v>
      </c>
      <c r="D1745" s="4" t="s">
        <v>27</v>
      </c>
      <c r="E1745" s="6">
        <v>72000.0</v>
      </c>
    </row>
    <row r="1746" ht="15.75" customHeight="1">
      <c r="A1746" s="4" t="s">
        <v>3568</v>
      </c>
      <c r="B1746" s="4"/>
      <c r="C1746" s="4" t="s">
        <v>7113</v>
      </c>
      <c r="D1746" s="4" t="s">
        <v>27</v>
      </c>
      <c r="E1746" s="6">
        <v>12000.0</v>
      </c>
    </row>
    <row r="1747" ht="15.75" customHeight="1">
      <c r="A1747" s="4" t="s">
        <v>4362</v>
      </c>
      <c r="B1747" s="4"/>
      <c r="C1747" s="4" t="s">
        <v>7114</v>
      </c>
      <c r="D1747" s="4" t="s">
        <v>27</v>
      </c>
      <c r="E1747" s="6">
        <v>95500.0</v>
      </c>
    </row>
    <row r="1748" ht="15.75" customHeight="1">
      <c r="A1748" s="4" t="s">
        <v>4423</v>
      </c>
      <c r="B1748" s="4"/>
      <c r="C1748" s="4" t="s">
        <v>7115</v>
      </c>
      <c r="D1748" s="4" t="s">
        <v>27</v>
      </c>
      <c r="E1748" s="6">
        <v>13200.0</v>
      </c>
    </row>
    <row r="1749" ht="15.75" customHeight="1">
      <c r="A1749" s="4"/>
      <c r="B1749" s="4"/>
      <c r="C1749" s="4" t="s">
        <v>7116</v>
      </c>
      <c r="D1749" s="4" t="s">
        <v>27</v>
      </c>
      <c r="E1749" s="6">
        <v>38300.0</v>
      </c>
    </row>
    <row r="1750" ht="15.75" customHeight="1">
      <c r="A1750" s="4" t="s">
        <v>4626</v>
      </c>
      <c r="B1750" s="4"/>
      <c r="C1750" s="4" t="s">
        <v>7117</v>
      </c>
      <c r="D1750" s="4" t="s">
        <v>27</v>
      </c>
      <c r="E1750" s="6">
        <v>136000.0</v>
      </c>
    </row>
    <row r="1751" ht="15.75" customHeight="1">
      <c r="A1751" s="4" t="s">
        <v>5171</v>
      </c>
      <c r="B1751" s="4"/>
      <c r="C1751" s="4" t="s">
        <v>7118</v>
      </c>
      <c r="D1751" s="4" t="s">
        <v>27</v>
      </c>
      <c r="E1751" s="6">
        <v>185000.0</v>
      </c>
    </row>
    <row r="1752" ht="15.75" customHeight="1">
      <c r="A1752" s="4" t="s">
        <v>5229</v>
      </c>
      <c r="B1752" s="4"/>
      <c r="C1752" s="4" t="s">
        <v>7119</v>
      </c>
      <c r="D1752" s="4" t="s">
        <v>27</v>
      </c>
      <c r="E1752" s="6">
        <v>275000.0</v>
      </c>
    </row>
    <row r="1753" ht="15.75" customHeight="1">
      <c r="A1753" s="4" t="s">
        <v>5231</v>
      </c>
      <c r="B1753" s="4"/>
      <c r="C1753" s="4" t="s">
        <v>7120</v>
      </c>
      <c r="D1753" s="4" t="s">
        <v>27</v>
      </c>
      <c r="E1753" s="6">
        <v>23000.0</v>
      </c>
    </row>
    <row r="1754" ht="15.75" customHeight="1">
      <c r="A1754" s="4"/>
      <c r="B1754" s="4"/>
      <c r="C1754" s="4" t="s">
        <v>7121</v>
      </c>
      <c r="D1754" s="4" t="s">
        <v>27</v>
      </c>
      <c r="E1754" s="6">
        <v>27100.0</v>
      </c>
    </row>
    <row r="1755" ht="15.75" customHeight="1">
      <c r="A1755" s="4" t="s">
        <v>5233</v>
      </c>
      <c r="B1755" s="4"/>
      <c r="C1755" s="4" t="s">
        <v>7122</v>
      </c>
      <c r="D1755" s="4" t="s">
        <v>27</v>
      </c>
      <c r="E1755" s="6">
        <v>33500.0</v>
      </c>
    </row>
    <row r="1756" ht="15.75" customHeight="1">
      <c r="A1756" s="4"/>
      <c r="B1756" s="4"/>
      <c r="C1756" s="4" t="s">
        <v>7123</v>
      </c>
      <c r="D1756" s="4" t="s">
        <v>27</v>
      </c>
      <c r="E1756" s="6">
        <v>37600.0</v>
      </c>
    </row>
    <row r="1757" ht="15.75" customHeight="1">
      <c r="A1757" s="4" t="s">
        <v>5235</v>
      </c>
      <c r="B1757" s="4"/>
      <c r="C1757" s="4" t="s">
        <v>2553</v>
      </c>
      <c r="D1757" s="4" t="s">
        <v>27</v>
      </c>
      <c r="E1757" s="6">
        <v>40000.0</v>
      </c>
    </row>
    <row r="1758" ht="15.75" customHeight="1">
      <c r="A1758" s="4" t="s">
        <v>5237</v>
      </c>
      <c r="B1758" s="4"/>
      <c r="C1758" s="4" t="s">
        <v>7124</v>
      </c>
      <c r="D1758" s="4" t="s">
        <v>27</v>
      </c>
      <c r="E1758" s="6">
        <v>1607400.0</v>
      </c>
    </row>
    <row r="1759" ht="15.75" customHeight="1">
      <c r="A1759" s="4" t="s">
        <v>5272</v>
      </c>
      <c r="B1759" s="4"/>
      <c r="C1759" s="4" t="s">
        <v>7125</v>
      </c>
      <c r="D1759" s="4" t="s">
        <v>27</v>
      </c>
      <c r="E1759" s="6">
        <v>90000.0</v>
      </c>
    </row>
    <row r="1760" ht="15.75" customHeight="1">
      <c r="A1760" s="4" t="s">
        <v>5274</v>
      </c>
      <c r="B1760" s="4"/>
      <c r="C1760" s="4" t="s">
        <v>7126</v>
      </c>
      <c r="D1760" s="4" t="s">
        <v>27</v>
      </c>
      <c r="E1760" s="6">
        <v>110000.0</v>
      </c>
    </row>
    <row r="1761" ht="15.75" customHeight="1">
      <c r="A1761" s="4" t="s">
        <v>5259</v>
      </c>
      <c r="B1761" s="4"/>
      <c r="C1761" s="4" t="s">
        <v>7127</v>
      </c>
      <c r="D1761" s="4" t="s">
        <v>27</v>
      </c>
      <c r="E1761" s="6">
        <v>3200.0</v>
      </c>
    </row>
    <row r="1762" ht="15.75" customHeight="1">
      <c r="A1762" s="4" t="s">
        <v>5284</v>
      </c>
      <c r="B1762" s="4"/>
      <c r="C1762" s="4" t="s">
        <v>7128</v>
      </c>
      <c r="D1762" s="4" t="s">
        <v>27</v>
      </c>
      <c r="E1762" s="6">
        <v>20000.0</v>
      </c>
    </row>
    <row r="1763" ht="15.75" customHeight="1">
      <c r="A1763" s="4" t="s">
        <v>5286</v>
      </c>
      <c r="B1763" s="4"/>
      <c r="C1763" s="4" t="s">
        <v>7129</v>
      </c>
      <c r="D1763" s="4" t="s">
        <v>27</v>
      </c>
      <c r="E1763" s="6">
        <v>33000.0</v>
      </c>
    </row>
    <row r="1764" ht="15.75" customHeight="1">
      <c r="A1764" s="4" t="s">
        <v>5253</v>
      </c>
      <c r="B1764" s="4"/>
      <c r="C1764" s="4" t="s">
        <v>7130</v>
      </c>
      <c r="D1764" s="4" t="s">
        <v>27</v>
      </c>
      <c r="E1764" s="6">
        <v>5300.0</v>
      </c>
    </row>
    <row r="1765" ht="15.75" customHeight="1">
      <c r="A1765" s="4" t="s">
        <v>5288</v>
      </c>
      <c r="B1765" s="4"/>
      <c r="C1765" s="4" t="s">
        <v>7131</v>
      </c>
      <c r="D1765" s="4" t="s">
        <v>27</v>
      </c>
      <c r="E1765" s="6">
        <v>8300.0</v>
      </c>
    </row>
    <row r="1766" ht="15.75" customHeight="1">
      <c r="A1766" s="4" t="s">
        <v>5262</v>
      </c>
      <c r="B1766" s="4"/>
      <c r="C1766" s="4" t="s">
        <v>7132</v>
      </c>
      <c r="D1766" s="4" t="s">
        <v>27</v>
      </c>
      <c r="E1766" s="6">
        <v>12200.0</v>
      </c>
    </row>
    <row r="1767" ht="15.75" customHeight="1">
      <c r="A1767" s="4" t="s">
        <v>5265</v>
      </c>
      <c r="B1767" s="4"/>
      <c r="C1767" s="4" t="s">
        <v>7133</v>
      </c>
      <c r="D1767" s="4" t="s">
        <v>27</v>
      </c>
      <c r="E1767" s="6">
        <v>9200.0</v>
      </c>
    </row>
    <row r="1768" ht="15.75" customHeight="1">
      <c r="A1768" s="4" t="s">
        <v>5290</v>
      </c>
      <c r="B1768" s="4"/>
      <c r="C1768" s="4" t="s">
        <v>7134</v>
      </c>
      <c r="D1768" s="4" t="s">
        <v>27</v>
      </c>
      <c r="E1768" s="6">
        <v>14000.0</v>
      </c>
    </row>
    <row r="1769" ht="15.75" customHeight="1">
      <c r="A1769" s="4"/>
      <c r="B1769" s="4"/>
      <c r="C1769" s="4" t="s">
        <v>7135</v>
      </c>
      <c r="D1769" s="4" t="s">
        <v>27</v>
      </c>
      <c r="E1769" s="6">
        <v>19448.0</v>
      </c>
    </row>
    <row r="1770" ht="15.75" customHeight="1">
      <c r="A1770" s="4"/>
      <c r="B1770" s="4"/>
      <c r="C1770" s="4" t="s">
        <v>7136</v>
      </c>
      <c r="D1770" s="4" t="s">
        <v>27</v>
      </c>
      <c r="E1770" s="6">
        <v>51500.0</v>
      </c>
    </row>
    <row r="1771" ht="15.75" customHeight="1">
      <c r="A1771" s="4"/>
      <c r="B1771" s="4"/>
      <c r="C1771" s="4" t="s">
        <v>7137</v>
      </c>
      <c r="D1771" s="4" t="s">
        <v>27</v>
      </c>
      <c r="E1771" s="6">
        <v>71250.0</v>
      </c>
    </row>
    <row r="1772" ht="15.75" customHeight="1">
      <c r="A1772" s="4"/>
      <c r="B1772" s="4"/>
      <c r="C1772" s="4" t="s">
        <v>7138</v>
      </c>
      <c r="D1772" s="4" t="s">
        <v>27</v>
      </c>
      <c r="E1772" s="6">
        <v>181000.0</v>
      </c>
    </row>
    <row r="1773" ht="15.75" customHeight="1">
      <c r="A1773" s="4" t="s">
        <v>5342</v>
      </c>
      <c r="B1773" s="4"/>
      <c r="C1773" s="4" t="s">
        <v>7139</v>
      </c>
      <c r="D1773" s="4" t="s">
        <v>27</v>
      </c>
      <c r="E1773" s="6">
        <v>22750.0</v>
      </c>
    </row>
    <row r="1774" ht="15.75" customHeight="1">
      <c r="A1774" s="4" t="s">
        <v>5346</v>
      </c>
      <c r="B1774" s="4"/>
      <c r="C1774" s="4" t="s">
        <v>7140</v>
      </c>
      <c r="D1774" s="4" t="s">
        <v>27</v>
      </c>
      <c r="E1774" s="6">
        <v>60750.0</v>
      </c>
    </row>
    <row r="1775" ht="15.75" customHeight="1">
      <c r="A1775" s="4" t="s">
        <v>5348</v>
      </c>
      <c r="B1775" s="4"/>
      <c r="C1775" s="4" t="s">
        <v>7141</v>
      </c>
      <c r="D1775" s="4" t="s">
        <v>27</v>
      </c>
      <c r="E1775" s="6">
        <v>82000.0</v>
      </c>
    </row>
    <row r="1776" ht="15.75" customHeight="1">
      <c r="A1776" s="4" t="s">
        <v>5350</v>
      </c>
      <c r="B1776" s="4"/>
      <c r="C1776" s="4" t="s">
        <v>7142</v>
      </c>
      <c r="D1776" s="4" t="s">
        <v>27</v>
      </c>
      <c r="E1776" s="6">
        <v>30500.0</v>
      </c>
    </row>
    <row r="1777" ht="15.75" customHeight="1">
      <c r="A1777" s="4" t="s">
        <v>5352</v>
      </c>
      <c r="B1777" s="4"/>
      <c r="C1777" s="4" t="s">
        <v>7143</v>
      </c>
      <c r="D1777" s="4" t="s">
        <v>27</v>
      </c>
      <c r="E1777" s="6">
        <v>35200.0</v>
      </c>
    </row>
    <row r="1778" ht="15.75" customHeight="1">
      <c r="A1778" s="4" t="s">
        <v>5354</v>
      </c>
      <c r="B1778" s="4"/>
      <c r="C1778" s="4" t="s">
        <v>7144</v>
      </c>
      <c r="D1778" s="4" t="s">
        <v>27</v>
      </c>
      <c r="E1778" s="6">
        <v>43350.0</v>
      </c>
    </row>
    <row r="1779" ht="15.75" customHeight="1">
      <c r="A1779" s="4" t="s">
        <v>5359</v>
      </c>
      <c r="B1779" s="4"/>
      <c r="C1779" s="4" t="s">
        <v>7145</v>
      </c>
      <c r="D1779" s="4" t="s">
        <v>27</v>
      </c>
      <c r="E1779" s="6">
        <v>28500.0</v>
      </c>
    </row>
    <row r="1780" ht="15.75" customHeight="1">
      <c r="A1780" s="4" t="s">
        <v>5361</v>
      </c>
      <c r="B1780" s="4"/>
      <c r="C1780" s="4" t="s">
        <v>7146</v>
      </c>
      <c r="D1780" s="4" t="s">
        <v>27</v>
      </c>
      <c r="E1780" s="6">
        <v>79600.0</v>
      </c>
    </row>
    <row r="1781" ht="15.75" customHeight="1">
      <c r="A1781" s="4" t="s">
        <v>5363</v>
      </c>
      <c r="B1781" s="4"/>
      <c r="C1781" s="4" t="s">
        <v>7147</v>
      </c>
      <c r="D1781" s="4" t="s">
        <v>27</v>
      </c>
      <c r="E1781" s="6">
        <v>128900.0</v>
      </c>
    </row>
    <row r="1782" ht="15.75" customHeight="1">
      <c r="A1782" s="4" t="s">
        <v>5365</v>
      </c>
      <c r="B1782" s="4"/>
      <c r="C1782" s="4" t="s">
        <v>7148</v>
      </c>
      <c r="D1782" s="4" t="s">
        <v>27</v>
      </c>
      <c r="E1782" s="6">
        <v>32900.0</v>
      </c>
    </row>
    <row r="1783" ht="15.75" customHeight="1">
      <c r="A1783" s="4" t="s">
        <v>5367</v>
      </c>
      <c r="B1783" s="4"/>
      <c r="C1783" s="4" t="s">
        <v>7149</v>
      </c>
      <c r="D1783" s="4" t="s">
        <v>27</v>
      </c>
      <c r="E1783" s="6">
        <v>49000.0</v>
      </c>
    </row>
    <row r="1784" ht="15.75" customHeight="1">
      <c r="A1784" s="4" t="s">
        <v>5369</v>
      </c>
      <c r="B1784" s="4"/>
      <c r="C1784" s="4" t="s">
        <v>7150</v>
      </c>
      <c r="D1784" s="4" t="s">
        <v>27</v>
      </c>
      <c r="E1784" s="6">
        <v>63500.0</v>
      </c>
    </row>
    <row r="1785" ht="15.75" customHeight="1">
      <c r="A1785" s="4" t="s">
        <v>5374</v>
      </c>
      <c r="B1785" s="4"/>
      <c r="C1785" s="4" t="s">
        <v>7151</v>
      </c>
      <c r="D1785" s="4" t="s">
        <v>27</v>
      </c>
      <c r="E1785" s="6">
        <v>29400.0</v>
      </c>
    </row>
    <row r="1786" ht="15.75" customHeight="1">
      <c r="A1786" s="4" t="s">
        <v>5376</v>
      </c>
      <c r="B1786" s="4"/>
      <c r="C1786" s="4" t="s">
        <v>7152</v>
      </c>
      <c r="D1786" s="4" t="s">
        <v>27</v>
      </c>
      <c r="E1786" s="6">
        <v>100600.0</v>
      </c>
    </row>
    <row r="1787" ht="15.75" customHeight="1">
      <c r="A1787" s="4" t="s">
        <v>5378</v>
      </c>
      <c r="B1787" s="4"/>
      <c r="C1787" s="4" t="s">
        <v>7153</v>
      </c>
      <c r="D1787" s="4" t="s">
        <v>27</v>
      </c>
      <c r="E1787" s="6">
        <v>969500.0</v>
      </c>
    </row>
    <row r="1788" ht="15.75" customHeight="1">
      <c r="A1788" s="4" t="s">
        <v>5380</v>
      </c>
      <c r="B1788" s="4"/>
      <c r="C1788" s="4" t="s">
        <v>7154</v>
      </c>
      <c r="D1788" s="4" t="s">
        <v>27</v>
      </c>
      <c r="E1788" s="6">
        <v>1187650.0</v>
      </c>
    </row>
    <row r="1789" ht="15.75" customHeight="1">
      <c r="A1789" s="4" t="s">
        <v>5382</v>
      </c>
      <c r="B1789" s="4"/>
      <c r="C1789" s="4" t="s">
        <v>7155</v>
      </c>
      <c r="D1789" s="4" t="s">
        <v>27</v>
      </c>
      <c r="E1789" s="6">
        <v>159300.0</v>
      </c>
    </row>
    <row r="1790" ht="15.75" customHeight="1">
      <c r="A1790" s="4" t="s">
        <v>5384</v>
      </c>
      <c r="B1790" s="4"/>
      <c r="C1790" s="4" t="s">
        <v>7156</v>
      </c>
      <c r="D1790" s="4" t="s">
        <v>27</v>
      </c>
      <c r="E1790" s="6">
        <v>1470650.0</v>
      </c>
    </row>
    <row r="1791" ht="15.75" customHeight="1">
      <c r="A1791" s="4" t="s">
        <v>5386</v>
      </c>
      <c r="B1791" s="4"/>
      <c r="C1791" s="4" t="s">
        <v>7157</v>
      </c>
      <c r="D1791" s="4" t="s">
        <v>27</v>
      </c>
      <c r="E1791" s="6">
        <v>38600.0</v>
      </c>
    </row>
    <row r="1792" ht="15.75" customHeight="1">
      <c r="A1792" s="4" t="s">
        <v>5388</v>
      </c>
      <c r="B1792" s="4"/>
      <c r="C1792" s="4" t="s">
        <v>7158</v>
      </c>
      <c r="D1792" s="4" t="s">
        <v>27</v>
      </c>
      <c r="E1792" s="6">
        <v>1921500.0</v>
      </c>
    </row>
    <row r="1793" ht="15.75" customHeight="1">
      <c r="A1793" s="4" t="s">
        <v>5390</v>
      </c>
      <c r="B1793" s="4"/>
      <c r="C1793" s="4" t="s">
        <v>7159</v>
      </c>
      <c r="D1793" s="4" t="s">
        <v>27</v>
      </c>
      <c r="E1793" s="6">
        <v>247200.0</v>
      </c>
    </row>
    <row r="1794" ht="15.75" customHeight="1">
      <c r="A1794" s="4" t="s">
        <v>5392</v>
      </c>
      <c r="B1794" s="4"/>
      <c r="C1794" s="4" t="s">
        <v>7160</v>
      </c>
      <c r="D1794" s="4" t="s">
        <v>27</v>
      </c>
      <c r="E1794" s="6">
        <v>2392250.0</v>
      </c>
    </row>
    <row r="1795" ht="15.75" customHeight="1">
      <c r="A1795" s="4" t="s">
        <v>5394</v>
      </c>
      <c r="B1795" s="4"/>
      <c r="C1795" s="4" t="s">
        <v>7161</v>
      </c>
      <c r="D1795" s="4" t="s">
        <v>27</v>
      </c>
      <c r="E1795" s="6">
        <v>314750.0</v>
      </c>
    </row>
    <row r="1796" ht="15.75" customHeight="1">
      <c r="A1796" s="4" t="s">
        <v>5396</v>
      </c>
      <c r="B1796" s="4"/>
      <c r="C1796" s="4" t="s">
        <v>7162</v>
      </c>
      <c r="D1796" s="4" t="s">
        <v>27</v>
      </c>
      <c r="E1796" s="6">
        <v>66000.0</v>
      </c>
    </row>
    <row r="1797" ht="15.75" customHeight="1">
      <c r="A1797" s="4" t="s">
        <v>5398</v>
      </c>
      <c r="B1797" s="4"/>
      <c r="C1797" s="4" t="s">
        <v>7163</v>
      </c>
      <c r="D1797" s="4" t="s">
        <v>27</v>
      </c>
      <c r="E1797" s="6">
        <v>411600.0</v>
      </c>
    </row>
    <row r="1798" ht="15.75" customHeight="1">
      <c r="A1798" s="4" t="s">
        <v>6332</v>
      </c>
      <c r="B1798" s="4"/>
      <c r="C1798" s="4" t="s">
        <v>7164</v>
      </c>
      <c r="D1798" s="4" t="s">
        <v>27</v>
      </c>
      <c r="E1798" s="6">
        <v>70200.0</v>
      </c>
    </row>
    <row r="1799" ht="15.75" customHeight="1">
      <c r="A1799" s="4" t="s">
        <v>6334</v>
      </c>
      <c r="B1799" s="4"/>
      <c r="C1799" s="4" t="s">
        <v>7165</v>
      </c>
      <c r="D1799" s="4" t="s">
        <v>27</v>
      </c>
      <c r="E1799" s="6">
        <v>575250.0</v>
      </c>
    </row>
    <row r="1800" ht="15.75" customHeight="1">
      <c r="A1800" s="4" t="s">
        <v>6336</v>
      </c>
      <c r="B1800" s="4"/>
      <c r="C1800" s="4" t="s">
        <v>7166</v>
      </c>
      <c r="D1800" s="4" t="s">
        <v>27</v>
      </c>
      <c r="E1800" s="6">
        <v>743750.0</v>
      </c>
    </row>
    <row r="1801" ht="15.75" customHeight="1">
      <c r="A1801" s="4" t="s">
        <v>6338</v>
      </c>
      <c r="B1801" s="4"/>
      <c r="C1801" s="4" t="s">
        <v>7167</v>
      </c>
      <c r="D1801" s="4" t="s">
        <v>27</v>
      </c>
      <c r="E1801" s="6">
        <v>8880.0</v>
      </c>
    </row>
    <row r="1802" ht="15.75" customHeight="1">
      <c r="A1802" s="4" t="s">
        <v>6340</v>
      </c>
      <c r="B1802" s="4"/>
      <c r="C1802" s="4" t="s">
        <v>7168</v>
      </c>
      <c r="D1802" s="4" t="s">
        <v>27</v>
      </c>
      <c r="E1802" s="6">
        <v>49000.0</v>
      </c>
    </row>
    <row r="1803" ht="15.75" customHeight="1">
      <c r="A1803" s="4" t="s">
        <v>6342</v>
      </c>
      <c r="B1803" s="4"/>
      <c r="C1803" s="4" t="s">
        <v>7169</v>
      </c>
      <c r="D1803" s="4" t="s">
        <v>27</v>
      </c>
      <c r="E1803" s="6">
        <v>13250.0</v>
      </c>
    </row>
    <row r="1804" ht="15.75" customHeight="1">
      <c r="A1804" s="4" t="s">
        <v>6344</v>
      </c>
      <c r="B1804" s="4"/>
      <c r="C1804" s="4" t="s">
        <v>7170</v>
      </c>
      <c r="D1804" s="4" t="s">
        <v>27</v>
      </c>
      <c r="E1804" s="6">
        <v>19950.0</v>
      </c>
    </row>
    <row r="1805" ht="15.75" customHeight="1">
      <c r="A1805" s="4" t="s">
        <v>6346</v>
      </c>
      <c r="B1805" s="4"/>
      <c r="C1805" s="4" t="s">
        <v>7171</v>
      </c>
      <c r="D1805" s="4" t="s">
        <v>27</v>
      </c>
      <c r="E1805" s="6">
        <v>29000.0</v>
      </c>
    </row>
    <row r="1806" ht="15.75" customHeight="1">
      <c r="A1806" s="4" t="s">
        <v>6348</v>
      </c>
      <c r="B1806" s="4"/>
      <c r="C1806" s="4" t="s">
        <v>7172</v>
      </c>
      <c r="D1806" s="4" t="s">
        <v>27</v>
      </c>
      <c r="E1806" s="6">
        <v>11400.0</v>
      </c>
    </row>
    <row r="1807" ht="15.75" customHeight="1">
      <c r="A1807" s="4" t="s">
        <v>6350</v>
      </c>
      <c r="B1807" s="4"/>
      <c r="C1807" s="4" t="s">
        <v>7173</v>
      </c>
      <c r="D1807" s="4" t="s">
        <v>27</v>
      </c>
      <c r="E1807" s="6">
        <v>69200.0</v>
      </c>
    </row>
    <row r="1808" ht="15.75" customHeight="1">
      <c r="A1808" s="4" t="s">
        <v>6352</v>
      </c>
      <c r="B1808" s="4"/>
      <c r="C1808" s="4" t="s">
        <v>7174</v>
      </c>
      <c r="D1808" s="4" t="s">
        <v>27</v>
      </c>
      <c r="E1808" s="6">
        <v>21300.0</v>
      </c>
    </row>
    <row r="1809" ht="15.75" customHeight="1">
      <c r="A1809" s="4" t="s">
        <v>6354</v>
      </c>
      <c r="B1809" s="4"/>
      <c r="C1809" s="4" t="s">
        <v>7175</v>
      </c>
      <c r="D1809" s="4" t="s">
        <v>27</v>
      </c>
      <c r="E1809" s="6">
        <v>27000.0</v>
      </c>
    </row>
    <row r="1810" ht="15.75" customHeight="1">
      <c r="A1810" s="4"/>
      <c r="B1810" s="4"/>
      <c r="C1810" s="4" t="s">
        <v>7176</v>
      </c>
      <c r="D1810" s="4" t="s">
        <v>7177</v>
      </c>
      <c r="E1810" s="6">
        <v>21300.0</v>
      </c>
    </row>
    <row r="1811" ht="15.75" customHeight="1">
      <c r="A1811" s="4" t="s">
        <v>6356</v>
      </c>
      <c r="B1811" s="4"/>
      <c r="C1811" s="4" t="s">
        <v>7178</v>
      </c>
      <c r="D1811" s="4" t="s">
        <v>27</v>
      </c>
      <c r="E1811" s="6">
        <v>43100.0</v>
      </c>
    </row>
    <row r="1812" ht="15.75" customHeight="1">
      <c r="A1812" s="4" t="s">
        <v>6435</v>
      </c>
      <c r="B1812" s="4"/>
      <c r="C1812" s="4" t="s">
        <v>7179</v>
      </c>
      <c r="D1812" s="4" t="s">
        <v>27</v>
      </c>
      <c r="E1812" s="6">
        <v>14400.0</v>
      </c>
    </row>
    <row r="1813" ht="15.75" customHeight="1">
      <c r="A1813" s="4" t="s">
        <v>6437</v>
      </c>
      <c r="B1813" s="4"/>
      <c r="C1813" s="4" t="s">
        <v>7180</v>
      </c>
      <c r="D1813" s="4" t="s">
        <v>27</v>
      </c>
      <c r="E1813" s="6">
        <v>92900.0</v>
      </c>
    </row>
    <row r="1814" ht="15.75" customHeight="1">
      <c r="A1814" s="4" t="s">
        <v>6439</v>
      </c>
      <c r="B1814" s="4"/>
      <c r="C1814" s="4" t="s">
        <v>7181</v>
      </c>
      <c r="D1814" s="4" t="s">
        <v>27</v>
      </c>
      <c r="E1814" s="6">
        <v>150000.0</v>
      </c>
    </row>
    <row r="1815" ht="15.75" customHeight="1">
      <c r="A1815" s="4" t="s">
        <v>6441</v>
      </c>
      <c r="B1815" s="4"/>
      <c r="C1815" s="4" t="s">
        <v>7182</v>
      </c>
      <c r="D1815" s="4" t="s">
        <v>27</v>
      </c>
      <c r="E1815" s="6">
        <v>22700.0</v>
      </c>
    </row>
    <row r="1816" ht="15.75" customHeight="1">
      <c r="A1816" s="4" t="s">
        <v>6443</v>
      </c>
      <c r="B1816" s="4"/>
      <c r="C1816" s="4" t="s">
        <v>7183</v>
      </c>
      <c r="D1816" s="4" t="s">
        <v>27</v>
      </c>
      <c r="E1816" s="6">
        <v>37000.0</v>
      </c>
    </row>
    <row r="1817" ht="15.75" customHeight="1">
      <c r="A1817" s="4" t="s">
        <v>6445</v>
      </c>
      <c r="B1817" s="4"/>
      <c r="C1817" s="4" t="s">
        <v>7184</v>
      </c>
      <c r="D1817" s="4" t="s">
        <v>27</v>
      </c>
      <c r="E1817" s="6">
        <v>54400.0</v>
      </c>
    </row>
    <row r="1818" ht="15.75" customHeight="1">
      <c r="A1818" s="4" t="s">
        <v>6449</v>
      </c>
      <c r="B1818" s="4"/>
      <c r="C1818" s="4" t="s">
        <v>7185</v>
      </c>
      <c r="D1818" s="4" t="s">
        <v>27</v>
      </c>
      <c r="E1818" s="6">
        <v>9300.0</v>
      </c>
    </row>
    <row r="1819" ht="15.75" customHeight="1">
      <c r="A1819" s="4" t="s">
        <v>6451</v>
      </c>
      <c r="B1819" s="4"/>
      <c r="C1819" s="4" t="s">
        <v>7186</v>
      </c>
      <c r="D1819" s="4" t="s">
        <v>27</v>
      </c>
      <c r="E1819" s="6">
        <v>13900.0</v>
      </c>
    </row>
    <row r="1820" ht="15.75" customHeight="1">
      <c r="A1820" s="4" t="s">
        <v>6453</v>
      </c>
      <c r="B1820" s="4"/>
      <c r="C1820" s="4" t="s">
        <v>7187</v>
      </c>
      <c r="D1820" s="4" t="s">
        <v>27</v>
      </c>
      <c r="E1820" s="6">
        <v>13400.0</v>
      </c>
    </row>
    <row r="1821" ht="15.75" customHeight="1">
      <c r="A1821" s="4"/>
      <c r="B1821" s="4"/>
      <c r="C1821" s="4" t="s">
        <v>7188</v>
      </c>
      <c r="D1821" s="4" t="s">
        <v>27</v>
      </c>
      <c r="E1821" s="6">
        <v>35000.0</v>
      </c>
    </row>
    <row r="1822" ht="15.75" customHeight="1">
      <c r="A1822" s="4"/>
      <c r="B1822" s="4"/>
      <c r="C1822" s="4" t="s">
        <v>7189</v>
      </c>
      <c r="D1822" s="4" t="s">
        <v>27</v>
      </c>
      <c r="E1822" s="6">
        <v>17500.0</v>
      </c>
    </row>
    <row r="1823" ht="15.75" customHeight="1">
      <c r="A1823" s="4" t="s">
        <v>6454</v>
      </c>
      <c r="B1823" s="4"/>
      <c r="C1823" s="4" t="s">
        <v>7190</v>
      </c>
      <c r="D1823" s="4" t="s">
        <v>27</v>
      </c>
      <c r="E1823" s="6">
        <v>21300.0</v>
      </c>
    </row>
    <row r="1824" ht="15.75" customHeight="1">
      <c r="A1824" s="4" t="s">
        <v>6457</v>
      </c>
      <c r="B1824" s="4"/>
      <c r="C1824" s="4" t="s">
        <v>7191</v>
      </c>
      <c r="D1824" s="4" t="s">
        <v>27</v>
      </c>
      <c r="E1824" s="6">
        <v>28700.0</v>
      </c>
    </row>
    <row r="1825" ht="15.75" customHeight="1">
      <c r="A1825" s="4" t="s">
        <v>6459</v>
      </c>
      <c r="B1825" s="4"/>
      <c r="C1825" s="4" t="s">
        <v>7192</v>
      </c>
      <c r="D1825" s="4" t="s">
        <v>27</v>
      </c>
      <c r="E1825" s="6">
        <v>18000.0</v>
      </c>
    </row>
    <row r="1826" ht="15.75" customHeight="1">
      <c r="A1826" s="4" t="s">
        <v>6582</v>
      </c>
      <c r="B1826" s="4"/>
      <c r="C1826" s="4" t="s">
        <v>7193</v>
      </c>
      <c r="D1826" s="4" t="s">
        <v>27</v>
      </c>
      <c r="E1826" s="6">
        <v>246500.0</v>
      </c>
    </row>
    <row r="1827" ht="15.75" customHeight="1">
      <c r="A1827" s="4" t="s">
        <v>6584</v>
      </c>
      <c r="B1827" s="4"/>
      <c r="C1827" s="4" t="s">
        <v>7194</v>
      </c>
      <c r="D1827" s="4" t="s">
        <v>27</v>
      </c>
      <c r="E1827" s="6">
        <v>303000.0</v>
      </c>
    </row>
    <row r="1828" ht="15.75" customHeight="1">
      <c r="A1828" s="4" t="s">
        <v>6586</v>
      </c>
      <c r="B1828" s="4"/>
      <c r="C1828" s="4" t="s">
        <v>7195</v>
      </c>
      <c r="D1828" s="4" t="s">
        <v>27</v>
      </c>
      <c r="E1828" s="6">
        <v>36000.0</v>
      </c>
    </row>
    <row r="1829" ht="15.75" customHeight="1">
      <c r="A1829" s="4" t="s">
        <v>6588</v>
      </c>
      <c r="B1829" s="4"/>
      <c r="C1829" s="4" t="s">
        <v>7196</v>
      </c>
      <c r="D1829" s="4" t="s">
        <v>27</v>
      </c>
      <c r="E1829" s="6">
        <v>377000.0</v>
      </c>
    </row>
    <row r="1830" ht="15.75" customHeight="1">
      <c r="A1830" s="4" t="s">
        <v>6590</v>
      </c>
      <c r="B1830" s="4"/>
      <c r="C1830" s="4" t="s">
        <v>7197</v>
      </c>
      <c r="D1830" s="4" t="s">
        <v>27</v>
      </c>
      <c r="E1830" s="6">
        <v>56000.0</v>
      </c>
    </row>
    <row r="1831" ht="15.75" customHeight="1">
      <c r="A1831" s="4" t="s">
        <v>6592</v>
      </c>
      <c r="B1831" s="4"/>
      <c r="C1831" s="4" t="s">
        <v>7198</v>
      </c>
      <c r="D1831" s="4" t="s">
        <v>27</v>
      </c>
      <c r="E1831" s="6">
        <v>496000.0</v>
      </c>
    </row>
    <row r="1832" ht="15.75" customHeight="1">
      <c r="A1832" s="4" t="s">
        <v>6594</v>
      </c>
      <c r="B1832" s="4"/>
      <c r="C1832" s="4" t="s">
        <v>7199</v>
      </c>
      <c r="D1832" s="4" t="s">
        <v>27</v>
      </c>
      <c r="E1832" s="6">
        <v>619000.0</v>
      </c>
    </row>
    <row r="1833" ht="15.75" customHeight="1">
      <c r="A1833" s="4" t="s">
        <v>6596</v>
      </c>
      <c r="B1833" s="4"/>
      <c r="C1833" s="4" t="s">
        <v>7200</v>
      </c>
      <c r="D1833" s="4" t="s">
        <v>27</v>
      </c>
      <c r="E1833" s="6">
        <v>75000.0</v>
      </c>
    </row>
    <row r="1834" ht="15.75" customHeight="1">
      <c r="A1834" s="4" t="s">
        <v>6598</v>
      </c>
      <c r="B1834" s="4"/>
      <c r="C1834" s="4" t="s">
        <v>7201</v>
      </c>
      <c r="D1834" s="4" t="s">
        <v>27</v>
      </c>
      <c r="E1834" s="6">
        <v>7500.0</v>
      </c>
    </row>
    <row r="1835" ht="15.75" customHeight="1">
      <c r="A1835" s="4" t="s">
        <v>6600</v>
      </c>
      <c r="B1835" s="4"/>
      <c r="C1835" s="4" t="s">
        <v>7202</v>
      </c>
      <c r="D1835" s="4" t="s">
        <v>27</v>
      </c>
      <c r="E1835" s="6">
        <v>786000.0</v>
      </c>
    </row>
    <row r="1836" ht="15.75" customHeight="1">
      <c r="A1836" s="4" t="s">
        <v>6602</v>
      </c>
      <c r="B1836" s="4"/>
      <c r="C1836" s="4" t="s">
        <v>7203</v>
      </c>
      <c r="D1836" s="4" t="s">
        <v>27</v>
      </c>
      <c r="E1836" s="6">
        <v>99600.0</v>
      </c>
    </row>
    <row r="1837" ht="15.75" customHeight="1">
      <c r="A1837" s="4" t="s">
        <v>6604</v>
      </c>
      <c r="B1837" s="4"/>
      <c r="C1837" s="4" t="s">
        <v>7204</v>
      </c>
      <c r="D1837" s="4" t="s">
        <v>27</v>
      </c>
      <c r="E1837" s="6">
        <v>1004400.0</v>
      </c>
    </row>
    <row r="1838" ht="15.75" customHeight="1">
      <c r="A1838" s="4" t="s">
        <v>6606</v>
      </c>
      <c r="B1838" s="4"/>
      <c r="C1838" s="4" t="s">
        <v>7205</v>
      </c>
      <c r="D1838" s="4" t="s">
        <v>27</v>
      </c>
      <c r="E1838" s="6">
        <v>12000.0</v>
      </c>
    </row>
    <row r="1839" ht="15.75" customHeight="1">
      <c r="A1839" s="4" t="s">
        <v>6608</v>
      </c>
      <c r="B1839" s="4"/>
      <c r="C1839" s="4" t="s">
        <v>7206</v>
      </c>
      <c r="D1839" s="4" t="s">
        <v>27</v>
      </c>
      <c r="E1839" s="6">
        <v>1245000.0</v>
      </c>
    </row>
    <row r="1840" ht="15.75" customHeight="1">
      <c r="A1840" s="4" t="s">
        <v>6610</v>
      </c>
      <c r="B1840" s="4"/>
      <c r="C1840" s="4" t="s">
        <v>7207</v>
      </c>
      <c r="D1840" s="4" t="s">
        <v>27</v>
      </c>
      <c r="E1840" s="6">
        <v>142000.0</v>
      </c>
    </row>
    <row r="1841" ht="15.75" customHeight="1">
      <c r="A1841" s="4" t="s">
        <v>6612</v>
      </c>
      <c r="B1841" s="4"/>
      <c r="C1841" s="4" t="s">
        <v>7208</v>
      </c>
      <c r="D1841" s="4" t="s">
        <v>27</v>
      </c>
      <c r="E1841" s="6">
        <v>196500.0</v>
      </c>
    </row>
    <row r="1842" ht="15.75" customHeight="1">
      <c r="A1842" s="4" t="s">
        <v>6614</v>
      </c>
      <c r="B1842" s="4"/>
      <c r="C1842" s="4" t="s">
        <v>7209</v>
      </c>
      <c r="D1842" s="4" t="s">
        <v>27</v>
      </c>
      <c r="E1842" s="6">
        <v>12000.0</v>
      </c>
    </row>
    <row r="1843" ht="15.75" customHeight="1">
      <c r="A1843" s="4" t="s">
        <v>6616</v>
      </c>
      <c r="B1843" s="4"/>
      <c r="C1843" s="4" t="s">
        <v>7210</v>
      </c>
      <c r="D1843" s="4" t="s">
        <v>27</v>
      </c>
      <c r="E1843" s="6">
        <v>57500.0</v>
      </c>
    </row>
    <row r="1844" ht="15.75" customHeight="1">
      <c r="A1844" s="4" t="s">
        <v>6618</v>
      </c>
      <c r="B1844" s="4"/>
      <c r="C1844" s="4" t="s">
        <v>7211</v>
      </c>
      <c r="D1844" s="4" t="s">
        <v>27</v>
      </c>
      <c r="E1844" s="6">
        <v>92000.0</v>
      </c>
    </row>
    <row r="1845" ht="15.75" customHeight="1">
      <c r="A1845" s="4" t="s">
        <v>6621</v>
      </c>
      <c r="B1845" s="4"/>
      <c r="C1845" s="4" t="s">
        <v>7212</v>
      </c>
      <c r="D1845" s="4" t="s">
        <v>27</v>
      </c>
      <c r="E1845" s="6">
        <v>16560.0</v>
      </c>
    </row>
    <row r="1846" ht="15.75" customHeight="1">
      <c r="A1846" s="4" t="s">
        <v>6623</v>
      </c>
      <c r="B1846" s="4"/>
      <c r="C1846" s="4" t="s">
        <v>7213</v>
      </c>
      <c r="D1846" s="4" t="s">
        <v>27</v>
      </c>
      <c r="E1846" s="6">
        <v>23000.0</v>
      </c>
    </row>
    <row r="1847" ht="15.75" customHeight="1">
      <c r="A1847" s="4" t="s">
        <v>6625</v>
      </c>
      <c r="B1847" s="4"/>
      <c r="C1847" s="4" t="s">
        <v>7214</v>
      </c>
      <c r="D1847" s="4" t="s">
        <v>27</v>
      </c>
      <c r="E1847" s="6">
        <v>35000.0</v>
      </c>
    </row>
    <row r="1848" ht="15.75" customHeight="1">
      <c r="A1848" s="4" t="s">
        <v>6627</v>
      </c>
      <c r="B1848" s="4"/>
      <c r="C1848" s="4" t="s">
        <v>7215</v>
      </c>
      <c r="D1848" s="4" t="s">
        <v>27</v>
      </c>
      <c r="E1848" s="6">
        <v>15000.0</v>
      </c>
    </row>
    <row r="1849" ht="15.75" customHeight="1">
      <c r="A1849" s="4" t="s">
        <v>6629</v>
      </c>
      <c r="B1849" s="4"/>
      <c r="C1849" s="4" t="s">
        <v>7216</v>
      </c>
      <c r="D1849" s="4" t="s">
        <v>27</v>
      </c>
      <c r="E1849" s="6">
        <v>74600.0</v>
      </c>
    </row>
    <row r="1850" ht="15.75" customHeight="1">
      <c r="A1850" s="4" t="s">
        <v>6631</v>
      </c>
      <c r="B1850" s="4"/>
      <c r="C1850" s="4" t="s">
        <v>7217</v>
      </c>
      <c r="D1850" s="4" t="s">
        <v>27</v>
      </c>
      <c r="E1850" s="6">
        <v>114000.0</v>
      </c>
    </row>
    <row r="1851" ht="15.75" customHeight="1">
      <c r="A1851" s="4" t="s">
        <v>6633</v>
      </c>
      <c r="B1851" s="4"/>
      <c r="C1851" s="4" t="s">
        <v>7218</v>
      </c>
      <c r="D1851" s="4" t="s">
        <v>27</v>
      </c>
      <c r="E1851" s="6">
        <v>21500.0</v>
      </c>
    </row>
    <row r="1852" ht="15.75" customHeight="1">
      <c r="A1852" s="4" t="s">
        <v>6635</v>
      </c>
      <c r="B1852" s="4"/>
      <c r="C1852" s="4" t="s">
        <v>7219</v>
      </c>
      <c r="D1852" s="4" t="s">
        <v>27</v>
      </c>
      <c r="E1852" s="6">
        <v>174900.0</v>
      </c>
    </row>
    <row r="1853" ht="15.75" customHeight="1">
      <c r="A1853" s="4" t="s">
        <v>6637</v>
      </c>
      <c r="B1853" s="4"/>
      <c r="C1853" s="4" t="s">
        <v>7220</v>
      </c>
      <c r="D1853" s="4" t="s">
        <v>27</v>
      </c>
      <c r="E1853" s="6">
        <v>235500.0</v>
      </c>
    </row>
    <row r="1854" ht="15.75" customHeight="1">
      <c r="A1854" s="4" t="s">
        <v>6639</v>
      </c>
      <c r="B1854" s="4"/>
      <c r="C1854" s="4" t="s">
        <v>7221</v>
      </c>
      <c r="D1854" s="4" t="s">
        <v>27</v>
      </c>
      <c r="E1854" s="6">
        <v>33000.0</v>
      </c>
    </row>
    <row r="1855" ht="15.75" customHeight="1">
      <c r="A1855" s="4" t="s">
        <v>6641</v>
      </c>
      <c r="B1855" s="4"/>
      <c r="C1855" s="4" t="s">
        <v>7222</v>
      </c>
      <c r="D1855" s="4" t="s">
        <v>27</v>
      </c>
      <c r="E1855" s="6">
        <v>305700.0</v>
      </c>
    </row>
    <row r="1856" ht="15.75" customHeight="1">
      <c r="A1856" s="4" t="s">
        <v>6643</v>
      </c>
      <c r="B1856" s="4"/>
      <c r="C1856" s="4" t="s">
        <v>7223</v>
      </c>
      <c r="D1856" s="4" t="s">
        <v>27</v>
      </c>
      <c r="E1856" s="6">
        <v>46000.0</v>
      </c>
    </row>
    <row r="1857" ht="15.75" customHeight="1">
      <c r="A1857" s="4" t="s">
        <v>6645</v>
      </c>
      <c r="B1857" s="4"/>
      <c r="C1857" s="4" t="s">
        <v>7224</v>
      </c>
      <c r="D1857" s="4" t="s">
        <v>27</v>
      </c>
      <c r="E1857" s="6">
        <v>18600.0</v>
      </c>
    </row>
    <row r="1858" ht="15.75" customHeight="1">
      <c r="A1858" s="4" t="s">
        <v>6647</v>
      </c>
      <c r="B1858" s="4"/>
      <c r="C1858" s="4" t="s">
        <v>7225</v>
      </c>
      <c r="D1858" s="4" t="s">
        <v>27</v>
      </c>
      <c r="E1858" s="6">
        <v>96000.0</v>
      </c>
    </row>
    <row r="1859" ht="15.75" customHeight="1">
      <c r="A1859" s="4" t="s">
        <v>6650</v>
      </c>
      <c r="B1859" s="4"/>
      <c r="C1859" s="4" t="s">
        <v>7226</v>
      </c>
      <c r="D1859" s="4" t="s">
        <v>27</v>
      </c>
      <c r="E1859" s="6">
        <v>1011900.0</v>
      </c>
    </row>
    <row r="1860" ht="15.75" customHeight="1">
      <c r="A1860" s="4" t="s">
        <v>6652</v>
      </c>
      <c r="B1860" s="4"/>
      <c r="C1860" s="4" t="s">
        <v>7227</v>
      </c>
      <c r="D1860" s="4" t="s">
        <v>27</v>
      </c>
      <c r="E1860" s="6">
        <v>1245000.0</v>
      </c>
    </row>
    <row r="1861" ht="15.75" customHeight="1">
      <c r="A1861" s="4" t="s">
        <v>6654</v>
      </c>
      <c r="B1861" s="4"/>
      <c r="C1861" s="4" t="s">
        <v>7228</v>
      </c>
      <c r="D1861" s="4" t="s">
        <v>27</v>
      </c>
      <c r="E1861" s="6">
        <v>148500.0</v>
      </c>
    </row>
    <row r="1862" ht="15.75" customHeight="1">
      <c r="A1862" s="4" t="s">
        <v>6656</v>
      </c>
      <c r="B1862" s="4"/>
      <c r="C1862" s="4" t="s">
        <v>7229</v>
      </c>
      <c r="D1862" s="4" t="s">
        <v>27</v>
      </c>
      <c r="E1862" s="6">
        <v>1552800.0</v>
      </c>
    </row>
    <row r="1863" ht="15.75" customHeight="1">
      <c r="A1863" s="4" t="s">
        <v>6658</v>
      </c>
      <c r="B1863" s="4"/>
      <c r="C1863" s="4" t="s">
        <v>7230</v>
      </c>
      <c r="D1863" s="4" t="s">
        <v>27</v>
      </c>
      <c r="E1863" s="6">
        <v>28620.0</v>
      </c>
    </row>
    <row r="1864" ht="15.75" customHeight="1">
      <c r="A1864" s="4" t="s">
        <v>6660</v>
      </c>
      <c r="B1864" s="4"/>
      <c r="C1864" s="4" t="s">
        <v>7231</v>
      </c>
      <c r="D1864" s="4" t="s">
        <v>27</v>
      </c>
      <c r="E1864" s="6">
        <v>2044800.0</v>
      </c>
    </row>
    <row r="1865" ht="15.75" customHeight="1">
      <c r="A1865" s="4" t="s">
        <v>6662</v>
      </c>
      <c r="B1865" s="4"/>
      <c r="C1865" s="4" t="s">
        <v>7232</v>
      </c>
      <c r="D1865" s="4" t="s">
        <v>27</v>
      </c>
      <c r="E1865" s="6">
        <v>228000.0</v>
      </c>
    </row>
    <row r="1866" ht="15.75" customHeight="1">
      <c r="A1866" s="4" t="s">
        <v>6664</v>
      </c>
      <c r="B1866" s="4"/>
      <c r="C1866" s="4" t="s">
        <v>7233</v>
      </c>
      <c r="D1866" s="4" t="s">
        <v>27</v>
      </c>
      <c r="E1866" s="6">
        <v>2550900.0</v>
      </c>
    </row>
    <row r="1867" ht="15.75" customHeight="1">
      <c r="A1867" s="4" t="s">
        <v>6666</v>
      </c>
      <c r="B1867" s="4"/>
      <c r="C1867" s="4" t="s">
        <v>7234</v>
      </c>
      <c r="D1867" s="4" t="s">
        <v>27</v>
      </c>
      <c r="E1867" s="6">
        <v>310500.0</v>
      </c>
    </row>
    <row r="1868" ht="15.75" customHeight="1">
      <c r="A1868" s="4" t="s">
        <v>6668</v>
      </c>
      <c r="B1868" s="4"/>
      <c r="C1868" s="4" t="s">
        <v>7235</v>
      </c>
      <c r="D1868" s="4" t="s">
        <v>27</v>
      </c>
      <c r="E1868" s="6">
        <v>43000.0</v>
      </c>
    </row>
    <row r="1869" ht="15.75" customHeight="1">
      <c r="A1869" s="4" t="s">
        <v>6670</v>
      </c>
      <c r="B1869" s="4"/>
      <c r="C1869" s="4" t="s">
        <v>7236</v>
      </c>
      <c r="D1869" s="4" t="s">
        <v>27</v>
      </c>
      <c r="E1869" s="6">
        <v>412200.0</v>
      </c>
    </row>
    <row r="1870" ht="15.75" customHeight="1">
      <c r="A1870" s="4" t="s">
        <v>6672</v>
      </c>
      <c r="B1870" s="4"/>
      <c r="C1870" s="4" t="s">
        <v>7237</v>
      </c>
      <c r="D1870" s="4" t="s">
        <v>27</v>
      </c>
      <c r="E1870" s="6">
        <v>61000.0</v>
      </c>
    </row>
    <row r="1871" ht="15.75" customHeight="1">
      <c r="A1871" s="4" t="s">
        <v>6674</v>
      </c>
      <c r="B1871" s="4"/>
      <c r="C1871" s="4" t="s">
        <v>7238</v>
      </c>
      <c r="D1871" s="4" t="s">
        <v>27</v>
      </c>
      <c r="E1871" s="6">
        <v>584700.0</v>
      </c>
    </row>
    <row r="1872" ht="15.75" customHeight="1">
      <c r="A1872" s="4" t="s">
        <v>6676</v>
      </c>
      <c r="B1872" s="4"/>
      <c r="C1872" s="4" t="s">
        <v>7239</v>
      </c>
      <c r="D1872" s="4" t="s">
        <v>27</v>
      </c>
      <c r="E1872" s="6">
        <v>805200.0</v>
      </c>
    </row>
    <row r="1873" ht="15.75" customHeight="1">
      <c r="A1873" s="4"/>
      <c r="B1873" s="4"/>
      <c r="C1873" s="4" t="s">
        <v>7240</v>
      </c>
      <c r="D1873" s="4" t="s">
        <v>27</v>
      </c>
      <c r="E1873" s="6">
        <v>4500.0</v>
      </c>
    </row>
    <row r="1874" ht="15.75" customHeight="1">
      <c r="A1874" s="4"/>
      <c r="B1874" s="4"/>
      <c r="C1874" s="4" t="s">
        <v>7241</v>
      </c>
      <c r="D1874" s="4"/>
      <c r="E1874" s="6">
        <v>10700.0</v>
      </c>
    </row>
    <row r="1875" ht="15.75" customHeight="1">
      <c r="A1875" s="4"/>
      <c r="B1875" s="4"/>
      <c r="C1875" s="4" t="s">
        <v>7242</v>
      </c>
      <c r="D1875" s="4" t="s">
        <v>27</v>
      </c>
      <c r="E1875" s="6">
        <v>3924.0</v>
      </c>
    </row>
    <row r="1876" ht="15.75" customHeight="1">
      <c r="A1876" s="4"/>
      <c r="B1876" s="4"/>
      <c r="C1876" s="4" t="s">
        <v>7243</v>
      </c>
      <c r="D1876" s="4" t="s">
        <v>27</v>
      </c>
      <c r="E1876" s="6">
        <v>13100.0</v>
      </c>
    </row>
    <row r="1877" ht="15.75" customHeight="1">
      <c r="A1877" s="4"/>
      <c r="B1877" s="4"/>
      <c r="C1877" s="4" t="s">
        <v>7244</v>
      </c>
      <c r="D1877" s="4" t="s">
        <v>27</v>
      </c>
      <c r="E1877" s="6">
        <v>1500.0</v>
      </c>
    </row>
    <row r="1878" ht="15.75" customHeight="1">
      <c r="A1878" s="4"/>
      <c r="B1878" s="4"/>
      <c r="C1878" s="4" t="s">
        <v>7245</v>
      </c>
      <c r="D1878" s="4" t="s">
        <v>27</v>
      </c>
      <c r="E1878" s="6">
        <v>22800.0</v>
      </c>
    </row>
    <row r="1879" ht="15.75" customHeight="1">
      <c r="A1879" s="4"/>
      <c r="B1879" s="4"/>
      <c r="C1879" s="4" t="s">
        <v>7246</v>
      </c>
      <c r="D1879" s="4" t="s">
        <v>5553</v>
      </c>
      <c r="E1879" s="6">
        <v>494000.0</v>
      </c>
    </row>
    <row r="1880" ht="15.75" customHeight="1">
      <c r="A1880" s="4"/>
      <c r="B1880" s="4"/>
      <c r="C1880" s="4" t="s">
        <v>7247</v>
      </c>
      <c r="D1880" s="4" t="s">
        <v>5589</v>
      </c>
      <c r="E1880" s="6">
        <v>535000.0</v>
      </c>
    </row>
    <row r="1881" ht="15.75" customHeight="1">
      <c r="A1881" s="4"/>
      <c r="B1881" s="4"/>
      <c r="C1881" s="4" t="s">
        <v>7248</v>
      </c>
      <c r="D1881" s="4" t="s">
        <v>5589</v>
      </c>
      <c r="E1881" s="6">
        <v>569000.0</v>
      </c>
    </row>
    <row r="1882" ht="15.75" customHeight="1">
      <c r="A1882" s="4"/>
      <c r="B1882" s="4"/>
      <c r="C1882" s="4" t="s">
        <v>7249</v>
      </c>
      <c r="D1882" s="4" t="s">
        <v>5589</v>
      </c>
      <c r="E1882" s="6">
        <v>1639000.0</v>
      </c>
    </row>
    <row r="1883" ht="15.75" customHeight="1">
      <c r="A1883" s="4"/>
      <c r="B1883" s="4"/>
      <c r="C1883" s="4" t="s">
        <v>7250</v>
      </c>
      <c r="D1883" s="4" t="s">
        <v>6278</v>
      </c>
      <c r="E1883" s="6">
        <v>1255500.0</v>
      </c>
    </row>
    <row r="1884" ht="15.75" customHeight="1">
      <c r="A1884" s="4"/>
      <c r="B1884" s="4"/>
      <c r="C1884" s="4" t="s">
        <v>7251</v>
      </c>
      <c r="D1884" s="4" t="s">
        <v>5589</v>
      </c>
      <c r="E1884" s="6">
        <v>890000.0</v>
      </c>
    </row>
    <row r="1885" ht="15.75" customHeight="1">
      <c r="A1885" s="4"/>
      <c r="B1885" s="4"/>
      <c r="C1885" s="4" t="s">
        <v>7252</v>
      </c>
      <c r="D1885" s="4" t="s">
        <v>6278</v>
      </c>
      <c r="E1885" s="6">
        <v>650000.0</v>
      </c>
    </row>
    <row r="1886" ht="15.75" customHeight="1">
      <c r="A1886" s="4"/>
      <c r="B1886" s="4"/>
      <c r="C1886" s="4" t="s">
        <v>7253</v>
      </c>
      <c r="D1886" s="4" t="s">
        <v>2608</v>
      </c>
      <c r="E1886" s="6">
        <v>670000.0</v>
      </c>
    </row>
    <row r="1887" ht="15.75" customHeight="1">
      <c r="A1887" s="4"/>
      <c r="B1887" s="4"/>
      <c r="C1887" s="4" t="s">
        <v>7254</v>
      </c>
      <c r="D1887" s="4" t="s">
        <v>6278</v>
      </c>
      <c r="E1887" s="6">
        <v>710000.0</v>
      </c>
    </row>
    <row r="1888" ht="15.75" customHeight="1">
      <c r="A1888" s="4"/>
      <c r="B1888" s="4"/>
      <c r="C1888" s="4" t="s">
        <v>7255</v>
      </c>
      <c r="D1888" s="4" t="s">
        <v>5589</v>
      </c>
      <c r="E1888" s="6">
        <v>750000.0</v>
      </c>
    </row>
    <row r="1889" ht="15.75" customHeight="1">
      <c r="A1889" s="4"/>
      <c r="B1889" s="4"/>
      <c r="C1889" s="4" t="s">
        <v>7256</v>
      </c>
      <c r="D1889" s="4" t="s">
        <v>5589</v>
      </c>
      <c r="E1889" s="6">
        <v>670000.0</v>
      </c>
    </row>
    <row r="1890" ht="15.75" customHeight="1">
      <c r="A1890" s="4"/>
      <c r="B1890" s="4"/>
      <c r="C1890" s="4" t="s">
        <v>7257</v>
      </c>
      <c r="D1890" s="4" t="s">
        <v>5589</v>
      </c>
      <c r="E1890" s="6">
        <v>710000.0</v>
      </c>
    </row>
    <row r="1891" ht="15.75" customHeight="1">
      <c r="A1891" s="4"/>
      <c r="B1891" s="4"/>
      <c r="C1891" s="4" t="s">
        <v>7258</v>
      </c>
      <c r="D1891" s="4" t="s">
        <v>5589</v>
      </c>
      <c r="E1891" s="6">
        <v>550000.0</v>
      </c>
    </row>
    <row r="1892" ht="15.75" customHeight="1">
      <c r="A1892" s="4"/>
      <c r="B1892" s="4"/>
      <c r="C1892" s="4" t="s">
        <v>7259</v>
      </c>
      <c r="D1892" s="4" t="s">
        <v>6278</v>
      </c>
      <c r="E1892" s="6">
        <v>570000.0</v>
      </c>
    </row>
    <row r="1893" ht="15.75" customHeight="1">
      <c r="A1893" s="4"/>
      <c r="B1893" s="4"/>
      <c r="C1893" s="4" t="s">
        <v>7260</v>
      </c>
      <c r="D1893" s="4" t="s">
        <v>6278</v>
      </c>
      <c r="E1893" s="6">
        <v>590000.0</v>
      </c>
    </row>
    <row r="1894" ht="15.75" customHeight="1">
      <c r="A1894" s="4"/>
      <c r="B1894" s="4"/>
      <c r="C1894" s="4" t="s">
        <v>7261</v>
      </c>
      <c r="D1894" s="4" t="s">
        <v>5553</v>
      </c>
      <c r="E1894" s="6">
        <v>600000.0</v>
      </c>
    </row>
    <row r="1895" ht="15.75" customHeight="1">
      <c r="A1895" s="4"/>
      <c r="B1895" s="4"/>
      <c r="C1895" s="4" t="s">
        <v>7262</v>
      </c>
      <c r="D1895" s="4" t="s">
        <v>6278</v>
      </c>
      <c r="E1895" s="6">
        <v>630000.0</v>
      </c>
    </row>
    <row r="1896" ht="15.75" customHeight="1">
      <c r="A1896" s="4"/>
      <c r="B1896" s="4"/>
      <c r="C1896" s="4" t="s">
        <v>7263</v>
      </c>
      <c r="D1896" s="4" t="s">
        <v>6278</v>
      </c>
      <c r="E1896" s="6">
        <v>650000.0</v>
      </c>
    </row>
    <row r="1897" ht="15.75" customHeight="1">
      <c r="A1897" s="4"/>
      <c r="B1897" s="4"/>
      <c r="C1897" s="4" t="s">
        <v>7264</v>
      </c>
      <c r="D1897" s="4" t="s">
        <v>6278</v>
      </c>
      <c r="E1897" s="6">
        <v>400000.0</v>
      </c>
    </row>
    <row r="1898" ht="15.75" customHeight="1">
      <c r="A1898" s="4"/>
      <c r="B1898" s="4"/>
      <c r="C1898" s="4" t="s">
        <v>7265</v>
      </c>
      <c r="D1898" s="4" t="s">
        <v>5553</v>
      </c>
      <c r="E1898" s="6">
        <v>430000.0</v>
      </c>
    </row>
    <row r="1899" ht="15.75" customHeight="1">
      <c r="A1899" s="4"/>
      <c r="B1899" s="4"/>
      <c r="C1899" s="4" t="s">
        <v>7266</v>
      </c>
      <c r="D1899" s="4" t="s">
        <v>6278</v>
      </c>
      <c r="E1899" s="6">
        <v>450000.0</v>
      </c>
    </row>
    <row r="1900" ht="15.75" customHeight="1">
      <c r="A1900" s="4"/>
      <c r="B1900" s="4"/>
      <c r="C1900" s="4" t="s">
        <v>7267</v>
      </c>
      <c r="D1900" s="4" t="s">
        <v>6278</v>
      </c>
      <c r="E1900" s="6">
        <v>470000.0</v>
      </c>
    </row>
    <row r="1901" ht="15.75" customHeight="1">
      <c r="A1901" s="4"/>
      <c r="B1901" s="4"/>
      <c r="C1901" s="4" t="s">
        <v>7268</v>
      </c>
      <c r="D1901" s="4" t="s">
        <v>6278</v>
      </c>
      <c r="E1901" s="6">
        <v>490000.0</v>
      </c>
    </row>
    <row r="1902" ht="15.75" customHeight="1">
      <c r="A1902" s="4"/>
      <c r="B1902" s="4"/>
      <c r="C1902" s="4" t="s">
        <v>7269</v>
      </c>
      <c r="D1902" s="4" t="s">
        <v>5553</v>
      </c>
      <c r="E1902" s="6">
        <v>510000.0</v>
      </c>
    </row>
    <row r="1903" ht="15.75" customHeight="1">
      <c r="A1903" s="4"/>
      <c r="B1903" s="4"/>
      <c r="C1903" s="4" t="s">
        <v>7270</v>
      </c>
      <c r="D1903" s="4" t="s">
        <v>6278</v>
      </c>
      <c r="E1903" s="6">
        <v>350000.0</v>
      </c>
    </row>
    <row r="1904" ht="15.75" customHeight="1">
      <c r="A1904" s="4"/>
      <c r="B1904" s="4"/>
      <c r="C1904" s="4" t="s">
        <v>7271</v>
      </c>
      <c r="D1904" s="4" t="s">
        <v>6278</v>
      </c>
      <c r="E1904" s="6">
        <v>370000.0</v>
      </c>
    </row>
    <row r="1905" ht="15.75" customHeight="1">
      <c r="A1905" s="4"/>
      <c r="B1905" s="4"/>
      <c r="C1905" s="4" t="s">
        <v>7272</v>
      </c>
      <c r="D1905" s="4" t="s">
        <v>6278</v>
      </c>
      <c r="E1905" s="6">
        <v>390000.0</v>
      </c>
    </row>
    <row r="1906" ht="15.75" customHeight="1">
      <c r="A1906" s="4"/>
      <c r="B1906" s="4"/>
      <c r="C1906" s="4" t="s">
        <v>7273</v>
      </c>
      <c r="D1906" s="4" t="s">
        <v>5553</v>
      </c>
      <c r="E1906" s="6">
        <v>410000.0</v>
      </c>
    </row>
    <row r="1907" ht="15.75" customHeight="1">
      <c r="A1907" s="4"/>
      <c r="B1907" s="4"/>
      <c r="C1907" s="4" t="s">
        <v>7274</v>
      </c>
      <c r="D1907" s="4" t="s">
        <v>6278</v>
      </c>
      <c r="E1907" s="6">
        <v>430000.0</v>
      </c>
    </row>
    <row r="1908" ht="15.75" customHeight="1">
      <c r="A1908" s="4"/>
      <c r="B1908" s="4"/>
      <c r="C1908" s="4" t="s">
        <v>7275</v>
      </c>
      <c r="D1908" s="4" t="s">
        <v>6278</v>
      </c>
      <c r="E1908" s="6">
        <v>450000.0</v>
      </c>
    </row>
    <row r="1909" ht="15.75" customHeight="1">
      <c r="A1909" s="4"/>
      <c r="B1909" s="4"/>
      <c r="C1909" s="4" t="s">
        <v>7276</v>
      </c>
      <c r="D1909" s="4" t="s">
        <v>6278</v>
      </c>
      <c r="E1909" s="6">
        <v>470000.0</v>
      </c>
    </row>
    <row r="1910" ht="15.75" customHeight="1">
      <c r="A1910" s="4"/>
      <c r="B1910" s="4"/>
      <c r="C1910" s="4" t="s">
        <v>7277</v>
      </c>
      <c r="D1910" s="4" t="s">
        <v>5589</v>
      </c>
      <c r="E1910" s="6">
        <v>350000.0</v>
      </c>
    </row>
    <row r="1911" ht="15.75" customHeight="1">
      <c r="A1911" s="4"/>
      <c r="B1911" s="4"/>
      <c r="C1911" s="4" t="s">
        <v>2692</v>
      </c>
      <c r="D1911" s="4" t="s">
        <v>6278</v>
      </c>
      <c r="E1911" s="6">
        <v>370000.0</v>
      </c>
    </row>
    <row r="1912" ht="15.75" customHeight="1">
      <c r="A1912" s="4"/>
      <c r="B1912" s="4"/>
      <c r="C1912" s="4" t="s">
        <v>7278</v>
      </c>
      <c r="D1912" s="4" t="s">
        <v>5589</v>
      </c>
      <c r="E1912" s="6">
        <v>385000.0</v>
      </c>
    </row>
    <row r="1913" ht="15.75" customHeight="1">
      <c r="A1913" s="4"/>
      <c r="B1913" s="4"/>
      <c r="C1913" s="4" t="s">
        <v>7279</v>
      </c>
      <c r="D1913" s="4" t="s">
        <v>6278</v>
      </c>
      <c r="E1913" s="6">
        <v>395000.0</v>
      </c>
    </row>
    <row r="1914" ht="15.75" customHeight="1">
      <c r="A1914" s="4"/>
      <c r="B1914" s="4"/>
      <c r="C1914" s="4" t="s">
        <v>7280</v>
      </c>
      <c r="D1914" s="4" t="s">
        <v>5589</v>
      </c>
      <c r="E1914" s="6">
        <v>415000.0</v>
      </c>
    </row>
    <row r="1915" ht="15.75" customHeight="1">
      <c r="A1915" s="4"/>
      <c r="B1915" s="4"/>
      <c r="C1915" s="4" t="s">
        <v>7281</v>
      </c>
      <c r="D1915" s="4" t="s">
        <v>6278</v>
      </c>
      <c r="E1915" s="6">
        <v>430000.0</v>
      </c>
    </row>
    <row r="1916" ht="15.75" customHeight="1">
      <c r="A1916" s="4"/>
      <c r="B1916" s="4"/>
      <c r="C1916" s="4" t="s">
        <v>7282</v>
      </c>
      <c r="D1916" s="4" t="s">
        <v>5589</v>
      </c>
      <c r="E1916" s="6">
        <v>445000.0</v>
      </c>
    </row>
    <row r="1917" ht="15.75" customHeight="1">
      <c r="A1917" s="4"/>
      <c r="B1917" s="4"/>
      <c r="C1917" s="4" t="s">
        <v>7283</v>
      </c>
      <c r="D1917" s="4" t="s">
        <v>6278</v>
      </c>
      <c r="E1917" s="6">
        <v>350000.0</v>
      </c>
    </row>
    <row r="1918" ht="15.75" customHeight="1">
      <c r="A1918" s="4"/>
      <c r="B1918" s="4"/>
      <c r="C1918" s="4" t="s">
        <v>7284</v>
      </c>
      <c r="D1918" s="4" t="s">
        <v>5589</v>
      </c>
      <c r="E1918" s="6">
        <v>365000.0</v>
      </c>
    </row>
    <row r="1919" ht="15.75" customHeight="1">
      <c r="A1919" s="4"/>
      <c r="B1919" s="4"/>
      <c r="C1919" s="4" t="s">
        <v>7285</v>
      </c>
      <c r="D1919" s="4" t="s">
        <v>6278</v>
      </c>
      <c r="E1919" s="6">
        <v>380000.0</v>
      </c>
    </row>
    <row r="1920" ht="15.75" customHeight="1">
      <c r="A1920" s="4"/>
      <c r="B1920" s="4"/>
      <c r="C1920" s="4" t="s">
        <v>7286</v>
      </c>
      <c r="D1920" s="4" t="s">
        <v>5589</v>
      </c>
      <c r="E1920" s="6">
        <v>395000.0</v>
      </c>
    </row>
    <row r="1921" ht="15.75" customHeight="1">
      <c r="A1921" s="4"/>
      <c r="B1921" s="4"/>
      <c r="C1921" s="4" t="s">
        <v>7287</v>
      </c>
      <c r="D1921" s="4" t="s">
        <v>6278</v>
      </c>
      <c r="E1921" s="6">
        <v>410000.0</v>
      </c>
    </row>
    <row r="1922" ht="15.75" customHeight="1">
      <c r="A1922" s="4"/>
      <c r="B1922" s="4"/>
      <c r="C1922" s="4" t="s">
        <v>7288</v>
      </c>
      <c r="D1922" s="4" t="s">
        <v>5589</v>
      </c>
      <c r="E1922" s="6">
        <v>300000.0</v>
      </c>
    </row>
    <row r="1923" ht="15.75" customHeight="1">
      <c r="A1923" s="4"/>
      <c r="B1923" s="4"/>
      <c r="C1923" s="4" t="s">
        <v>7289</v>
      </c>
      <c r="D1923" s="4" t="s">
        <v>6278</v>
      </c>
      <c r="E1923" s="6">
        <v>320000.0</v>
      </c>
    </row>
    <row r="1924" ht="15.75" customHeight="1">
      <c r="A1924" s="4"/>
      <c r="B1924" s="4"/>
      <c r="C1924" s="4" t="s">
        <v>7290</v>
      </c>
      <c r="D1924" s="4" t="s">
        <v>5589</v>
      </c>
      <c r="E1924" s="6">
        <v>340000.0</v>
      </c>
    </row>
    <row r="1925" ht="15.75" customHeight="1">
      <c r="A1925" s="4"/>
      <c r="B1925" s="4"/>
      <c r="C1925" s="4" t="s">
        <v>7291</v>
      </c>
      <c r="D1925" s="4" t="s">
        <v>6278</v>
      </c>
      <c r="E1925" s="6">
        <v>360000.0</v>
      </c>
    </row>
    <row r="1926" ht="15.75" customHeight="1">
      <c r="A1926" s="4"/>
      <c r="B1926" s="4"/>
      <c r="C1926" s="4" t="s">
        <v>7292</v>
      </c>
      <c r="D1926" s="4" t="s">
        <v>5589</v>
      </c>
      <c r="E1926" s="6">
        <v>380000.0</v>
      </c>
    </row>
    <row r="1927" ht="15.75" customHeight="1">
      <c r="A1927" s="4"/>
      <c r="B1927" s="4"/>
      <c r="C1927" s="4" t="s">
        <v>7293</v>
      </c>
      <c r="D1927" s="4" t="s">
        <v>6278</v>
      </c>
      <c r="E1927" s="6">
        <v>400000.0</v>
      </c>
    </row>
    <row r="1928" ht="15.75" customHeight="1">
      <c r="A1928" s="4"/>
      <c r="B1928" s="4"/>
      <c r="C1928" s="4" t="s">
        <v>7294</v>
      </c>
      <c r="D1928" s="4" t="s">
        <v>5589</v>
      </c>
      <c r="E1928" s="6">
        <v>250000.0</v>
      </c>
    </row>
    <row r="1929" ht="15.75" customHeight="1">
      <c r="A1929" s="4"/>
      <c r="B1929" s="4"/>
      <c r="C1929" s="4" t="s">
        <v>7295</v>
      </c>
      <c r="D1929" s="4" t="s">
        <v>6278</v>
      </c>
      <c r="E1929" s="6">
        <v>270000.0</v>
      </c>
    </row>
    <row r="1930" ht="15.75" customHeight="1">
      <c r="A1930" s="4"/>
      <c r="B1930" s="4"/>
      <c r="C1930" s="4" t="s">
        <v>7296</v>
      </c>
      <c r="D1930" s="4" t="s">
        <v>5589</v>
      </c>
      <c r="E1930" s="6">
        <v>280000.0</v>
      </c>
    </row>
    <row r="1931" ht="15.75" customHeight="1">
      <c r="A1931" s="4"/>
      <c r="B1931" s="4"/>
      <c r="C1931" s="4" t="s">
        <v>7297</v>
      </c>
      <c r="D1931" s="4" t="s">
        <v>6278</v>
      </c>
      <c r="E1931" s="6">
        <v>300000.0</v>
      </c>
    </row>
    <row r="1932" ht="15.75" customHeight="1">
      <c r="A1932" s="4"/>
      <c r="B1932" s="4"/>
      <c r="C1932" s="4" t="s">
        <v>7298</v>
      </c>
      <c r="D1932" s="4" t="s">
        <v>5589</v>
      </c>
      <c r="E1932" s="6">
        <v>250000.0</v>
      </c>
    </row>
    <row r="1933" ht="15.75" customHeight="1">
      <c r="A1933" s="4"/>
      <c r="B1933" s="4"/>
      <c r="C1933" s="4" t="s">
        <v>7299</v>
      </c>
      <c r="D1933" s="4" t="s">
        <v>6278</v>
      </c>
      <c r="E1933" s="6">
        <v>260000.0</v>
      </c>
    </row>
    <row r="1934" ht="15.75" customHeight="1">
      <c r="A1934" s="4"/>
      <c r="B1934" s="4"/>
      <c r="C1934" s="4" t="s">
        <v>7300</v>
      </c>
      <c r="D1934" s="4" t="s">
        <v>5589</v>
      </c>
      <c r="E1934" s="6">
        <v>280000.0</v>
      </c>
    </row>
    <row r="1935" ht="15.75" customHeight="1">
      <c r="A1935" s="4"/>
      <c r="B1935" s="4"/>
      <c r="C1935" s="4" t="s">
        <v>7301</v>
      </c>
      <c r="D1935" s="4" t="s">
        <v>6278</v>
      </c>
      <c r="E1935" s="6">
        <v>300000.0</v>
      </c>
    </row>
    <row r="1936" ht="15.75" customHeight="1">
      <c r="A1936" s="4"/>
      <c r="B1936" s="4"/>
      <c r="C1936" s="4" t="s">
        <v>7302</v>
      </c>
      <c r="D1936" s="4" t="s">
        <v>5589</v>
      </c>
      <c r="E1936" s="6">
        <v>320000.0</v>
      </c>
    </row>
    <row r="1937" ht="15.75" customHeight="1">
      <c r="A1937" s="4"/>
      <c r="B1937" s="4"/>
      <c r="C1937" s="4" t="s">
        <v>7303</v>
      </c>
      <c r="D1937" s="4" t="s">
        <v>6278</v>
      </c>
      <c r="E1937" s="6">
        <v>350000.0</v>
      </c>
    </row>
    <row r="1938" ht="15.75" customHeight="1">
      <c r="A1938" s="4"/>
      <c r="B1938" s="4"/>
      <c r="C1938" s="4" t="s">
        <v>7304</v>
      </c>
      <c r="D1938" s="4" t="s">
        <v>5589</v>
      </c>
      <c r="E1938" s="6">
        <v>350000.0</v>
      </c>
    </row>
    <row r="1939" ht="15.75" customHeight="1">
      <c r="A1939" s="4"/>
      <c r="B1939" s="4"/>
      <c r="C1939" s="4" t="s">
        <v>7305</v>
      </c>
      <c r="D1939" s="4" t="s">
        <v>6278</v>
      </c>
      <c r="E1939" s="6">
        <v>370000.0</v>
      </c>
    </row>
    <row r="1940" ht="15.75" customHeight="1">
      <c r="A1940" s="4"/>
      <c r="B1940" s="4"/>
      <c r="C1940" s="4" t="s">
        <v>7306</v>
      </c>
      <c r="D1940" s="4" t="s">
        <v>5589</v>
      </c>
      <c r="E1940" s="6">
        <v>390000.0</v>
      </c>
    </row>
    <row r="1941" ht="15.75" customHeight="1">
      <c r="A1941" s="4"/>
      <c r="B1941" s="4"/>
      <c r="C1941" s="4" t="s">
        <v>7307</v>
      </c>
      <c r="D1941" s="4" t="s">
        <v>6278</v>
      </c>
      <c r="E1941" s="6">
        <v>400000.0</v>
      </c>
    </row>
    <row r="1942" ht="15.75" customHeight="1">
      <c r="A1942" s="4"/>
      <c r="B1942" s="4"/>
      <c r="C1942" s="4" t="s">
        <v>7308</v>
      </c>
      <c r="D1942" s="4" t="s">
        <v>5589</v>
      </c>
      <c r="E1942" s="6">
        <v>410000.0</v>
      </c>
    </row>
    <row r="1943" ht="15.75" customHeight="1">
      <c r="A1943" s="4"/>
      <c r="B1943" s="4"/>
      <c r="C1943" s="4" t="s">
        <v>7309</v>
      </c>
      <c r="D1943" s="4" t="s">
        <v>6278</v>
      </c>
      <c r="E1943" s="6">
        <v>420000.0</v>
      </c>
    </row>
    <row r="1944" ht="15.75" customHeight="1">
      <c r="A1944" s="4"/>
      <c r="B1944" s="4"/>
      <c r="C1944" s="4" t="s">
        <v>7310</v>
      </c>
      <c r="D1944" s="4" t="s">
        <v>6278</v>
      </c>
      <c r="E1944" s="6">
        <v>340000.0</v>
      </c>
    </row>
    <row r="1945" ht="15.75" customHeight="1">
      <c r="A1945" s="4"/>
      <c r="B1945" s="4"/>
      <c r="C1945" s="4" t="s">
        <v>7311</v>
      </c>
      <c r="D1945" s="4" t="s">
        <v>5589</v>
      </c>
      <c r="E1945" s="6">
        <v>350000.0</v>
      </c>
    </row>
    <row r="1946" ht="15.75" customHeight="1">
      <c r="A1946" s="4"/>
      <c r="B1946" s="4"/>
      <c r="C1946" s="4" t="s">
        <v>7312</v>
      </c>
      <c r="D1946" s="4" t="s">
        <v>6278</v>
      </c>
      <c r="E1946" s="6">
        <v>360000.0</v>
      </c>
    </row>
    <row r="1947" ht="15.75" customHeight="1">
      <c r="A1947" s="4"/>
      <c r="B1947" s="4"/>
      <c r="C1947" s="4" t="s">
        <v>7313</v>
      </c>
      <c r="D1947" s="4" t="s">
        <v>6278</v>
      </c>
      <c r="E1947" s="6">
        <v>370000.0</v>
      </c>
    </row>
    <row r="1948" ht="15.75" customHeight="1">
      <c r="A1948" s="4"/>
      <c r="B1948" s="4"/>
      <c r="C1948" s="4" t="s">
        <v>7314</v>
      </c>
      <c r="D1948" s="4" t="s">
        <v>5589</v>
      </c>
      <c r="E1948" s="6">
        <v>380000.0</v>
      </c>
    </row>
    <row r="1949" ht="15.75" customHeight="1">
      <c r="A1949" s="4"/>
      <c r="B1949" s="4"/>
      <c r="C1949" s="4" t="s">
        <v>7315</v>
      </c>
      <c r="D1949" s="4" t="s">
        <v>6278</v>
      </c>
      <c r="E1949" s="6">
        <v>390000.0</v>
      </c>
    </row>
    <row r="1950" ht="15.75" customHeight="1">
      <c r="A1950" s="4"/>
      <c r="B1950" s="4"/>
      <c r="C1950" s="4" t="s">
        <v>7316</v>
      </c>
      <c r="D1950" s="4" t="s">
        <v>6278</v>
      </c>
      <c r="E1950" s="6">
        <v>350000.0</v>
      </c>
    </row>
    <row r="1951" ht="15.75" customHeight="1">
      <c r="A1951" s="4"/>
      <c r="B1951" s="4"/>
      <c r="C1951" s="4" t="s">
        <v>7317</v>
      </c>
      <c r="D1951" s="4" t="s">
        <v>5589</v>
      </c>
      <c r="E1951" s="6">
        <v>360000.0</v>
      </c>
    </row>
    <row r="1952" ht="15.75" customHeight="1">
      <c r="A1952" s="4"/>
      <c r="B1952" s="4"/>
      <c r="C1952" s="4" t="s">
        <v>7318</v>
      </c>
      <c r="D1952" s="4" t="s">
        <v>6278</v>
      </c>
      <c r="E1952" s="6">
        <v>370000.0</v>
      </c>
    </row>
    <row r="1953" ht="15.75" customHeight="1">
      <c r="A1953" s="4"/>
      <c r="B1953" s="4"/>
      <c r="C1953" s="4" t="s">
        <v>7319</v>
      </c>
      <c r="D1953" s="4" t="s">
        <v>6278</v>
      </c>
      <c r="E1953" s="6">
        <v>380000.0</v>
      </c>
    </row>
    <row r="1954" ht="15.75" customHeight="1">
      <c r="A1954" s="4"/>
      <c r="B1954" s="4"/>
      <c r="C1954" s="4" t="s">
        <v>7320</v>
      </c>
      <c r="D1954" s="4" t="s">
        <v>5589</v>
      </c>
      <c r="E1954" s="6">
        <v>390000.0</v>
      </c>
    </row>
    <row r="1955" ht="15.75" customHeight="1">
      <c r="A1955" s="4"/>
      <c r="B1955" s="4"/>
      <c r="C1955" s="4" t="s">
        <v>7321</v>
      </c>
      <c r="D1955" s="4" t="s">
        <v>6278</v>
      </c>
      <c r="E1955" s="6">
        <v>400000.0</v>
      </c>
    </row>
    <row r="1956" ht="15.75" customHeight="1">
      <c r="A1956" s="4"/>
      <c r="B1956" s="4"/>
      <c r="C1956" s="4" t="s">
        <v>7322</v>
      </c>
      <c r="D1956" s="4" t="s">
        <v>6278</v>
      </c>
      <c r="E1956" s="6">
        <v>340000.0</v>
      </c>
    </row>
    <row r="1957" ht="15.75" customHeight="1">
      <c r="A1957" s="4"/>
      <c r="B1957" s="4"/>
      <c r="C1957" s="4" t="s">
        <v>7323</v>
      </c>
      <c r="D1957" s="4" t="s">
        <v>5589</v>
      </c>
      <c r="E1957" s="6">
        <v>350000.0</v>
      </c>
    </row>
    <row r="1958" ht="15.75" customHeight="1">
      <c r="A1958" s="4"/>
      <c r="B1958" s="4"/>
      <c r="C1958" s="4" t="s">
        <v>7324</v>
      </c>
      <c r="D1958" s="4" t="s">
        <v>6278</v>
      </c>
      <c r="E1958" s="6">
        <v>360000.0</v>
      </c>
    </row>
    <row r="1959" ht="15.75" customHeight="1">
      <c r="A1959" s="4"/>
      <c r="B1959" s="4"/>
      <c r="C1959" s="4" t="s">
        <v>7325</v>
      </c>
      <c r="D1959" s="4" t="s">
        <v>6278</v>
      </c>
      <c r="E1959" s="6">
        <v>370000.0</v>
      </c>
    </row>
    <row r="1960" ht="15.75" customHeight="1">
      <c r="A1960" s="4"/>
      <c r="B1960" s="4"/>
      <c r="C1960" s="4" t="s">
        <v>7326</v>
      </c>
      <c r="D1960" s="4" t="s">
        <v>5589</v>
      </c>
      <c r="E1960" s="6">
        <v>380000.0</v>
      </c>
    </row>
    <row r="1961" ht="15.75" customHeight="1">
      <c r="A1961" s="4"/>
      <c r="B1961" s="4"/>
      <c r="C1961" s="4" t="s">
        <v>7327</v>
      </c>
      <c r="D1961" s="4" t="s">
        <v>6278</v>
      </c>
      <c r="E1961" s="6">
        <v>390000.0</v>
      </c>
    </row>
    <row r="1962" ht="15.75" customHeight="1">
      <c r="A1962" s="4"/>
      <c r="B1962" s="4"/>
      <c r="C1962" s="4" t="s">
        <v>7328</v>
      </c>
      <c r="D1962" s="4" t="s">
        <v>6278</v>
      </c>
      <c r="E1962" s="6">
        <v>340000.0</v>
      </c>
    </row>
    <row r="1963" ht="15.75" customHeight="1">
      <c r="A1963" s="4"/>
      <c r="B1963" s="4"/>
      <c r="C1963" s="4" t="s">
        <v>7329</v>
      </c>
      <c r="D1963" s="4" t="s">
        <v>5589</v>
      </c>
      <c r="E1963" s="6">
        <v>350000.0</v>
      </c>
    </row>
    <row r="1964" ht="15.75" customHeight="1">
      <c r="A1964" s="4"/>
      <c r="B1964" s="4"/>
      <c r="C1964" s="4" t="s">
        <v>7330</v>
      </c>
      <c r="D1964" s="4" t="s">
        <v>5589</v>
      </c>
      <c r="E1964" s="6">
        <v>360000.0</v>
      </c>
    </row>
    <row r="1965" ht="15.75" customHeight="1">
      <c r="A1965" s="4"/>
      <c r="B1965" s="4"/>
      <c r="C1965" s="4" t="s">
        <v>7331</v>
      </c>
      <c r="D1965" s="4" t="s">
        <v>6278</v>
      </c>
      <c r="E1965" s="6">
        <v>370000.0</v>
      </c>
    </row>
    <row r="1966" ht="15.75" customHeight="1">
      <c r="A1966" s="4"/>
      <c r="B1966" s="4"/>
      <c r="C1966" s="4" t="s">
        <v>7332</v>
      </c>
      <c r="D1966" s="4" t="s">
        <v>5589</v>
      </c>
      <c r="E1966" s="6">
        <v>390000.0</v>
      </c>
    </row>
    <row r="1967" ht="15.75" customHeight="1">
      <c r="A1967" s="4"/>
      <c r="B1967" s="4"/>
      <c r="C1967" s="4" t="s">
        <v>7333</v>
      </c>
      <c r="D1967" s="4" t="s">
        <v>6278</v>
      </c>
      <c r="E1967" s="6">
        <v>340000.0</v>
      </c>
    </row>
    <row r="1968" ht="15.75" customHeight="1">
      <c r="A1968" s="4"/>
      <c r="B1968" s="4"/>
      <c r="C1968" s="4" t="s">
        <v>7334</v>
      </c>
      <c r="D1968" s="4" t="s">
        <v>5589</v>
      </c>
      <c r="E1968" s="6">
        <v>350000.0</v>
      </c>
    </row>
    <row r="1969" ht="15.75" customHeight="1">
      <c r="A1969" s="4"/>
      <c r="B1969" s="4"/>
      <c r="C1969" s="4" t="s">
        <v>7335</v>
      </c>
      <c r="D1969" s="4" t="s">
        <v>6278</v>
      </c>
      <c r="E1969" s="6">
        <v>360000.0</v>
      </c>
    </row>
    <row r="1970" ht="15.75" customHeight="1">
      <c r="A1970" s="4"/>
      <c r="B1970" s="4"/>
      <c r="C1970" s="4" t="s">
        <v>7336</v>
      </c>
      <c r="D1970" s="4" t="s">
        <v>5589</v>
      </c>
      <c r="E1970" s="6">
        <v>370000.0</v>
      </c>
    </row>
    <row r="1971" ht="15.75" customHeight="1">
      <c r="A1971" s="4"/>
      <c r="B1971" s="4"/>
      <c r="C1971" s="4" t="s">
        <v>7337</v>
      </c>
      <c r="D1971" s="4" t="s">
        <v>6278</v>
      </c>
      <c r="E1971" s="6">
        <v>380000.0</v>
      </c>
    </row>
    <row r="1972" ht="15.75" customHeight="1">
      <c r="A1972" s="4"/>
      <c r="B1972" s="4"/>
      <c r="C1972" s="4" t="s">
        <v>7338</v>
      </c>
      <c r="D1972" s="4" t="s">
        <v>5589</v>
      </c>
      <c r="E1972" s="6">
        <v>340000.0</v>
      </c>
    </row>
    <row r="1973" ht="15.75" customHeight="1">
      <c r="A1973" s="4"/>
      <c r="B1973" s="4"/>
      <c r="C1973" s="4" t="s">
        <v>7339</v>
      </c>
      <c r="D1973" s="4" t="s">
        <v>6278</v>
      </c>
      <c r="E1973" s="6">
        <v>350000.0</v>
      </c>
    </row>
    <row r="1974" ht="15.75" customHeight="1">
      <c r="A1974" s="4"/>
      <c r="B1974" s="4"/>
      <c r="C1974" s="4" t="s">
        <v>7340</v>
      </c>
      <c r="D1974" s="4" t="s">
        <v>5589</v>
      </c>
      <c r="E1974" s="6">
        <v>360000.0</v>
      </c>
    </row>
    <row r="1975" ht="15.75" customHeight="1">
      <c r="A1975" s="4"/>
      <c r="B1975" s="4"/>
      <c r="C1975" s="4" t="s">
        <v>7341</v>
      </c>
      <c r="D1975" s="4" t="s">
        <v>6278</v>
      </c>
      <c r="E1975" s="6">
        <v>370000.0</v>
      </c>
    </row>
    <row r="1976" ht="15.75" customHeight="1">
      <c r="A1976" s="4"/>
      <c r="B1976" s="4"/>
      <c r="C1976" s="4" t="s">
        <v>7342</v>
      </c>
      <c r="D1976" s="4" t="s">
        <v>5589</v>
      </c>
      <c r="E1976" s="6">
        <v>380000.0</v>
      </c>
    </row>
    <row r="1977" ht="15.75" customHeight="1">
      <c r="A1977" s="4"/>
      <c r="B1977" s="4"/>
      <c r="C1977" s="4" t="s">
        <v>7343</v>
      </c>
      <c r="D1977" s="4" t="s">
        <v>6278</v>
      </c>
      <c r="E1977" s="6">
        <v>340000.0</v>
      </c>
    </row>
    <row r="1978" ht="15.75" customHeight="1">
      <c r="A1978" s="4"/>
      <c r="B1978" s="4"/>
      <c r="C1978" s="4" t="s">
        <v>7344</v>
      </c>
      <c r="D1978" s="4" t="s">
        <v>5589</v>
      </c>
      <c r="E1978" s="6">
        <v>350000.0</v>
      </c>
    </row>
    <row r="1979" ht="15.75" customHeight="1">
      <c r="A1979" s="4"/>
      <c r="B1979" s="4"/>
      <c r="C1979" s="4" t="s">
        <v>7345</v>
      </c>
      <c r="D1979" s="4" t="s">
        <v>6278</v>
      </c>
      <c r="E1979" s="6">
        <v>360000.0</v>
      </c>
    </row>
    <row r="1980" ht="15.75" customHeight="1">
      <c r="A1980" s="4"/>
      <c r="B1980" s="4"/>
      <c r="C1980" s="4" t="s">
        <v>7346</v>
      </c>
      <c r="D1980" s="4" t="s">
        <v>5589</v>
      </c>
      <c r="E1980" s="6">
        <v>370000.0</v>
      </c>
    </row>
    <row r="1981" ht="15.75" customHeight="1">
      <c r="A1981" s="4"/>
      <c r="B1981" s="4"/>
      <c r="C1981" s="4" t="s">
        <v>7347</v>
      </c>
      <c r="D1981" s="4" t="s">
        <v>6278</v>
      </c>
      <c r="E1981" s="6">
        <v>380000.0</v>
      </c>
    </row>
    <row r="1982" ht="15.75" customHeight="1">
      <c r="A1982" s="4"/>
      <c r="B1982" s="4"/>
      <c r="C1982" s="4" t="s">
        <v>7348</v>
      </c>
      <c r="D1982" s="4" t="s">
        <v>5589</v>
      </c>
      <c r="E1982" s="6">
        <v>330000.0</v>
      </c>
    </row>
    <row r="1983" ht="15.75" customHeight="1">
      <c r="A1983" s="4"/>
      <c r="B1983" s="4"/>
      <c r="C1983" s="4" t="s">
        <v>7349</v>
      </c>
      <c r="D1983" s="4" t="s">
        <v>6278</v>
      </c>
      <c r="E1983" s="6">
        <v>340000.0</v>
      </c>
    </row>
    <row r="1984" ht="15.75" customHeight="1">
      <c r="A1984" s="4"/>
      <c r="B1984" s="4"/>
      <c r="C1984" s="4" t="s">
        <v>7350</v>
      </c>
      <c r="D1984" s="4" t="s">
        <v>5589</v>
      </c>
      <c r="E1984" s="6">
        <v>350000.0</v>
      </c>
    </row>
    <row r="1985" ht="15.75" customHeight="1">
      <c r="A1985" s="4"/>
      <c r="B1985" s="4"/>
      <c r="C1985" s="4" t="s">
        <v>7351</v>
      </c>
      <c r="D1985" s="4" t="s">
        <v>6278</v>
      </c>
      <c r="E1985" s="6">
        <v>360000.0</v>
      </c>
    </row>
    <row r="1986" ht="15.75" customHeight="1">
      <c r="A1986" s="4"/>
      <c r="B1986" s="4"/>
      <c r="C1986" s="4" t="s">
        <v>7352</v>
      </c>
      <c r="D1986" s="4" t="s">
        <v>5589</v>
      </c>
      <c r="E1986" s="6">
        <v>370000.0</v>
      </c>
    </row>
    <row r="1987" ht="15.75" customHeight="1">
      <c r="A1987" s="4"/>
      <c r="B1987" s="4"/>
      <c r="C1987" s="4" t="s">
        <v>7353</v>
      </c>
      <c r="D1987" s="4" t="s">
        <v>6278</v>
      </c>
      <c r="E1987" s="6">
        <v>330000.0</v>
      </c>
    </row>
    <row r="1988" ht="15.75" customHeight="1">
      <c r="A1988" s="4"/>
      <c r="B1988" s="4"/>
      <c r="C1988" s="4" t="s">
        <v>7354</v>
      </c>
      <c r="D1988" s="4" t="s">
        <v>5589</v>
      </c>
      <c r="E1988" s="6">
        <v>340000.0</v>
      </c>
    </row>
    <row r="1989" ht="15.75" customHeight="1">
      <c r="A1989" s="4"/>
      <c r="B1989" s="4"/>
      <c r="C1989" s="4" t="s">
        <v>7355</v>
      </c>
      <c r="D1989" s="4" t="s">
        <v>6278</v>
      </c>
      <c r="E1989" s="6">
        <v>350000.0</v>
      </c>
    </row>
    <row r="1990" ht="15.75" customHeight="1">
      <c r="A1990" s="4"/>
      <c r="B1990" s="4"/>
      <c r="C1990" s="4" t="s">
        <v>7356</v>
      </c>
      <c r="D1990" s="4" t="s">
        <v>5589</v>
      </c>
      <c r="E1990" s="6">
        <v>360000.0</v>
      </c>
    </row>
    <row r="1991" ht="15.75" customHeight="1">
      <c r="A1991" s="4"/>
      <c r="B1991" s="4"/>
      <c r="C1991" s="4" t="s">
        <v>7357</v>
      </c>
      <c r="D1991" s="4" t="s">
        <v>6278</v>
      </c>
      <c r="E1991" s="6">
        <v>370000.0</v>
      </c>
    </row>
    <row r="1992" ht="15.75" customHeight="1">
      <c r="A1992" s="4"/>
      <c r="B1992" s="4"/>
      <c r="C1992" s="4" t="s">
        <v>7358</v>
      </c>
      <c r="D1992" s="4" t="s">
        <v>5589</v>
      </c>
      <c r="E1992" s="6">
        <v>380000.0</v>
      </c>
    </row>
    <row r="1993" ht="15.75" customHeight="1">
      <c r="A1993" s="4" t="s">
        <v>6678</v>
      </c>
      <c r="B1993" s="4"/>
      <c r="C1993" s="4" t="s">
        <v>7359</v>
      </c>
      <c r="D1993" s="4" t="s">
        <v>27</v>
      </c>
      <c r="E1993" s="6">
        <v>175000.0</v>
      </c>
    </row>
    <row r="1994" ht="15.75" customHeight="1">
      <c r="A1994" s="4" t="s">
        <v>7360</v>
      </c>
      <c r="B1994" s="4"/>
      <c r="C1994" s="4" t="s">
        <v>7361</v>
      </c>
      <c r="D1994" s="4" t="s">
        <v>27</v>
      </c>
      <c r="E1994" s="6">
        <v>219000.0</v>
      </c>
    </row>
    <row r="1995" ht="15.75" customHeight="1">
      <c r="A1995" s="4" t="s">
        <v>7362</v>
      </c>
      <c r="B1995" s="4"/>
      <c r="C1995" s="4" t="s">
        <v>7363</v>
      </c>
      <c r="D1995" s="4" t="s">
        <v>27</v>
      </c>
      <c r="E1995" s="6">
        <v>265000.0</v>
      </c>
    </row>
    <row r="1996" ht="15.75" customHeight="1">
      <c r="A1996" s="4" t="s">
        <v>7364</v>
      </c>
      <c r="B1996" s="4"/>
      <c r="C1996" s="4" t="s">
        <v>7365</v>
      </c>
      <c r="D1996" s="4" t="s">
        <v>27</v>
      </c>
      <c r="E1996" s="6">
        <v>309000.0</v>
      </c>
    </row>
    <row r="1997" ht="15.75" customHeight="1">
      <c r="A1997" s="4" t="s">
        <v>7366</v>
      </c>
      <c r="B1997" s="4"/>
      <c r="C1997" s="4" t="s">
        <v>7367</v>
      </c>
      <c r="D1997" s="4" t="s">
        <v>27</v>
      </c>
      <c r="E1997" s="6">
        <v>352000.0</v>
      </c>
    </row>
    <row r="1998" ht="15.75" customHeight="1">
      <c r="A1998" s="4" t="s">
        <v>7368</v>
      </c>
      <c r="B1998" s="4"/>
      <c r="C1998" s="4" t="s">
        <v>7369</v>
      </c>
      <c r="D1998" s="4" t="s">
        <v>43</v>
      </c>
      <c r="E1998" s="6">
        <v>6000.0</v>
      </c>
    </row>
    <row r="1999" ht="15.75" customHeight="1">
      <c r="A1999" s="4"/>
      <c r="B1999" s="4"/>
      <c r="C1999" s="4" t="s">
        <v>7370</v>
      </c>
      <c r="D1999" s="4" t="s">
        <v>5313</v>
      </c>
      <c r="E1999" s="6">
        <v>900.0</v>
      </c>
    </row>
    <row r="2000" ht="15.75" customHeight="1">
      <c r="A2000" s="4" t="s">
        <v>7371</v>
      </c>
      <c r="B2000" s="4"/>
      <c r="C2000" s="4" t="s">
        <v>7372</v>
      </c>
      <c r="D2000" s="4" t="s">
        <v>43</v>
      </c>
      <c r="E2000" s="6">
        <v>1000.0</v>
      </c>
    </row>
    <row r="2001" ht="15.75" customHeight="1">
      <c r="A2001" s="4" t="s">
        <v>7373</v>
      </c>
      <c r="B2001" s="4"/>
      <c r="C2001" s="4" t="s">
        <v>7374</v>
      </c>
      <c r="D2001" s="4" t="s">
        <v>27</v>
      </c>
      <c r="E2001" s="6">
        <v>4100.0</v>
      </c>
    </row>
    <row r="2002" ht="15.75" customHeight="1">
      <c r="A2002" s="4"/>
      <c r="B2002" s="4"/>
      <c r="C2002" s="4" t="s">
        <v>7375</v>
      </c>
      <c r="D2002" s="4" t="s">
        <v>419</v>
      </c>
      <c r="E2002" s="6">
        <v>5400.0</v>
      </c>
    </row>
    <row r="2003" ht="15.75" customHeight="1">
      <c r="A2003" s="4"/>
      <c r="B2003" s="4"/>
      <c r="C2003" s="4" t="s">
        <v>7376</v>
      </c>
      <c r="D2003" s="4" t="s">
        <v>7377</v>
      </c>
      <c r="E2003" s="6">
        <v>20000.0</v>
      </c>
    </row>
    <row r="2004" ht="15.75" customHeight="1">
      <c r="A2004" s="4"/>
      <c r="B2004" s="4"/>
      <c r="C2004" s="4" t="s">
        <v>7378</v>
      </c>
      <c r="D2004" s="4" t="s">
        <v>419</v>
      </c>
      <c r="E2004" s="6">
        <v>4000.0</v>
      </c>
    </row>
    <row r="2005" ht="15.75" customHeight="1">
      <c r="A2005" s="4"/>
      <c r="B2005" s="4"/>
      <c r="C2005" s="4" t="s">
        <v>7379</v>
      </c>
      <c r="D2005" s="4" t="s">
        <v>5313</v>
      </c>
      <c r="E2005" s="6">
        <v>24000.0</v>
      </c>
    </row>
    <row r="2006" ht="15.75" customHeight="1">
      <c r="A2006" s="4"/>
      <c r="B2006" s="4"/>
      <c r="C2006" s="4" t="s">
        <v>7380</v>
      </c>
      <c r="D2006" s="4" t="s">
        <v>6774</v>
      </c>
      <c r="E2006" s="6">
        <v>33000.0</v>
      </c>
    </row>
    <row r="2007" ht="15.75" customHeight="1">
      <c r="A2007" s="4"/>
      <c r="B2007" s="4"/>
      <c r="C2007" s="4" t="s">
        <v>7381</v>
      </c>
      <c r="D2007" s="4" t="s">
        <v>7382</v>
      </c>
      <c r="E2007" s="6">
        <v>76000.0</v>
      </c>
    </row>
    <row r="2008" ht="15.75" customHeight="1">
      <c r="A2008" s="4"/>
      <c r="B2008" s="4"/>
      <c r="C2008" s="4" t="s">
        <v>7383</v>
      </c>
      <c r="D2008" s="4" t="s">
        <v>6774</v>
      </c>
      <c r="E2008" s="6">
        <v>108000.0</v>
      </c>
    </row>
    <row r="2009" ht="15.75" customHeight="1">
      <c r="A2009" s="4"/>
      <c r="B2009" s="4"/>
      <c r="C2009" s="4" t="s">
        <v>7384</v>
      </c>
      <c r="D2009" s="4" t="s">
        <v>5313</v>
      </c>
      <c r="E2009" s="6">
        <v>180000.0</v>
      </c>
    </row>
    <row r="2010" ht="15.75" customHeight="1">
      <c r="A2010" s="4"/>
      <c r="B2010" s="4"/>
      <c r="C2010" s="4" t="s">
        <v>7385</v>
      </c>
      <c r="D2010" s="4" t="s">
        <v>6774</v>
      </c>
      <c r="E2010" s="6">
        <v>70000.0</v>
      </c>
    </row>
    <row r="2011" ht="15.75" customHeight="1">
      <c r="A2011" s="4"/>
      <c r="B2011" s="4"/>
      <c r="C2011" s="4" t="s">
        <v>7386</v>
      </c>
      <c r="D2011" s="4" t="s">
        <v>5313</v>
      </c>
      <c r="E2011" s="6">
        <v>67900.0</v>
      </c>
    </row>
    <row r="2012" ht="15.75" customHeight="1">
      <c r="A2012" s="4"/>
      <c r="B2012" s="4"/>
      <c r="C2012" s="4" t="s">
        <v>7387</v>
      </c>
      <c r="D2012" s="4" t="s">
        <v>5313</v>
      </c>
      <c r="E2012" s="6">
        <v>4000.0</v>
      </c>
    </row>
    <row r="2013" ht="15.75" customHeight="1">
      <c r="A2013" s="4"/>
      <c r="B2013" s="4"/>
      <c r="C2013" s="4" t="s">
        <v>7388</v>
      </c>
      <c r="D2013" s="4" t="s">
        <v>5313</v>
      </c>
      <c r="E2013" s="6">
        <v>700.0</v>
      </c>
    </row>
    <row r="2014" ht="15.75" customHeight="1">
      <c r="A2014" s="4"/>
      <c r="B2014" s="4"/>
      <c r="C2014" s="4" t="s">
        <v>7389</v>
      </c>
      <c r="D2014" s="4" t="s">
        <v>5313</v>
      </c>
      <c r="E2014" s="6">
        <v>298.0</v>
      </c>
    </row>
    <row r="2015" ht="15.75" customHeight="1">
      <c r="A2015" s="4"/>
      <c r="B2015" s="4"/>
      <c r="C2015" s="4" t="s">
        <v>7390</v>
      </c>
      <c r="D2015" s="4" t="s">
        <v>419</v>
      </c>
      <c r="E2015" s="6">
        <v>416.0</v>
      </c>
    </row>
    <row r="2016" ht="15.75" customHeight="1">
      <c r="A2016" s="4"/>
      <c r="B2016" s="4"/>
      <c r="C2016" s="4" t="s">
        <v>7391</v>
      </c>
      <c r="D2016" s="4" t="s">
        <v>5313</v>
      </c>
      <c r="E2016" s="6">
        <v>580.0</v>
      </c>
    </row>
    <row r="2017" ht="15.75" customHeight="1">
      <c r="A2017" s="4"/>
      <c r="B2017" s="4"/>
      <c r="C2017" s="4" t="s">
        <v>7392</v>
      </c>
      <c r="D2017" s="4" t="s">
        <v>5313</v>
      </c>
      <c r="E2017" s="6">
        <v>550.0</v>
      </c>
    </row>
    <row r="2018" ht="15.75" customHeight="1">
      <c r="A2018" s="4"/>
      <c r="B2018" s="4"/>
      <c r="C2018" s="4" t="s">
        <v>7393</v>
      </c>
      <c r="D2018" s="4" t="s">
        <v>5313</v>
      </c>
      <c r="E2018" s="6">
        <v>21.5</v>
      </c>
    </row>
    <row r="2019" ht="15.75" customHeight="1">
      <c r="A2019" s="4"/>
      <c r="B2019" s="4"/>
      <c r="C2019" s="4" t="s">
        <v>7394</v>
      </c>
      <c r="D2019" s="4" t="s">
        <v>5553</v>
      </c>
      <c r="E2019" s="6">
        <v>534000.0</v>
      </c>
    </row>
    <row r="2020" ht="15.75" customHeight="1">
      <c r="A2020" s="4"/>
      <c r="B2020" s="4"/>
      <c r="C2020" s="4" t="s">
        <v>7395</v>
      </c>
      <c r="D2020" s="4" t="s">
        <v>5553</v>
      </c>
      <c r="E2020" s="6">
        <v>3150000.0</v>
      </c>
    </row>
    <row r="2021" ht="15.75" customHeight="1">
      <c r="A2021" s="4"/>
      <c r="B2021" s="4"/>
      <c r="C2021" s="4" t="s">
        <v>7396</v>
      </c>
      <c r="D2021" s="4" t="s">
        <v>5313</v>
      </c>
      <c r="E2021" s="6">
        <v>2000000.0</v>
      </c>
    </row>
    <row r="2022" ht="15.75" customHeight="1">
      <c r="A2022" s="4"/>
      <c r="B2022" s="4"/>
      <c r="C2022" s="4" t="s">
        <v>7397</v>
      </c>
      <c r="D2022" s="4" t="s">
        <v>5313</v>
      </c>
      <c r="E2022" s="6">
        <v>3.39E7</v>
      </c>
    </row>
    <row r="2023" ht="15.75" customHeight="1">
      <c r="A2023" s="4"/>
      <c r="B2023" s="4"/>
      <c r="C2023" s="4" t="s">
        <v>7398</v>
      </c>
      <c r="D2023" s="4" t="s">
        <v>5553</v>
      </c>
      <c r="E2023" s="6">
        <v>3100000.0</v>
      </c>
    </row>
    <row r="2024" ht="15.75" customHeight="1">
      <c r="A2024" s="4"/>
      <c r="B2024" s="4"/>
      <c r="C2024" s="4" t="s">
        <v>7399</v>
      </c>
      <c r="D2024" s="4" t="s">
        <v>5553</v>
      </c>
      <c r="E2024" s="6">
        <v>1500000.0</v>
      </c>
    </row>
    <row r="2025" ht="15.75" customHeight="1">
      <c r="A2025" s="4"/>
      <c r="B2025" s="4"/>
      <c r="C2025" s="4" t="s">
        <v>7400</v>
      </c>
      <c r="D2025" s="4" t="s">
        <v>5553</v>
      </c>
      <c r="E2025" s="6">
        <v>4500000.0</v>
      </c>
    </row>
    <row r="2026" ht="15.75" customHeight="1">
      <c r="A2026" s="4"/>
      <c r="B2026" s="4"/>
      <c r="C2026" s="4" t="s">
        <v>7401</v>
      </c>
      <c r="D2026" s="4" t="s">
        <v>5589</v>
      </c>
      <c r="E2026" s="6">
        <v>4900000.0</v>
      </c>
    </row>
    <row r="2027" ht="15.75" customHeight="1">
      <c r="A2027" s="4"/>
      <c r="B2027" s="4"/>
      <c r="C2027" s="4" t="s">
        <v>7402</v>
      </c>
      <c r="D2027" s="4" t="s">
        <v>2608</v>
      </c>
      <c r="E2027" s="6">
        <v>3500000.0</v>
      </c>
    </row>
    <row r="2028" ht="15.75" customHeight="1">
      <c r="A2028" s="4"/>
      <c r="B2028" s="4"/>
      <c r="C2028" s="4" t="s">
        <v>7403</v>
      </c>
      <c r="D2028" s="4" t="s">
        <v>2608</v>
      </c>
      <c r="E2028" s="6">
        <v>3300000.0</v>
      </c>
    </row>
    <row r="2029" ht="15.75" customHeight="1">
      <c r="A2029" s="4"/>
      <c r="B2029" s="4"/>
      <c r="C2029" s="4" t="s">
        <v>7404</v>
      </c>
      <c r="D2029" s="4" t="s">
        <v>5589</v>
      </c>
      <c r="E2029" s="6">
        <v>3200000.0</v>
      </c>
    </row>
    <row r="2030" ht="15.75" customHeight="1">
      <c r="A2030" s="4"/>
      <c r="B2030" s="4"/>
      <c r="C2030" s="4" t="s">
        <v>7405</v>
      </c>
      <c r="D2030" s="4" t="s">
        <v>2608</v>
      </c>
      <c r="E2030" s="6">
        <v>3000000.0</v>
      </c>
    </row>
    <row r="2031" ht="15.75" customHeight="1">
      <c r="A2031" s="4"/>
      <c r="B2031" s="4"/>
      <c r="C2031" s="4" t="s">
        <v>7406</v>
      </c>
      <c r="D2031" s="4" t="s">
        <v>2608</v>
      </c>
      <c r="E2031" s="6">
        <v>2500000.0</v>
      </c>
    </row>
    <row r="2032" ht="15.75" customHeight="1">
      <c r="A2032" s="4"/>
      <c r="B2032" s="4"/>
      <c r="C2032" s="4" t="s">
        <v>7407</v>
      </c>
      <c r="D2032" s="4" t="s">
        <v>6278</v>
      </c>
      <c r="E2032" s="6">
        <v>3500000.0</v>
      </c>
    </row>
    <row r="2033" ht="15.75" customHeight="1">
      <c r="A2033" s="4"/>
      <c r="B2033" s="4"/>
      <c r="C2033" s="4" t="s">
        <v>7408</v>
      </c>
      <c r="D2033" s="4" t="s">
        <v>2608</v>
      </c>
      <c r="E2033" s="6">
        <v>5500000.0</v>
      </c>
    </row>
    <row r="2034" ht="15.75" customHeight="1">
      <c r="A2034" s="4"/>
      <c r="B2034" s="4"/>
      <c r="C2034" s="4" t="s">
        <v>7409</v>
      </c>
      <c r="D2034" s="4" t="s">
        <v>5553</v>
      </c>
      <c r="E2034" s="6">
        <v>5700000.0</v>
      </c>
    </row>
    <row r="2035" ht="15.75" customHeight="1">
      <c r="A2035" s="4"/>
      <c r="B2035" s="4"/>
      <c r="C2035" s="4" t="s">
        <v>7410</v>
      </c>
      <c r="D2035" s="4" t="s">
        <v>2608</v>
      </c>
      <c r="E2035" s="6">
        <v>3500000.0</v>
      </c>
    </row>
    <row r="2036" ht="15.75" customHeight="1">
      <c r="A2036" s="4"/>
      <c r="B2036" s="4"/>
      <c r="C2036" s="4" t="s">
        <v>7411</v>
      </c>
      <c r="D2036" s="4" t="s">
        <v>5553</v>
      </c>
      <c r="E2036" s="6">
        <v>4900000.0</v>
      </c>
    </row>
    <row r="2037" ht="15.75" customHeight="1">
      <c r="A2037" s="4"/>
      <c r="B2037" s="4"/>
      <c r="C2037" s="4" t="s">
        <v>7412</v>
      </c>
      <c r="D2037" s="4" t="s">
        <v>5553</v>
      </c>
      <c r="E2037" s="6">
        <v>1700000.0</v>
      </c>
    </row>
    <row r="2038" ht="15.75" customHeight="1">
      <c r="A2038" s="4"/>
      <c r="B2038" s="4"/>
      <c r="C2038" s="4" t="s">
        <v>7413</v>
      </c>
      <c r="D2038" s="4" t="s">
        <v>5553</v>
      </c>
      <c r="E2038" s="6">
        <v>2300000.0</v>
      </c>
    </row>
    <row r="2039" ht="15.75" customHeight="1">
      <c r="A2039" s="4"/>
      <c r="B2039" s="4"/>
      <c r="C2039" s="4" t="s">
        <v>7414</v>
      </c>
      <c r="D2039" s="4" t="s">
        <v>5553</v>
      </c>
      <c r="E2039" s="6">
        <v>2500000.0</v>
      </c>
    </row>
    <row r="2040" ht="15.75" customHeight="1">
      <c r="A2040" s="4"/>
      <c r="B2040" s="4"/>
      <c r="C2040" s="4" t="s">
        <v>7415</v>
      </c>
      <c r="D2040" s="4" t="s">
        <v>5553</v>
      </c>
      <c r="E2040" s="6">
        <v>1900000.0</v>
      </c>
    </row>
    <row r="2041" ht="15.75" customHeight="1">
      <c r="A2041" s="4"/>
      <c r="B2041" s="4"/>
      <c r="C2041" s="4" t="s">
        <v>7416</v>
      </c>
      <c r="D2041" s="4" t="s">
        <v>5553</v>
      </c>
      <c r="E2041" s="6">
        <v>2100000.0</v>
      </c>
    </row>
    <row r="2042" ht="15.75" customHeight="1">
      <c r="A2042" s="4"/>
      <c r="B2042" s="4"/>
      <c r="C2042" s="4" t="s">
        <v>7417</v>
      </c>
      <c r="D2042" s="4" t="s">
        <v>5553</v>
      </c>
      <c r="E2042" s="6">
        <v>450000.0</v>
      </c>
    </row>
    <row r="2043" ht="15.75" customHeight="1">
      <c r="A2043" s="4"/>
      <c r="B2043" s="4"/>
      <c r="C2043" s="4" t="s">
        <v>7418</v>
      </c>
      <c r="D2043" s="4" t="s">
        <v>2608</v>
      </c>
      <c r="E2043" s="6">
        <v>7.5E7</v>
      </c>
    </row>
    <row r="2044" ht="15.75" customHeight="1">
      <c r="A2044" s="4"/>
      <c r="B2044" s="4"/>
      <c r="C2044" s="4" t="s">
        <v>7419</v>
      </c>
      <c r="D2044" s="4" t="s">
        <v>5553</v>
      </c>
      <c r="E2044" s="6">
        <v>7.9E7</v>
      </c>
    </row>
    <row r="2045" ht="15.75" customHeight="1">
      <c r="A2045" s="4"/>
      <c r="B2045" s="4"/>
      <c r="C2045" s="4" t="s">
        <v>7420</v>
      </c>
      <c r="D2045" s="4" t="s">
        <v>5553</v>
      </c>
      <c r="E2045" s="6">
        <v>8.5E7</v>
      </c>
    </row>
    <row r="2046" ht="15.75" customHeight="1">
      <c r="A2046" s="4"/>
      <c r="B2046" s="4"/>
      <c r="C2046" s="4" t="s">
        <v>7421</v>
      </c>
      <c r="D2046" s="4" t="s">
        <v>5553</v>
      </c>
      <c r="E2046" s="6">
        <v>1.8E7</v>
      </c>
    </row>
    <row r="2047" ht="15.75" customHeight="1">
      <c r="A2047" s="4"/>
      <c r="B2047" s="4"/>
      <c r="C2047" s="4" t="s">
        <v>7422</v>
      </c>
      <c r="D2047" s="4" t="s">
        <v>5553</v>
      </c>
      <c r="E2047" s="6">
        <v>4000000.0</v>
      </c>
    </row>
    <row r="2048" ht="15.75" customHeight="1">
      <c r="A2048" s="4"/>
      <c r="B2048" s="4"/>
      <c r="C2048" s="4" t="s">
        <v>7423</v>
      </c>
      <c r="D2048" s="4" t="s">
        <v>6774</v>
      </c>
      <c r="E2048" s="6">
        <v>4000000.0</v>
      </c>
    </row>
    <row r="2049" ht="15.75" customHeight="1">
      <c r="A2049" s="4"/>
      <c r="B2049" s="4"/>
      <c r="C2049" s="4" t="s">
        <v>7424</v>
      </c>
      <c r="D2049" s="4" t="s">
        <v>2608</v>
      </c>
      <c r="E2049" s="6">
        <v>1.7E7</v>
      </c>
    </row>
    <row r="2050" ht="15.75" customHeight="1">
      <c r="A2050" s="4"/>
      <c r="B2050" s="4"/>
      <c r="C2050" s="4" t="s">
        <v>7425</v>
      </c>
      <c r="D2050" s="4" t="s">
        <v>5313</v>
      </c>
      <c r="E2050" s="6">
        <v>82000.0</v>
      </c>
    </row>
    <row r="2051" ht="15.75" customHeight="1">
      <c r="A2051" s="4"/>
      <c r="B2051" s="4"/>
      <c r="C2051" s="4" t="s">
        <v>7426</v>
      </c>
      <c r="D2051" s="4" t="s">
        <v>5313</v>
      </c>
      <c r="E2051" s="6">
        <v>22000.0</v>
      </c>
    </row>
    <row r="2052" ht="15.75" customHeight="1">
      <c r="A2052" s="4"/>
      <c r="B2052" s="4"/>
      <c r="C2052" s="4" t="s">
        <v>7427</v>
      </c>
      <c r="D2052" s="4" t="s">
        <v>5313</v>
      </c>
      <c r="E2052" s="6">
        <v>5200.0</v>
      </c>
    </row>
    <row r="2053" ht="15.75" customHeight="1">
      <c r="A2053" s="4"/>
      <c r="B2053" s="4"/>
      <c r="C2053" s="4" t="s">
        <v>7428</v>
      </c>
      <c r="D2053" s="4" t="s">
        <v>43</v>
      </c>
      <c r="E2053" s="6">
        <v>110000.0</v>
      </c>
    </row>
    <row r="2054" ht="15.75" customHeight="1">
      <c r="A2054" s="4"/>
      <c r="B2054" s="4"/>
      <c r="C2054" s="4" t="s">
        <v>7429</v>
      </c>
      <c r="D2054" s="4" t="s">
        <v>5313</v>
      </c>
      <c r="E2054" s="6">
        <v>70500.0</v>
      </c>
    </row>
    <row r="2055" ht="15.75" customHeight="1">
      <c r="A2055" s="4"/>
      <c r="B2055" s="4"/>
      <c r="C2055" s="4" t="s">
        <v>7430</v>
      </c>
      <c r="D2055" s="4" t="s">
        <v>2608</v>
      </c>
      <c r="E2055" s="6">
        <v>265000.0</v>
      </c>
    </row>
    <row r="2056" ht="15.75" customHeight="1">
      <c r="A2056" s="4"/>
      <c r="B2056" s="4"/>
      <c r="C2056" s="4" t="s">
        <v>7431</v>
      </c>
      <c r="D2056" s="4" t="s">
        <v>5553</v>
      </c>
      <c r="E2056" s="6">
        <v>125000.0</v>
      </c>
    </row>
    <row r="2057" ht="15.75" customHeight="1">
      <c r="A2057" s="4"/>
      <c r="B2057" s="4"/>
      <c r="C2057" s="4" t="s">
        <v>7432</v>
      </c>
      <c r="D2057" s="4" t="s">
        <v>5553</v>
      </c>
      <c r="E2057" s="6">
        <v>34000.0</v>
      </c>
    </row>
    <row r="2058" ht="15.75" customHeight="1">
      <c r="A2058" s="4"/>
      <c r="B2058" s="4"/>
      <c r="C2058" s="4" t="s">
        <v>7433</v>
      </c>
      <c r="D2058" s="4" t="s">
        <v>5553</v>
      </c>
      <c r="E2058" s="6">
        <v>18000.0</v>
      </c>
    </row>
    <row r="2059" ht="15.75" customHeight="1">
      <c r="A2059" s="4"/>
      <c r="B2059" s="4"/>
      <c r="C2059" s="4" t="s">
        <v>7434</v>
      </c>
      <c r="D2059" s="4" t="s">
        <v>5553</v>
      </c>
      <c r="E2059" s="6">
        <v>1620000.0</v>
      </c>
    </row>
    <row r="2060" ht="15.75" customHeight="1">
      <c r="A2060" s="4"/>
      <c r="B2060" s="4"/>
      <c r="C2060" s="4" t="s">
        <v>7435</v>
      </c>
      <c r="D2060" s="4" t="s">
        <v>5313</v>
      </c>
      <c r="E2060" s="6">
        <v>148000.0</v>
      </c>
    </row>
    <row r="2061" ht="15.75" customHeight="1">
      <c r="A2061" s="4"/>
      <c r="B2061" s="4"/>
      <c r="C2061" s="4" t="s">
        <v>7436</v>
      </c>
      <c r="D2061" s="4" t="s">
        <v>43</v>
      </c>
      <c r="E2061" s="6">
        <v>65000.0</v>
      </c>
    </row>
    <row r="2062" ht="15.75" customHeight="1">
      <c r="A2062" s="4"/>
      <c r="B2062" s="4"/>
      <c r="C2062" s="4" t="s">
        <v>7437</v>
      </c>
      <c r="D2062" s="4" t="s">
        <v>5313</v>
      </c>
      <c r="E2062" s="6">
        <v>72000.0</v>
      </c>
    </row>
    <row r="2063" ht="15.75" customHeight="1">
      <c r="A2063" s="4"/>
      <c r="B2063" s="4"/>
      <c r="C2063" s="4" t="s">
        <v>7438</v>
      </c>
      <c r="D2063" s="4" t="s">
        <v>5313</v>
      </c>
      <c r="E2063" s="6">
        <v>144000.0</v>
      </c>
    </row>
    <row r="2064" ht="15.75" customHeight="1">
      <c r="A2064" s="4"/>
      <c r="B2064" s="4"/>
      <c r="C2064" s="4" t="s">
        <v>7439</v>
      </c>
      <c r="D2064" s="4" t="s">
        <v>5313</v>
      </c>
      <c r="E2064" s="6">
        <v>495000.0</v>
      </c>
    </row>
    <row r="2065" ht="15.75" customHeight="1">
      <c r="A2065" s="4"/>
      <c r="B2065" s="4"/>
      <c r="C2065" s="4" t="s">
        <v>7440</v>
      </c>
      <c r="D2065" s="4" t="s">
        <v>5313</v>
      </c>
      <c r="E2065" s="6">
        <v>2000000.0</v>
      </c>
    </row>
    <row r="2066" ht="15.75" customHeight="1">
      <c r="A2066" s="4"/>
      <c r="B2066" s="4"/>
      <c r="C2066" s="4" t="s">
        <v>7441</v>
      </c>
      <c r="D2066" s="4" t="s">
        <v>5313</v>
      </c>
      <c r="E2066" s="6">
        <v>700000.0</v>
      </c>
    </row>
    <row r="2067" ht="15.75" customHeight="1">
      <c r="A2067" s="4"/>
      <c r="B2067" s="4"/>
      <c r="C2067" s="4" t="s">
        <v>7442</v>
      </c>
      <c r="D2067" s="4" t="s">
        <v>5313</v>
      </c>
      <c r="E2067" s="6">
        <v>155000.0</v>
      </c>
    </row>
    <row r="2068" ht="15.75" customHeight="1">
      <c r="A2068" s="4"/>
      <c r="B2068" s="4"/>
      <c r="C2068" s="4" t="s">
        <v>7443</v>
      </c>
      <c r="D2068" s="4" t="s">
        <v>5313</v>
      </c>
      <c r="E2068" s="6">
        <v>16000.0</v>
      </c>
    </row>
    <row r="2069" ht="15.75" customHeight="1">
      <c r="A2069" s="4"/>
      <c r="B2069" s="4"/>
      <c r="C2069" s="4" t="s">
        <v>7444</v>
      </c>
      <c r="D2069" s="4" t="s">
        <v>5313</v>
      </c>
      <c r="E2069" s="6">
        <v>27000.0</v>
      </c>
    </row>
    <row r="2070" ht="15.75" customHeight="1">
      <c r="A2070" s="4"/>
      <c r="B2070" s="4"/>
      <c r="C2070" s="4" t="s">
        <v>7445</v>
      </c>
      <c r="D2070" s="4" t="s">
        <v>5313</v>
      </c>
      <c r="E2070" s="6">
        <v>34000.0</v>
      </c>
    </row>
    <row r="2071" ht="15.75" customHeight="1">
      <c r="A2071" s="4"/>
      <c r="B2071" s="4"/>
      <c r="C2071" s="4" t="s">
        <v>7446</v>
      </c>
      <c r="D2071" s="4" t="s">
        <v>5313</v>
      </c>
      <c r="E2071" s="6">
        <v>77000.0</v>
      </c>
    </row>
    <row r="2072" ht="15.75" customHeight="1">
      <c r="A2072" s="4"/>
      <c r="B2072" s="4"/>
      <c r="C2072" s="4" t="s">
        <v>7447</v>
      </c>
      <c r="D2072" s="4"/>
      <c r="E2072" s="6">
        <v>97000.0</v>
      </c>
    </row>
    <row r="2073" ht="15.75" customHeight="1">
      <c r="A2073" s="4"/>
      <c r="B2073" s="4"/>
      <c r="C2073" s="4" t="s">
        <v>7448</v>
      </c>
      <c r="D2073" s="4"/>
      <c r="E2073" s="6">
        <v>28000.0</v>
      </c>
    </row>
    <row r="2074" ht="15.75" customHeight="1">
      <c r="A2074" s="4"/>
      <c r="B2074" s="4"/>
      <c r="C2074" s="4" t="s">
        <v>7449</v>
      </c>
      <c r="D2074" s="4"/>
      <c r="E2074" s="6">
        <v>20000.0</v>
      </c>
    </row>
    <row r="2075" ht="15.75" customHeight="1">
      <c r="A2075" s="4"/>
      <c r="B2075" s="4"/>
      <c r="C2075" s="4" t="s">
        <v>7450</v>
      </c>
      <c r="D2075" s="4"/>
      <c r="E2075" s="6">
        <v>30000.0</v>
      </c>
    </row>
    <row r="2076" ht="15.75" customHeight="1">
      <c r="A2076" s="4"/>
      <c r="B2076" s="4"/>
      <c r="C2076" s="4" t="s">
        <v>7451</v>
      </c>
      <c r="D2076" s="4"/>
      <c r="E2076" s="6">
        <v>25000.0</v>
      </c>
    </row>
    <row r="2077" ht="15.75" customHeight="1">
      <c r="A2077" s="4"/>
      <c r="B2077" s="4"/>
      <c r="C2077" s="4" t="s">
        <v>7452</v>
      </c>
      <c r="D2077" s="4"/>
      <c r="E2077" s="6">
        <v>75000.0</v>
      </c>
    </row>
    <row r="2078" ht="15.75" customHeight="1">
      <c r="A2078" s="4"/>
      <c r="B2078" s="4"/>
      <c r="C2078" s="4" t="s">
        <v>7453</v>
      </c>
      <c r="D2078" s="4" t="s">
        <v>5313</v>
      </c>
      <c r="E2078" s="6">
        <v>375000.0</v>
      </c>
    </row>
    <row r="2079" ht="15.75" customHeight="1">
      <c r="A2079" s="4"/>
      <c r="B2079" s="4"/>
      <c r="C2079" s="4" t="s">
        <v>7454</v>
      </c>
      <c r="D2079" s="4" t="s">
        <v>5313</v>
      </c>
      <c r="E2079" s="6">
        <v>11500.0</v>
      </c>
    </row>
    <row r="2080" ht="15.75" customHeight="1">
      <c r="A2080" s="4"/>
      <c r="B2080" s="4"/>
      <c r="C2080" s="4" t="s">
        <v>7455</v>
      </c>
      <c r="D2080" s="4" t="s">
        <v>5313</v>
      </c>
      <c r="E2080" s="6">
        <v>142000.0</v>
      </c>
    </row>
    <row r="2081" ht="15.75" customHeight="1">
      <c r="A2081" s="4"/>
      <c r="B2081" s="4"/>
      <c r="C2081" s="4" t="s">
        <v>7456</v>
      </c>
      <c r="D2081" s="4" t="s">
        <v>27</v>
      </c>
      <c r="E2081" s="6">
        <v>11300.0</v>
      </c>
    </row>
    <row r="2082" ht="15.75" customHeight="1">
      <c r="A2082" s="4"/>
      <c r="B2082" s="4"/>
      <c r="C2082" s="4" t="s">
        <v>7457</v>
      </c>
      <c r="D2082" s="4" t="s">
        <v>27</v>
      </c>
      <c r="E2082" s="6">
        <v>3800.0</v>
      </c>
    </row>
    <row r="2083" ht="15.75" customHeight="1">
      <c r="A2083" s="4"/>
      <c r="B2083" s="4"/>
      <c r="C2083" s="4" t="s">
        <v>7458</v>
      </c>
      <c r="D2083" s="4" t="s">
        <v>5313</v>
      </c>
      <c r="E2083" s="6">
        <v>1400000.0</v>
      </c>
    </row>
    <row r="2084" ht="15.75" customHeight="1">
      <c r="A2084" s="4"/>
      <c r="B2084" s="4"/>
      <c r="C2084" s="4" t="s">
        <v>7459</v>
      </c>
      <c r="D2084" s="4" t="s">
        <v>5313</v>
      </c>
      <c r="E2084" s="6">
        <v>58000.0</v>
      </c>
    </row>
    <row r="2085" ht="15.75" customHeight="1">
      <c r="A2085" s="4"/>
      <c r="B2085" s="4"/>
      <c r="C2085" s="4" t="s">
        <v>7460</v>
      </c>
      <c r="D2085" s="4" t="s">
        <v>5313</v>
      </c>
      <c r="E2085" s="6">
        <v>65900.0</v>
      </c>
    </row>
    <row r="2086" ht="15.75" customHeight="1">
      <c r="A2086" s="4"/>
      <c r="B2086" s="4"/>
      <c r="C2086" s="4" t="s">
        <v>7461</v>
      </c>
      <c r="D2086" s="4" t="s">
        <v>2608</v>
      </c>
      <c r="E2086" s="6">
        <v>2.625E7</v>
      </c>
    </row>
    <row r="2087" ht="15.75" customHeight="1">
      <c r="A2087" s="4"/>
      <c r="B2087" s="4"/>
      <c r="C2087" s="4" t="s">
        <v>7462</v>
      </c>
      <c r="D2087" s="4" t="s">
        <v>7463</v>
      </c>
      <c r="E2087" s="6">
        <v>3500000.0</v>
      </c>
    </row>
    <row r="2088" ht="15.75" customHeight="1">
      <c r="A2088" s="4"/>
      <c r="B2088" s="4"/>
      <c r="C2088" s="4" t="s">
        <v>7464</v>
      </c>
      <c r="D2088" s="4" t="s">
        <v>5589</v>
      </c>
      <c r="E2088" s="6">
        <v>3500000.0</v>
      </c>
    </row>
    <row r="2089" ht="15.75" customHeight="1">
      <c r="A2089" s="4"/>
      <c r="B2089" s="4"/>
      <c r="C2089" s="4" t="s">
        <v>7465</v>
      </c>
      <c r="D2089" s="4" t="s">
        <v>2608</v>
      </c>
      <c r="E2089" s="6">
        <v>2500000.0</v>
      </c>
    </row>
    <row r="2090" ht="15.75" customHeight="1">
      <c r="A2090" s="4"/>
      <c r="B2090" s="4"/>
      <c r="C2090" s="4" t="s">
        <v>7466</v>
      </c>
      <c r="D2090" s="4" t="s">
        <v>2608</v>
      </c>
      <c r="E2090" s="6">
        <v>1900000.0</v>
      </c>
    </row>
    <row r="2091" ht="15.75" customHeight="1">
      <c r="A2091" s="4"/>
      <c r="B2091" s="4"/>
      <c r="C2091" s="4" t="s">
        <v>7467</v>
      </c>
      <c r="D2091" s="4" t="s">
        <v>2608</v>
      </c>
      <c r="E2091" s="6">
        <v>2100000.0</v>
      </c>
    </row>
    <row r="2092" ht="15.75" customHeight="1">
      <c r="A2092" s="4"/>
      <c r="B2092" s="4"/>
      <c r="C2092" s="4" t="s">
        <v>7468</v>
      </c>
      <c r="D2092" s="4" t="s">
        <v>5553</v>
      </c>
      <c r="E2092" s="6">
        <v>265000.0</v>
      </c>
    </row>
    <row r="2093" ht="15.75" customHeight="1">
      <c r="A2093" s="4"/>
      <c r="B2093" s="4"/>
      <c r="C2093" s="4" t="s">
        <v>7469</v>
      </c>
      <c r="D2093" s="4" t="s">
        <v>6278</v>
      </c>
      <c r="E2093" s="6">
        <v>780000.0</v>
      </c>
    </row>
    <row r="2094" ht="15.75" customHeight="1">
      <c r="A2094" s="4"/>
      <c r="B2094" s="4"/>
      <c r="C2094" s="4" t="s">
        <v>7470</v>
      </c>
      <c r="D2094" s="4" t="s">
        <v>5553</v>
      </c>
      <c r="E2094" s="6">
        <v>343000.0</v>
      </c>
    </row>
    <row r="2095" ht="15.75" customHeight="1">
      <c r="A2095" s="4"/>
      <c r="B2095" s="4"/>
      <c r="C2095" s="4" t="s">
        <v>7471</v>
      </c>
      <c r="D2095" s="4" t="s">
        <v>5553</v>
      </c>
      <c r="E2095" s="6">
        <v>318000.0</v>
      </c>
    </row>
    <row r="2096" ht="15.75" customHeight="1">
      <c r="A2096" s="4"/>
      <c r="B2096" s="4"/>
      <c r="C2096" s="4" t="s">
        <v>7472</v>
      </c>
      <c r="D2096" s="4" t="s">
        <v>5553</v>
      </c>
      <c r="E2096" s="6">
        <v>245000.0</v>
      </c>
    </row>
    <row r="2097" ht="15.75" customHeight="1">
      <c r="A2097" s="4"/>
      <c r="B2097" s="4"/>
      <c r="C2097" s="4" t="s">
        <v>7473</v>
      </c>
      <c r="D2097" s="4" t="s">
        <v>5553</v>
      </c>
      <c r="E2097" s="6">
        <v>240000.0</v>
      </c>
    </row>
    <row r="2098" ht="15.75" customHeight="1">
      <c r="A2098" s="4"/>
      <c r="B2098" s="4"/>
      <c r="C2098" s="4" t="s">
        <v>7474</v>
      </c>
      <c r="D2098" s="4" t="s">
        <v>5553</v>
      </c>
      <c r="E2098" s="6">
        <v>290000.0</v>
      </c>
    </row>
    <row r="2099" ht="15.75" customHeight="1">
      <c r="A2099" s="4"/>
      <c r="B2099" s="4"/>
      <c r="C2099" s="4" t="s">
        <v>7475</v>
      </c>
      <c r="D2099" s="4" t="s">
        <v>5553</v>
      </c>
      <c r="E2099" s="6">
        <v>57000.0</v>
      </c>
    </row>
    <row r="2100" ht="15.75" customHeight="1">
      <c r="A2100" s="4"/>
      <c r="B2100" s="4"/>
      <c r="C2100" s="4" t="s">
        <v>7476</v>
      </c>
      <c r="D2100" s="4" t="s">
        <v>5553</v>
      </c>
      <c r="E2100" s="6">
        <v>60000.0</v>
      </c>
    </row>
    <row r="2101" ht="15.75" customHeight="1">
      <c r="A2101" s="4"/>
      <c r="B2101" s="4"/>
      <c r="C2101" s="4" t="s">
        <v>7477</v>
      </c>
      <c r="D2101" s="4" t="s">
        <v>5553</v>
      </c>
      <c r="E2101" s="6">
        <v>175000.0</v>
      </c>
    </row>
    <row r="2102" ht="15.75" customHeight="1">
      <c r="A2102" s="4"/>
      <c r="B2102" s="4"/>
      <c r="C2102" s="4" t="s">
        <v>7478</v>
      </c>
      <c r="D2102" s="4" t="s">
        <v>5553</v>
      </c>
      <c r="E2102" s="6">
        <v>135000.0</v>
      </c>
    </row>
    <row r="2103" ht="15.75" customHeight="1">
      <c r="A2103" s="4"/>
      <c r="B2103" s="4"/>
      <c r="C2103" s="4" t="s">
        <v>7479</v>
      </c>
      <c r="D2103" s="4" t="s">
        <v>5553</v>
      </c>
      <c r="E2103" s="6">
        <v>85000.0</v>
      </c>
    </row>
    <row r="2104" ht="15.75" customHeight="1">
      <c r="A2104" s="4"/>
      <c r="B2104" s="4"/>
      <c r="C2104" s="4" t="s">
        <v>7480</v>
      </c>
      <c r="D2104" s="4" t="s">
        <v>43</v>
      </c>
      <c r="E2104" s="6">
        <v>650000.0</v>
      </c>
    </row>
    <row r="2105" ht="15.75" customHeight="1">
      <c r="A2105" s="4"/>
      <c r="B2105" s="4"/>
      <c r="C2105" s="4" t="s">
        <v>7481</v>
      </c>
      <c r="D2105" s="4" t="s">
        <v>1757</v>
      </c>
      <c r="E2105" s="6">
        <v>350000.0</v>
      </c>
    </row>
    <row r="2106" ht="15.75" customHeight="1">
      <c r="A2106" s="4"/>
      <c r="B2106" s="4"/>
      <c r="C2106" s="4" t="s">
        <v>7482</v>
      </c>
      <c r="D2106" s="4" t="s">
        <v>5313</v>
      </c>
      <c r="E2106" s="6">
        <v>103500.0</v>
      </c>
    </row>
    <row r="2107" ht="15.75" customHeight="1">
      <c r="A2107" s="4"/>
      <c r="B2107" s="4"/>
      <c r="C2107" s="4" t="s">
        <v>7483</v>
      </c>
      <c r="D2107" s="4" t="s">
        <v>5313</v>
      </c>
      <c r="E2107" s="6">
        <v>220000.0</v>
      </c>
    </row>
    <row r="2108" ht="15.75" customHeight="1">
      <c r="A2108" s="4"/>
      <c r="B2108" s="4"/>
      <c r="C2108" s="4" t="s">
        <v>7484</v>
      </c>
      <c r="D2108" s="4" t="s">
        <v>43</v>
      </c>
      <c r="E2108" s="6">
        <v>200000.0</v>
      </c>
    </row>
    <row r="2109" ht="15.75" customHeight="1">
      <c r="A2109" s="4"/>
      <c r="B2109" s="4"/>
      <c r="C2109" s="4" t="s">
        <v>7485</v>
      </c>
      <c r="D2109" s="4" t="s">
        <v>2608</v>
      </c>
      <c r="E2109" s="6">
        <v>3500000.0</v>
      </c>
    </row>
    <row r="2110" ht="15.75" customHeight="1">
      <c r="A2110" s="4"/>
      <c r="B2110" s="4"/>
      <c r="C2110" s="4" t="s">
        <v>7486</v>
      </c>
      <c r="D2110" s="4" t="s">
        <v>2608</v>
      </c>
      <c r="E2110" s="6">
        <v>1279000.0</v>
      </c>
    </row>
    <row r="2111" ht="15.75" customHeight="1">
      <c r="A2111" s="4"/>
      <c r="B2111" s="4"/>
      <c r="C2111" s="4" t="s">
        <v>7487</v>
      </c>
      <c r="D2111" s="4" t="s">
        <v>2608</v>
      </c>
      <c r="E2111" s="6">
        <v>3800000.0</v>
      </c>
    </row>
    <row r="2112" ht="15.75" customHeight="1">
      <c r="A2112" s="4"/>
      <c r="B2112" s="4"/>
      <c r="C2112" s="4" t="s">
        <v>7488</v>
      </c>
      <c r="D2112" s="4" t="s">
        <v>2608</v>
      </c>
      <c r="E2112" s="6">
        <v>4100000.0</v>
      </c>
    </row>
    <row r="2113" ht="15.75" customHeight="1">
      <c r="A2113" s="4"/>
      <c r="B2113" s="4"/>
      <c r="C2113" s="4" t="s">
        <v>7489</v>
      </c>
      <c r="D2113" s="4" t="s">
        <v>2608</v>
      </c>
      <c r="E2113" s="6">
        <v>4900000.0</v>
      </c>
    </row>
    <row r="2114" ht="15.75" customHeight="1">
      <c r="A2114" s="4"/>
      <c r="B2114" s="4"/>
      <c r="C2114" s="4" t="s">
        <v>7490</v>
      </c>
      <c r="D2114" s="4" t="s">
        <v>2608</v>
      </c>
      <c r="E2114" s="6">
        <v>5200000.0</v>
      </c>
    </row>
    <row r="2115" ht="15.75" customHeight="1">
      <c r="A2115" s="4"/>
      <c r="B2115" s="4"/>
      <c r="C2115" s="4" t="s">
        <v>7491</v>
      </c>
      <c r="D2115" s="4" t="s">
        <v>2608</v>
      </c>
      <c r="E2115" s="6">
        <v>5700000.0</v>
      </c>
    </row>
    <row r="2116" ht="15.75" customHeight="1">
      <c r="A2116" s="4"/>
      <c r="B2116" s="4"/>
      <c r="C2116" s="4" t="s">
        <v>7492</v>
      </c>
      <c r="D2116" s="4" t="s">
        <v>2608</v>
      </c>
      <c r="E2116" s="6">
        <v>20000.0</v>
      </c>
    </row>
    <row r="2117" ht="15.75" customHeight="1">
      <c r="A2117" s="4"/>
      <c r="B2117" s="4"/>
      <c r="C2117" s="4" t="s">
        <v>7493</v>
      </c>
      <c r="D2117" s="4" t="s">
        <v>2608</v>
      </c>
      <c r="E2117" s="6">
        <v>1540000.0</v>
      </c>
    </row>
    <row r="2118" ht="15.75" customHeight="1">
      <c r="A2118" s="4"/>
      <c r="B2118" s="4"/>
      <c r="C2118" s="4" t="s">
        <v>7494</v>
      </c>
      <c r="D2118" s="4"/>
      <c r="E2118" s="6">
        <v>110000.0</v>
      </c>
    </row>
    <row r="2119" ht="15.75" customHeight="1">
      <c r="A2119" s="4"/>
      <c r="B2119" s="4"/>
      <c r="C2119" s="4" t="s">
        <v>7495</v>
      </c>
      <c r="D2119" s="4"/>
      <c r="E2119" s="6">
        <v>273000.0</v>
      </c>
    </row>
    <row r="2120" ht="15.75" customHeight="1">
      <c r="A2120" s="4"/>
      <c r="B2120" s="4"/>
      <c r="C2120" s="4" t="s">
        <v>7496</v>
      </c>
      <c r="D2120" s="4"/>
      <c r="E2120" s="6">
        <v>5500000.0</v>
      </c>
    </row>
    <row r="2121" ht="15.75" customHeight="1">
      <c r="A2121" s="4"/>
      <c r="B2121" s="4"/>
      <c r="C2121" s="4" t="s">
        <v>7497</v>
      </c>
      <c r="D2121" s="4"/>
      <c r="E2121" s="6">
        <v>1960000.0</v>
      </c>
    </row>
    <row r="2122" ht="15.75" customHeight="1">
      <c r="A2122" s="4"/>
      <c r="B2122" s="4"/>
      <c r="C2122" s="4" t="s">
        <v>7498</v>
      </c>
      <c r="D2122" s="4"/>
      <c r="E2122" s="6">
        <v>770000.0</v>
      </c>
    </row>
    <row r="2123" ht="15.75" customHeight="1">
      <c r="A2123" s="4"/>
      <c r="B2123" s="4"/>
      <c r="C2123" s="4" t="s">
        <v>7499</v>
      </c>
      <c r="D2123" s="4"/>
      <c r="E2123" s="6">
        <v>2380000.0</v>
      </c>
    </row>
    <row r="2124" ht="15.75" customHeight="1">
      <c r="A2124" s="4"/>
      <c r="B2124" s="4"/>
      <c r="C2124" s="4" t="s">
        <v>7500</v>
      </c>
      <c r="D2124" s="4"/>
      <c r="E2124" s="6">
        <v>88500.0</v>
      </c>
    </row>
    <row r="2125" ht="15.75" customHeight="1">
      <c r="A2125" s="4"/>
      <c r="B2125" s="4"/>
      <c r="C2125" s="4" t="s">
        <v>7501</v>
      </c>
      <c r="D2125" s="4"/>
      <c r="E2125" s="6">
        <v>3500000.0</v>
      </c>
    </row>
    <row r="2126" ht="15.75" customHeight="1">
      <c r="A2126" s="4"/>
      <c r="B2126" s="4"/>
      <c r="C2126" s="4" t="s">
        <v>7502</v>
      </c>
      <c r="D2126" s="4"/>
      <c r="E2126" s="6">
        <v>150000.0</v>
      </c>
    </row>
    <row r="2127" ht="15.75" customHeight="1">
      <c r="A2127" s="4"/>
      <c r="B2127" s="4"/>
      <c r="C2127" s="4" t="s">
        <v>7503</v>
      </c>
      <c r="D2127" s="4"/>
      <c r="E2127" s="6">
        <v>350000.0</v>
      </c>
    </row>
    <row r="2128" ht="15.75" customHeight="1">
      <c r="A2128" s="4"/>
      <c r="B2128" s="4"/>
      <c r="C2128" s="4" t="s">
        <v>7504</v>
      </c>
      <c r="D2128" s="4"/>
      <c r="E2128" s="6">
        <v>465000.0</v>
      </c>
    </row>
    <row r="2129" ht="15.75" customHeight="1">
      <c r="A2129" s="4"/>
      <c r="B2129" s="4"/>
      <c r="C2129" s="4" t="s">
        <v>7505</v>
      </c>
      <c r="D2129" s="4"/>
      <c r="E2129" s="6">
        <v>504000.0</v>
      </c>
    </row>
    <row r="2130" ht="15.75" customHeight="1">
      <c r="A2130" s="4"/>
      <c r="B2130" s="4"/>
      <c r="C2130" s="4" t="s">
        <v>7506</v>
      </c>
      <c r="D2130" s="4"/>
      <c r="E2130" s="6">
        <v>1450000.0</v>
      </c>
    </row>
    <row r="2131" ht="15.75" customHeight="1">
      <c r="A2131" s="4"/>
      <c r="B2131" s="4"/>
      <c r="C2131" s="4" t="s">
        <v>7507</v>
      </c>
      <c r="D2131" s="4"/>
      <c r="E2131" s="6">
        <v>850000.0</v>
      </c>
    </row>
    <row r="2132" ht="15.75" customHeight="1">
      <c r="A2132" s="4"/>
      <c r="B2132" s="4"/>
      <c r="C2132" s="4" t="s">
        <v>7508</v>
      </c>
      <c r="D2132" s="4"/>
      <c r="E2132" s="6">
        <v>1500000.0</v>
      </c>
    </row>
    <row r="2133" ht="15.75" customHeight="1">
      <c r="A2133" s="4"/>
      <c r="B2133" s="4"/>
      <c r="C2133" s="4" t="s">
        <v>7509</v>
      </c>
      <c r="D2133" s="4"/>
      <c r="E2133" s="6">
        <v>1200000.0</v>
      </c>
    </row>
    <row r="2134" ht="15.75" customHeight="1">
      <c r="A2134" s="4"/>
      <c r="B2134" s="4"/>
      <c r="C2134" s="4" t="s">
        <v>7510</v>
      </c>
      <c r="D2134" s="4"/>
      <c r="E2134" s="6">
        <v>1000000.0</v>
      </c>
    </row>
    <row r="2135" ht="15.75" customHeight="1">
      <c r="A2135" s="4"/>
      <c r="B2135" s="4"/>
      <c r="C2135" s="4" t="s">
        <v>7511</v>
      </c>
      <c r="D2135" s="4"/>
      <c r="E2135" s="6">
        <v>250000.0</v>
      </c>
    </row>
    <row r="2136" ht="15.75" customHeight="1">
      <c r="A2136" s="4"/>
      <c r="B2136" s="4"/>
      <c r="C2136" s="4" t="s">
        <v>7512</v>
      </c>
      <c r="D2136" s="4"/>
      <c r="E2136" s="6">
        <v>250000.0</v>
      </c>
    </row>
    <row r="2137" ht="15.75" customHeight="1">
      <c r="A2137" s="4"/>
      <c r="B2137" s="4"/>
      <c r="C2137" s="4" t="s">
        <v>7513</v>
      </c>
      <c r="D2137" s="4" t="s">
        <v>5553</v>
      </c>
      <c r="E2137" s="6">
        <v>1000000.0</v>
      </c>
    </row>
    <row r="2138" ht="15.75" customHeight="1">
      <c r="A2138" s="4"/>
      <c r="B2138" s="4"/>
      <c r="C2138" s="4" t="s">
        <v>7514</v>
      </c>
      <c r="D2138" s="4"/>
      <c r="E2138" s="6">
        <v>640000.0</v>
      </c>
    </row>
    <row r="2139" ht="15.75" customHeight="1">
      <c r="A2139" s="4"/>
      <c r="B2139" s="4"/>
      <c r="C2139" s="4" t="s">
        <v>7515</v>
      </c>
      <c r="D2139" s="4"/>
      <c r="E2139" s="6">
        <v>2475000.0</v>
      </c>
    </row>
    <row r="2140" ht="15.75" customHeight="1">
      <c r="A2140" s="4"/>
      <c r="B2140" s="4"/>
      <c r="C2140" s="4" t="s">
        <v>7516</v>
      </c>
      <c r="D2140" s="4"/>
      <c r="E2140" s="6">
        <v>670000.0</v>
      </c>
    </row>
    <row r="2141" ht="15.75" customHeight="1">
      <c r="A2141" s="4"/>
      <c r="B2141" s="4"/>
      <c r="C2141" s="4" t="s">
        <v>7517</v>
      </c>
      <c r="D2141" s="4"/>
      <c r="E2141" s="6">
        <v>75000.0</v>
      </c>
    </row>
    <row r="2142" ht="15.75" customHeight="1">
      <c r="A2142" s="4"/>
      <c r="B2142" s="4"/>
      <c r="C2142" s="4" t="s">
        <v>7518</v>
      </c>
      <c r="D2142" s="4"/>
      <c r="E2142" s="6">
        <v>680000.0</v>
      </c>
    </row>
    <row r="2143" ht="15.75" customHeight="1">
      <c r="A2143" s="4"/>
      <c r="B2143" s="4"/>
      <c r="C2143" s="4" t="s">
        <v>7519</v>
      </c>
      <c r="D2143" s="4"/>
      <c r="E2143" s="6">
        <v>650000.0</v>
      </c>
    </row>
    <row r="2144" ht="15.75" customHeight="1">
      <c r="A2144" s="4"/>
      <c r="B2144" s="4"/>
      <c r="C2144" s="4" t="s">
        <v>7520</v>
      </c>
      <c r="D2144" s="4"/>
      <c r="E2144" s="6">
        <v>250000.0</v>
      </c>
    </row>
    <row r="2145" ht="15.75" customHeight="1">
      <c r="A2145" s="4"/>
      <c r="B2145" s="4"/>
      <c r="C2145" s="4" t="s">
        <v>7521</v>
      </c>
      <c r="D2145" s="4" t="s">
        <v>27</v>
      </c>
      <c r="E2145" s="6">
        <v>55500.0</v>
      </c>
    </row>
    <row r="2146" ht="15.75" customHeight="1">
      <c r="A2146" s="4"/>
      <c r="B2146" s="4"/>
      <c r="C2146" s="4" t="s">
        <v>7522</v>
      </c>
      <c r="D2146" s="4" t="s">
        <v>6278</v>
      </c>
      <c r="E2146" s="6">
        <v>125000.0</v>
      </c>
    </row>
    <row r="2147" ht="15.75" customHeight="1">
      <c r="A2147" s="4"/>
      <c r="B2147" s="4"/>
      <c r="C2147" s="4" t="s">
        <v>7523</v>
      </c>
      <c r="D2147" s="4" t="s">
        <v>6278</v>
      </c>
      <c r="E2147" s="6">
        <v>150000.0</v>
      </c>
    </row>
    <row r="2148" ht="15.75" customHeight="1">
      <c r="A2148" s="4"/>
      <c r="B2148" s="4"/>
      <c r="C2148" s="4" t="s">
        <v>7524</v>
      </c>
      <c r="D2148" s="4" t="s">
        <v>5589</v>
      </c>
      <c r="E2148" s="6">
        <v>1000000.0</v>
      </c>
    </row>
    <row r="2149" ht="15.75" customHeight="1">
      <c r="A2149" s="4"/>
      <c r="B2149" s="4"/>
      <c r="C2149" s="4" t="s">
        <v>7525</v>
      </c>
      <c r="D2149" s="4" t="s">
        <v>5589</v>
      </c>
      <c r="E2149" s="6">
        <v>870000.0</v>
      </c>
    </row>
    <row r="2150" ht="15.75" customHeight="1">
      <c r="A2150" s="4"/>
      <c r="B2150" s="4"/>
      <c r="C2150" s="4" t="s">
        <v>7526</v>
      </c>
      <c r="D2150" s="4"/>
      <c r="E2150" s="6">
        <v>250000.0</v>
      </c>
    </row>
    <row r="2151" ht="15.75" customHeight="1">
      <c r="A2151" s="4"/>
      <c r="B2151" s="4"/>
      <c r="C2151" s="4" t="s">
        <v>7527</v>
      </c>
      <c r="D2151" s="4" t="s">
        <v>5553</v>
      </c>
      <c r="E2151" s="6">
        <v>102000.0</v>
      </c>
    </row>
    <row r="2152" ht="15.75" customHeight="1">
      <c r="A2152" s="4"/>
      <c r="B2152" s="4"/>
      <c r="C2152" s="4" t="s">
        <v>7528</v>
      </c>
      <c r="D2152" s="4" t="s">
        <v>5589</v>
      </c>
      <c r="E2152" s="6">
        <v>6500000.0</v>
      </c>
    </row>
    <row r="2153" ht="15.75" customHeight="1">
      <c r="A2153" s="4"/>
      <c r="B2153" s="4"/>
      <c r="C2153" s="4" t="s">
        <v>7529</v>
      </c>
      <c r="D2153" s="4" t="s">
        <v>2608</v>
      </c>
      <c r="E2153" s="6">
        <v>950000.0</v>
      </c>
    </row>
    <row r="2154" ht="15.75" customHeight="1">
      <c r="A2154" s="4"/>
      <c r="B2154" s="4"/>
      <c r="C2154" s="4" t="s">
        <v>7530</v>
      </c>
      <c r="D2154" s="4" t="s">
        <v>2608</v>
      </c>
      <c r="E2154" s="6">
        <v>650000.0</v>
      </c>
    </row>
    <row r="2155" ht="15.75" customHeight="1">
      <c r="A2155" s="4"/>
      <c r="B2155" s="4"/>
      <c r="C2155" s="4" t="s">
        <v>7531</v>
      </c>
      <c r="D2155" s="4"/>
      <c r="E2155" s="6">
        <v>550000.0</v>
      </c>
    </row>
    <row r="2156" ht="15.75" customHeight="1">
      <c r="A2156" s="4"/>
      <c r="B2156" s="4"/>
      <c r="C2156" s="4" t="s">
        <v>7532</v>
      </c>
      <c r="D2156" s="4"/>
      <c r="E2156" s="6">
        <v>250000.0</v>
      </c>
    </row>
    <row r="2157" ht="15.75" customHeight="1">
      <c r="A2157" s="4"/>
      <c r="B2157" s="4"/>
      <c r="C2157" s="4" t="s">
        <v>7533</v>
      </c>
      <c r="D2157" s="4"/>
      <c r="E2157" s="6">
        <v>150000.0</v>
      </c>
    </row>
    <row r="2158" ht="15.75" customHeight="1">
      <c r="A2158" s="4"/>
      <c r="B2158" s="4"/>
      <c r="C2158" s="4" t="s">
        <v>7534</v>
      </c>
      <c r="D2158" s="4"/>
      <c r="E2158" s="6">
        <v>30000.0</v>
      </c>
    </row>
    <row r="2159" ht="15.75" customHeight="1">
      <c r="A2159" s="4"/>
      <c r="B2159" s="4"/>
      <c r="C2159" s="4" t="s">
        <v>7535</v>
      </c>
      <c r="D2159" s="4"/>
      <c r="E2159" s="6">
        <v>500000.0</v>
      </c>
    </row>
    <row r="2160" ht="15.75" customHeight="1">
      <c r="A2160" s="4"/>
      <c r="B2160" s="4"/>
      <c r="C2160" s="4" t="s">
        <v>7536</v>
      </c>
      <c r="D2160" s="4"/>
      <c r="E2160" s="6">
        <v>1500000.0</v>
      </c>
    </row>
    <row r="2161" ht="15.75" customHeight="1">
      <c r="A2161" s="4"/>
      <c r="B2161" s="4"/>
      <c r="C2161" s="4" t="s">
        <v>7537</v>
      </c>
      <c r="D2161" s="4"/>
      <c r="E2161" s="6">
        <v>250000.0</v>
      </c>
    </row>
    <row r="2162" ht="15.75" customHeight="1">
      <c r="A2162" s="4"/>
      <c r="B2162" s="4"/>
      <c r="C2162" s="4" t="s">
        <v>7538</v>
      </c>
      <c r="D2162" s="4"/>
      <c r="E2162" s="6">
        <v>110000.0</v>
      </c>
    </row>
    <row r="2163" ht="15.75" customHeight="1">
      <c r="A2163" s="4"/>
      <c r="B2163" s="4"/>
      <c r="C2163" s="4" t="s">
        <v>7539</v>
      </c>
      <c r="D2163" s="4"/>
      <c r="E2163" s="6">
        <v>150000.0</v>
      </c>
    </row>
    <row r="2164" ht="15.75" customHeight="1">
      <c r="A2164" s="4"/>
      <c r="B2164" s="4"/>
      <c r="C2164" s="4" t="s">
        <v>7540</v>
      </c>
      <c r="D2164" s="4"/>
      <c r="E2164" s="6">
        <v>2300000.0</v>
      </c>
    </row>
    <row r="2165" ht="15.75" customHeight="1">
      <c r="A2165" s="4"/>
      <c r="B2165" s="4"/>
      <c r="C2165" s="4" t="s">
        <v>7541</v>
      </c>
      <c r="D2165" s="4"/>
      <c r="E2165" s="6">
        <v>2500000.0</v>
      </c>
    </row>
    <row r="2166" ht="15.75" customHeight="1">
      <c r="A2166" s="4"/>
      <c r="B2166" s="4"/>
      <c r="C2166" s="4" t="s">
        <v>7542</v>
      </c>
      <c r="D2166" s="4"/>
      <c r="E2166" s="6">
        <v>2900000.0</v>
      </c>
    </row>
    <row r="2167" ht="15.75" customHeight="1">
      <c r="A2167" s="4"/>
      <c r="B2167" s="4"/>
      <c r="C2167" s="4" t="s">
        <v>7543</v>
      </c>
      <c r="D2167" s="4"/>
      <c r="E2167" s="6">
        <v>3200000.0</v>
      </c>
    </row>
    <row r="2168" ht="15.75" customHeight="1">
      <c r="A2168" s="4"/>
      <c r="B2168" s="4"/>
      <c r="C2168" s="4" t="s">
        <v>7544</v>
      </c>
      <c r="D2168" s="4"/>
      <c r="E2168" s="6">
        <v>150000.0</v>
      </c>
    </row>
    <row r="2169" ht="15.75" customHeight="1">
      <c r="A2169" s="4"/>
      <c r="B2169" s="4"/>
      <c r="C2169" s="4" t="s">
        <v>7545</v>
      </c>
      <c r="D2169" s="4"/>
      <c r="E2169" s="6">
        <v>2550000.0</v>
      </c>
    </row>
    <row r="2170" ht="15.75" customHeight="1">
      <c r="A2170" s="4"/>
      <c r="B2170" s="4"/>
      <c r="C2170" s="4" t="s">
        <v>7546</v>
      </c>
      <c r="D2170" s="4"/>
      <c r="E2170" s="6">
        <v>2550.0</v>
      </c>
    </row>
    <row r="2171" ht="15.75" customHeight="1">
      <c r="A2171" s="4"/>
      <c r="B2171" s="4"/>
      <c r="C2171" s="4" t="s">
        <v>7547</v>
      </c>
      <c r="D2171" s="4"/>
      <c r="E2171" s="6">
        <v>100000.0</v>
      </c>
    </row>
    <row r="2172" ht="15.75" customHeight="1">
      <c r="A2172" s="4"/>
      <c r="B2172" s="4"/>
      <c r="C2172" s="4" t="s">
        <v>7548</v>
      </c>
      <c r="D2172" s="4"/>
      <c r="E2172" s="6">
        <v>125000.0</v>
      </c>
    </row>
    <row r="2173" ht="15.75" customHeight="1">
      <c r="A2173" s="4"/>
      <c r="B2173" s="4"/>
      <c r="C2173" s="4" t="s">
        <v>7549</v>
      </c>
      <c r="D2173" s="4"/>
      <c r="E2173" s="6">
        <v>250000.0</v>
      </c>
    </row>
    <row r="2174" ht="15.75" customHeight="1">
      <c r="A2174" s="4"/>
      <c r="B2174" s="4"/>
      <c r="C2174" s="4" t="s">
        <v>7550</v>
      </c>
      <c r="D2174" s="4"/>
      <c r="E2174" s="6">
        <v>130000.0</v>
      </c>
    </row>
    <row r="2175" ht="15.75" customHeight="1">
      <c r="A2175" s="4"/>
      <c r="B2175" s="4"/>
      <c r="C2175" s="4" t="s">
        <v>7551</v>
      </c>
      <c r="D2175" s="4"/>
      <c r="E2175" s="6">
        <v>150000.0</v>
      </c>
    </row>
    <row r="2176" ht="15.75" customHeight="1">
      <c r="A2176" s="4"/>
      <c r="B2176" s="4"/>
      <c r="C2176" s="4" t="s">
        <v>7552</v>
      </c>
      <c r="D2176" s="4"/>
      <c r="E2176" s="6">
        <v>3200000.0</v>
      </c>
    </row>
    <row r="2177" ht="15.75" customHeight="1">
      <c r="A2177" s="4"/>
      <c r="B2177" s="4"/>
      <c r="C2177" s="4" t="s">
        <v>7553</v>
      </c>
      <c r="D2177" s="4"/>
      <c r="E2177" s="6">
        <v>3800000.0</v>
      </c>
    </row>
    <row r="2178" ht="15.75" customHeight="1">
      <c r="A2178" s="4"/>
      <c r="B2178" s="4"/>
      <c r="C2178" s="4" t="s">
        <v>7554</v>
      </c>
      <c r="D2178" s="4"/>
      <c r="E2178" s="6">
        <v>4200000.0</v>
      </c>
    </row>
    <row r="2179" ht="15.75" customHeight="1">
      <c r="A2179" s="4"/>
      <c r="B2179" s="4"/>
      <c r="C2179" s="4" t="s">
        <v>7555</v>
      </c>
      <c r="D2179" s="4"/>
      <c r="E2179" s="6">
        <v>4500000.0</v>
      </c>
    </row>
    <row r="2180" ht="15.75" customHeight="1">
      <c r="A2180" s="4"/>
      <c r="B2180" s="4"/>
      <c r="C2180" s="4" t="s">
        <v>7556</v>
      </c>
      <c r="D2180" s="4"/>
      <c r="E2180" s="6">
        <v>5300000.0</v>
      </c>
    </row>
    <row r="2181" ht="15.75" customHeight="1">
      <c r="A2181" s="4"/>
      <c r="B2181" s="4"/>
      <c r="C2181" s="4" t="s">
        <v>7557</v>
      </c>
      <c r="D2181" s="4"/>
      <c r="E2181" s="6">
        <v>7600000.0</v>
      </c>
    </row>
    <row r="2182" ht="15.75" customHeight="1">
      <c r="A2182" s="4"/>
      <c r="B2182" s="4"/>
      <c r="C2182" s="4" t="s">
        <v>7558</v>
      </c>
      <c r="D2182" s="4"/>
      <c r="E2182" s="6">
        <v>1.0E7</v>
      </c>
    </row>
    <row r="2183" ht="15.75" customHeight="1">
      <c r="A2183" s="4"/>
      <c r="B2183" s="4"/>
      <c r="C2183" s="4" t="s">
        <v>7559</v>
      </c>
      <c r="D2183" s="4"/>
      <c r="E2183" s="6">
        <v>900000.0</v>
      </c>
    </row>
    <row r="2184" ht="15.75" customHeight="1">
      <c r="A2184" s="4"/>
      <c r="B2184" s="4"/>
      <c r="C2184" s="4" t="s">
        <v>7560</v>
      </c>
      <c r="D2184" s="4"/>
      <c r="E2184" s="6">
        <v>1200000.0</v>
      </c>
    </row>
    <row r="2185" ht="15.75" customHeight="1">
      <c r="A2185" s="4"/>
      <c r="B2185" s="4"/>
      <c r="C2185" s="4" t="s">
        <v>7561</v>
      </c>
      <c r="D2185" s="4"/>
      <c r="E2185" s="6">
        <v>1350000.0</v>
      </c>
    </row>
    <row r="2186" ht="15.75" customHeight="1">
      <c r="A2186" s="4"/>
      <c r="B2186" s="4"/>
      <c r="C2186" s="4" t="s">
        <v>7562</v>
      </c>
      <c r="D2186" s="4"/>
      <c r="E2186" s="6">
        <v>1500000.0</v>
      </c>
    </row>
    <row r="2187" ht="15.75" customHeight="1">
      <c r="A2187" s="4"/>
      <c r="B2187" s="4"/>
      <c r="C2187" s="4" t="s">
        <v>7563</v>
      </c>
      <c r="D2187" s="4"/>
      <c r="E2187" s="6">
        <v>1300000.0</v>
      </c>
    </row>
    <row r="2188" ht="15.75" customHeight="1">
      <c r="A2188" s="4"/>
      <c r="B2188" s="4"/>
      <c r="C2188" s="4" t="s">
        <v>7564</v>
      </c>
      <c r="D2188" s="4"/>
      <c r="E2188" s="6">
        <v>1700000.0</v>
      </c>
    </row>
    <row r="2189" ht="15.75" customHeight="1">
      <c r="A2189" s="4"/>
      <c r="B2189" s="4"/>
      <c r="C2189" s="4" t="s">
        <v>7565</v>
      </c>
      <c r="D2189" s="4"/>
      <c r="E2189" s="6">
        <v>780000.0</v>
      </c>
    </row>
    <row r="2190" ht="15.75" customHeight="1">
      <c r="A2190" s="4"/>
      <c r="B2190" s="4"/>
      <c r="C2190" s="4" t="s">
        <v>7566</v>
      </c>
      <c r="D2190" s="4"/>
      <c r="E2190" s="6">
        <v>860000.0</v>
      </c>
    </row>
    <row r="2191" ht="15.75" customHeight="1">
      <c r="A2191" s="4"/>
      <c r="B2191" s="4"/>
      <c r="C2191" s="4" t="s">
        <v>7567</v>
      </c>
      <c r="D2191" s="4"/>
      <c r="E2191" s="6">
        <v>995000.0</v>
      </c>
    </row>
    <row r="2192" ht="15.75" customHeight="1">
      <c r="A2192" s="4"/>
      <c r="B2192" s="4"/>
      <c r="C2192" s="4" t="s">
        <v>7568</v>
      </c>
      <c r="D2192" s="4"/>
      <c r="E2192" s="6">
        <v>1020000.0</v>
      </c>
    </row>
    <row r="2193" ht="15.75" customHeight="1">
      <c r="A2193" s="4"/>
      <c r="B2193" s="4"/>
      <c r="C2193" s="4" t="s">
        <v>7569</v>
      </c>
      <c r="D2193" s="4"/>
      <c r="E2193" s="6">
        <v>1350000.0</v>
      </c>
    </row>
    <row r="2194" ht="15.75" customHeight="1">
      <c r="A2194" s="4"/>
      <c r="B2194" s="4"/>
      <c r="C2194" s="4" t="s">
        <v>7570</v>
      </c>
      <c r="D2194" s="4"/>
      <c r="E2194" s="6">
        <v>1700000.0</v>
      </c>
    </row>
    <row r="2195" ht="15.75" customHeight="1">
      <c r="A2195" s="4"/>
      <c r="B2195" s="4"/>
      <c r="C2195" s="4" t="s">
        <v>7571</v>
      </c>
      <c r="D2195" s="4"/>
      <c r="E2195" s="6">
        <v>750000.0</v>
      </c>
    </row>
    <row r="2196" ht="15.75" customHeight="1">
      <c r="A2196" s="4"/>
      <c r="B2196" s="4"/>
      <c r="C2196" s="4" t="s">
        <v>7572</v>
      </c>
      <c r="D2196" s="4"/>
      <c r="E2196" s="6">
        <v>1500000.0</v>
      </c>
    </row>
    <row r="2197" ht="15.75" customHeight="1">
      <c r="A2197" s="4"/>
      <c r="B2197" s="4"/>
      <c r="C2197" s="4" t="s">
        <v>7573</v>
      </c>
      <c r="D2197" s="4"/>
      <c r="E2197" s="6">
        <v>8300000.0</v>
      </c>
    </row>
    <row r="2198" ht="15.75" customHeight="1">
      <c r="A2198" s="4"/>
      <c r="B2198" s="4"/>
      <c r="C2198" s="4" t="s">
        <v>7574</v>
      </c>
      <c r="D2198" s="4"/>
      <c r="E2198" s="6">
        <v>1800000.0</v>
      </c>
    </row>
    <row r="2199" ht="15.75" customHeight="1">
      <c r="A2199" s="4"/>
      <c r="B2199" s="4"/>
      <c r="C2199" s="4" t="s">
        <v>7575</v>
      </c>
      <c r="D2199" s="4"/>
      <c r="E2199" s="6">
        <v>2100000.0</v>
      </c>
    </row>
    <row r="2200" ht="15.75" customHeight="1">
      <c r="A2200" s="4"/>
      <c r="B2200" s="4"/>
      <c r="C2200" s="4" t="s">
        <v>7576</v>
      </c>
      <c r="D2200" s="4"/>
      <c r="E2200" s="6">
        <v>2300000.0</v>
      </c>
    </row>
    <row r="2201" ht="15.75" customHeight="1">
      <c r="A2201" s="4"/>
      <c r="B2201" s="4"/>
      <c r="C2201" s="4" t="s">
        <v>7577</v>
      </c>
      <c r="D2201" s="4"/>
      <c r="E2201" s="6">
        <v>250000.0</v>
      </c>
    </row>
    <row r="2202" ht="15.75" customHeight="1">
      <c r="A2202" s="4"/>
      <c r="B2202" s="4"/>
      <c r="C2202" s="4" t="s">
        <v>7578</v>
      </c>
      <c r="D2202" s="4"/>
      <c r="E2202" s="6">
        <v>2900000.0</v>
      </c>
    </row>
    <row r="2203" ht="15.75" customHeight="1">
      <c r="A2203" s="4"/>
      <c r="B2203" s="4"/>
      <c r="C2203" s="4" t="s">
        <v>7579</v>
      </c>
      <c r="D2203" s="4"/>
      <c r="E2203" s="6">
        <v>3500000.0</v>
      </c>
    </row>
    <row r="2204" ht="15.75" customHeight="1">
      <c r="A2204" s="4"/>
      <c r="B2204" s="4"/>
      <c r="C2204" s="4" t="s">
        <v>7580</v>
      </c>
      <c r="D2204" s="4"/>
      <c r="E2204" s="6">
        <v>3900000.0</v>
      </c>
    </row>
    <row r="2205" ht="15.75" customHeight="1">
      <c r="A2205" s="4"/>
      <c r="B2205" s="4"/>
      <c r="C2205" s="4" t="s">
        <v>7581</v>
      </c>
      <c r="D2205" s="4"/>
      <c r="E2205" s="6">
        <v>4500000.0</v>
      </c>
    </row>
    <row r="2206" ht="15.75" customHeight="1">
      <c r="A2206" s="4"/>
      <c r="B2206" s="4"/>
      <c r="C2206" s="4" t="s">
        <v>7582</v>
      </c>
      <c r="D2206" s="4"/>
      <c r="E2206" s="6">
        <v>95000.0</v>
      </c>
    </row>
    <row r="2207" ht="15.75" customHeight="1">
      <c r="A2207" s="4"/>
      <c r="B2207" s="4"/>
      <c r="C2207" s="4" t="s">
        <v>7583</v>
      </c>
      <c r="D2207" s="4"/>
      <c r="E2207" s="6">
        <v>115000.0</v>
      </c>
    </row>
    <row r="2208" ht="15.75" customHeight="1">
      <c r="A2208" s="4"/>
      <c r="B2208" s="4"/>
      <c r="C2208" s="4" t="s">
        <v>7584</v>
      </c>
      <c r="D2208" s="4"/>
      <c r="E2208" s="6">
        <v>130000.0</v>
      </c>
    </row>
    <row r="2209" ht="15.75" customHeight="1">
      <c r="A2209" s="4"/>
      <c r="B2209" s="4"/>
      <c r="C2209" s="4" t="s">
        <v>7585</v>
      </c>
      <c r="D2209" s="4"/>
      <c r="E2209" s="6">
        <v>145000.0</v>
      </c>
    </row>
    <row r="2210" ht="15.75" customHeight="1">
      <c r="A2210" s="4"/>
      <c r="B2210" s="4"/>
      <c r="C2210" s="4" t="s">
        <v>7586</v>
      </c>
      <c r="D2210" s="4"/>
      <c r="E2210" s="6">
        <v>135000.0</v>
      </c>
    </row>
    <row r="2211" ht="15.75" customHeight="1">
      <c r="A2211" s="4"/>
      <c r="B2211" s="4"/>
      <c r="C2211" s="4" t="s">
        <v>7587</v>
      </c>
      <c r="D2211" s="4"/>
      <c r="E2211" s="6">
        <v>150000.0</v>
      </c>
    </row>
    <row r="2212" ht="15.75" customHeight="1">
      <c r="A2212" s="4"/>
      <c r="B2212" s="4"/>
      <c r="C2212" s="4" t="s">
        <v>7588</v>
      </c>
      <c r="D2212" s="4"/>
      <c r="E2212" s="6">
        <v>220000.0</v>
      </c>
    </row>
    <row r="2213" ht="15.75" customHeight="1">
      <c r="A2213" s="4"/>
      <c r="B2213" s="4"/>
      <c r="C2213" s="4" t="s">
        <v>7589</v>
      </c>
      <c r="D2213" s="4"/>
      <c r="E2213" s="6">
        <v>250000.0</v>
      </c>
    </row>
    <row r="2214" ht="15.75" customHeight="1">
      <c r="A2214" s="4"/>
      <c r="B2214" s="4"/>
      <c r="C2214" s="4" t="s">
        <v>7590</v>
      </c>
      <c r="D2214" s="4"/>
      <c r="E2214" s="6">
        <v>270000.0</v>
      </c>
    </row>
    <row r="2215" ht="15.75" customHeight="1">
      <c r="A2215" s="4"/>
      <c r="B2215" s="4"/>
      <c r="C2215" s="4" t="s">
        <v>7591</v>
      </c>
      <c r="D2215" s="4"/>
      <c r="E2215" s="6">
        <v>140000.0</v>
      </c>
    </row>
    <row r="2216" ht="15.75" customHeight="1">
      <c r="A2216" s="4"/>
      <c r="B2216" s="4"/>
      <c r="C2216" s="4" t="s">
        <v>7592</v>
      </c>
      <c r="D2216" s="4"/>
      <c r="E2216" s="6">
        <v>160000.0</v>
      </c>
    </row>
    <row r="2217" ht="15.75" customHeight="1">
      <c r="A2217" s="4"/>
      <c r="B2217" s="4"/>
      <c r="C2217" s="4" t="s">
        <v>7593</v>
      </c>
      <c r="D2217" s="4"/>
      <c r="E2217" s="6">
        <v>200000.0</v>
      </c>
    </row>
    <row r="2218" ht="15.75" customHeight="1">
      <c r="A2218" s="4"/>
      <c r="B2218" s="4"/>
      <c r="C2218" s="4" t="s">
        <v>7594</v>
      </c>
      <c r="D2218" s="4"/>
      <c r="E2218" s="6">
        <v>230000.0</v>
      </c>
    </row>
    <row r="2219" ht="15.75" customHeight="1">
      <c r="A2219" s="4"/>
      <c r="B2219" s="4"/>
      <c r="C2219" s="4" t="s">
        <v>7595</v>
      </c>
      <c r="D2219" s="4"/>
      <c r="E2219" s="6">
        <v>300000.0</v>
      </c>
    </row>
    <row r="2220" ht="15.75" customHeight="1">
      <c r="A2220" s="4"/>
      <c r="B2220" s="4"/>
      <c r="C2220" s="4" t="s">
        <v>7596</v>
      </c>
      <c r="D2220" s="4"/>
      <c r="E2220" s="6">
        <v>450000.0</v>
      </c>
    </row>
    <row r="2221" ht="15.75" customHeight="1">
      <c r="A2221" s="4"/>
      <c r="B2221" s="4"/>
      <c r="C2221" s="4" t="s">
        <v>7597</v>
      </c>
      <c r="D2221" s="4"/>
      <c r="E2221" s="6">
        <v>222000.0</v>
      </c>
    </row>
    <row r="2222" ht="15.75" customHeight="1">
      <c r="A2222" s="4"/>
      <c r="B2222" s="4"/>
      <c r="C2222" s="4" t="s">
        <v>7598</v>
      </c>
      <c r="D2222" s="4" t="s">
        <v>7463</v>
      </c>
      <c r="E2222" s="6">
        <v>56500.0</v>
      </c>
    </row>
    <row r="2223" ht="15.75" customHeight="1">
      <c r="A2223" s="4"/>
      <c r="B2223" s="4"/>
      <c r="C2223" s="4" t="s">
        <v>7599</v>
      </c>
      <c r="D2223" s="4" t="s">
        <v>7463</v>
      </c>
      <c r="E2223" s="6">
        <v>92000.0</v>
      </c>
    </row>
    <row r="2224" ht="15.75" customHeight="1">
      <c r="A2224" s="4"/>
      <c r="B2224" s="4"/>
      <c r="C2224" s="4" t="s">
        <v>7600</v>
      </c>
      <c r="D2224" s="4" t="s">
        <v>7601</v>
      </c>
      <c r="E2224" s="6">
        <v>55000.0</v>
      </c>
    </row>
    <row r="2225" ht="15.75" customHeight="1">
      <c r="A2225" s="4"/>
      <c r="B2225" s="4"/>
      <c r="C2225" s="4" t="s">
        <v>7602</v>
      </c>
      <c r="D2225" s="4"/>
      <c r="E2225" s="6"/>
    </row>
    <row r="2226" ht="15.75" customHeight="1">
      <c r="A2226" s="4"/>
      <c r="B2226" s="4"/>
      <c r="C2226" s="4" t="s">
        <v>7603</v>
      </c>
      <c r="D2226" s="4" t="s">
        <v>5313</v>
      </c>
      <c r="E2226" s="6">
        <v>829900.0</v>
      </c>
    </row>
    <row r="2227" ht="15.75" customHeight="1">
      <c r="A2227" s="4"/>
      <c r="B2227" s="4"/>
      <c r="C2227" s="4" t="s">
        <v>7604</v>
      </c>
      <c r="D2227" s="4" t="s">
        <v>43</v>
      </c>
      <c r="E2227" s="6">
        <v>135000.0</v>
      </c>
    </row>
    <row r="2228" ht="15.75" customHeight="1">
      <c r="A2228" s="4"/>
      <c r="B2228" s="4"/>
      <c r="C2228" s="4" t="s">
        <v>7605</v>
      </c>
      <c r="D2228" s="4" t="s">
        <v>5403</v>
      </c>
      <c r="E2228" s="6">
        <v>1135000.0</v>
      </c>
    </row>
    <row r="2229" ht="15.75" customHeight="1">
      <c r="A2229" s="4"/>
      <c r="B2229" s="4"/>
      <c r="C2229" s="4" t="s">
        <v>7606</v>
      </c>
      <c r="D2229" s="4" t="s">
        <v>7607</v>
      </c>
      <c r="E2229" s="6">
        <v>245000.0</v>
      </c>
    </row>
    <row r="2230" ht="15.75" customHeight="1">
      <c r="A2230" s="4"/>
      <c r="B2230" s="4"/>
      <c r="C2230" s="4" t="s">
        <v>7608</v>
      </c>
      <c r="D2230" s="4" t="s">
        <v>419</v>
      </c>
      <c r="E2230" s="6">
        <v>145000.0</v>
      </c>
    </row>
    <row r="2231" ht="15.75" customHeight="1">
      <c r="A2231" s="4"/>
      <c r="B2231" s="4"/>
      <c r="C2231" s="4" t="s">
        <v>7609</v>
      </c>
      <c r="D2231" s="4" t="s">
        <v>419</v>
      </c>
      <c r="E2231" s="6">
        <v>26400.0</v>
      </c>
    </row>
    <row r="2232" ht="15.75" customHeight="1">
      <c r="A2232" s="4"/>
      <c r="B2232" s="4"/>
      <c r="C2232" s="4" t="s">
        <v>7610</v>
      </c>
      <c r="D2232" s="4" t="s">
        <v>43</v>
      </c>
      <c r="E2232" s="6">
        <v>130000.0</v>
      </c>
    </row>
    <row r="2233" ht="15.75" customHeight="1">
      <c r="A2233" s="4"/>
      <c r="B2233" s="4"/>
      <c r="C2233" s="4" t="s">
        <v>7611</v>
      </c>
      <c r="D2233" s="4" t="s">
        <v>7607</v>
      </c>
      <c r="E2233" s="6">
        <v>50000.0</v>
      </c>
    </row>
    <row r="2234" ht="15.75" customHeight="1">
      <c r="A2234" s="4"/>
      <c r="B2234" s="4"/>
      <c r="C2234" s="4" t="s">
        <v>7612</v>
      </c>
      <c r="D2234" s="4" t="s">
        <v>5403</v>
      </c>
      <c r="E2234" s="6">
        <v>1666000.0</v>
      </c>
    </row>
    <row r="2235" ht="15.75" customHeight="1">
      <c r="A2235" s="4"/>
      <c r="B2235" s="4"/>
      <c r="C2235" s="4" t="s">
        <v>7613</v>
      </c>
      <c r="D2235" s="4" t="s">
        <v>2608</v>
      </c>
      <c r="E2235" s="6">
        <v>1634000.0</v>
      </c>
    </row>
    <row r="2236" ht="15.75" customHeight="1">
      <c r="A2236" s="4"/>
      <c r="B2236" s="4"/>
      <c r="C2236" s="4" t="s">
        <v>7614</v>
      </c>
      <c r="D2236" s="4" t="s">
        <v>5553</v>
      </c>
      <c r="E2236" s="6">
        <v>587600.0</v>
      </c>
    </row>
    <row r="2237" ht="15.75" customHeight="1">
      <c r="A2237" s="4"/>
      <c r="B2237" s="4"/>
      <c r="C2237" s="4" t="s">
        <v>7615</v>
      </c>
      <c r="D2237" s="4" t="s">
        <v>2608</v>
      </c>
      <c r="E2237" s="6">
        <v>13500.0</v>
      </c>
    </row>
    <row r="2238" ht="15.75" customHeight="1">
      <c r="A2238" s="4"/>
      <c r="B2238" s="4"/>
      <c r="C2238" s="4" t="s">
        <v>7616</v>
      </c>
      <c r="D2238" s="4" t="s">
        <v>2608</v>
      </c>
      <c r="E2238" s="6">
        <v>55000.0</v>
      </c>
    </row>
    <row r="2239" ht="15.75" customHeight="1">
      <c r="A2239" s="4"/>
      <c r="B2239" s="4"/>
      <c r="C2239" s="4" t="s">
        <v>7617</v>
      </c>
      <c r="D2239" s="4" t="s">
        <v>5553</v>
      </c>
      <c r="E2239" s="6">
        <v>35000.0</v>
      </c>
    </row>
    <row r="2240" ht="15.75" customHeight="1">
      <c r="A2240" s="4"/>
      <c r="B2240" s="4"/>
      <c r="C2240" s="4" t="s">
        <v>7618</v>
      </c>
      <c r="D2240" s="4" t="s">
        <v>2608</v>
      </c>
      <c r="E2240" s="6">
        <v>492000.0</v>
      </c>
    </row>
    <row r="2241" ht="15.75" customHeight="1">
      <c r="A2241" s="4"/>
      <c r="B2241" s="4"/>
      <c r="C2241" s="4" t="s">
        <v>7619</v>
      </c>
      <c r="D2241" s="4" t="s">
        <v>5553</v>
      </c>
      <c r="E2241" s="6">
        <v>45000.0</v>
      </c>
    </row>
    <row r="2242" ht="15.75" customHeight="1">
      <c r="A2242" s="4"/>
      <c r="B2242" s="4"/>
      <c r="C2242" s="4" t="s">
        <v>7620</v>
      </c>
      <c r="D2242" s="4" t="s">
        <v>2608</v>
      </c>
      <c r="E2242" s="6">
        <v>83000.0</v>
      </c>
    </row>
    <row r="2243" ht="15.75" customHeight="1">
      <c r="A2243" s="4"/>
      <c r="B2243" s="4"/>
      <c r="C2243" s="4" t="s">
        <v>7621</v>
      </c>
      <c r="D2243" s="4" t="s">
        <v>5553</v>
      </c>
      <c r="E2243" s="6">
        <v>252900.0</v>
      </c>
    </row>
    <row r="2244" ht="15.75" customHeight="1">
      <c r="A2244" s="4"/>
      <c r="B2244" s="4"/>
      <c r="C2244" s="4" t="s">
        <v>7622</v>
      </c>
      <c r="D2244" s="4" t="s">
        <v>2608</v>
      </c>
      <c r="E2244" s="6">
        <v>530000.0</v>
      </c>
    </row>
    <row r="2245" ht="15.75" customHeight="1">
      <c r="A2245" s="4"/>
      <c r="B2245" s="4"/>
      <c r="C2245" s="4" t="s">
        <v>7623</v>
      </c>
      <c r="D2245" s="4" t="s">
        <v>5553</v>
      </c>
      <c r="E2245" s="6">
        <v>2040000.0</v>
      </c>
    </row>
    <row r="2246" ht="15.75" customHeight="1">
      <c r="A2246" s="4"/>
      <c r="B2246" s="4"/>
      <c r="C2246" s="4" t="s">
        <v>7624</v>
      </c>
      <c r="D2246" s="4" t="s">
        <v>5553</v>
      </c>
      <c r="E2246" s="6">
        <v>25500.0</v>
      </c>
    </row>
    <row r="2247" ht="15.75" customHeight="1">
      <c r="A2247" s="4"/>
      <c r="B2247" s="4"/>
      <c r="C2247" s="4" t="s">
        <v>7625</v>
      </c>
      <c r="D2247" s="4" t="s">
        <v>5553</v>
      </c>
      <c r="E2247" s="6">
        <v>1500.0</v>
      </c>
    </row>
    <row r="2248" ht="15.75" customHeight="1">
      <c r="A2248" s="4"/>
      <c r="B2248" s="4"/>
      <c r="C2248" s="4" t="s">
        <v>7626</v>
      </c>
      <c r="D2248" s="4"/>
      <c r="E2248" s="6">
        <v>189000.0</v>
      </c>
    </row>
    <row r="2249" ht="15.75" customHeight="1">
      <c r="A2249" s="4"/>
      <c r="B2249" s="4"/>
      <c r="C2249" s="4" t="s">
        <v>7627</v>
      </c>
      <c r="D2249" s="4"/>
      <c r="E2249" s="6">
        <v>160000.0</v>
      </c>
    </row>
    <row r="2250" ht="15.75" customHeight="1">
      <c r="A2250" s="4"/>
      <c r="B2250" s="4"/>
      <c r="C2250" s="4" t="s">
        <v>7628</v>
      </c>
      <c r="D2250" s="4"/>
      <c r="E2250" s="6">
        <v>582000.0</v>
      </c>
    </row>
    <row r="2251" ht="15.75" customHeight="1">
      <c r="A2251" s="4"/>
      <c r="B2251" s="4"/>
      <c r="C2251" s="4" t="s">
        <v>7629</v>
      </c>
      <c r="D2251" s="4" t="s">
        <v>27</v>
      </c>
      <c r="E2251" s="6">
        <v>58620.0</v>
      </c>
    </row>
    <row r="2252" ht="15.75" customHeight="1">
      <c r="A2252" s="4"/>
      <c r="B2252" s="4"/>
      <c r="C2252" s="4" t="s">
        <v>7630</v>
      </c>
      <c r="D2252" s="4" t="s">
        <v>5313</v>
      </c>
      <c r="E2252" s="6">
        <v>496000.0</v>
      </c>
    </row>
    <row r="2253" ht="15.75" customHeight="1">
      <c r="A2253" s="4"/>
      <c r="B2253" s="4"/>
      <c r="C2253" s="4" t="s">
        <v>7631</v>
      </c>
      <c r="D2253" s="4" t="s">
        <v>5313</v>
      </c>
      <c r="E2253" s="6">
        <v>185000.0</v>
      </c>
    </row>
    <row r="2254" ht="15.75" customHeight="1">
      <c r="A2254" s="4"/>
      <c r="B2254" s="4"/>
      <c r="C2254" s="4" t="s">
        <v>7632</v>
      </c>
      <c r="D2254" s="4" t="s">
        <v>43</v>
      </c>
      <c r="E2254" s="6">
        <v>142500.0</v>
      </c>
    </row>
    <row r="2255" ht="15.75" customHeight="1">
      <c r="A2255" s="4"/>
      <c r="B2255" s="4"/>
      <c r="C2255" s="4" t="s">
        <v>7633</v>
      </c>
      <c r="D2255" s="4" t="s">
        <v>43</v>
      </c>
      <c r="E2255" s="6">
        <v>285000.0</v>
      </c>
    </row>
    <row r="2256" ht="15.75" customHeight="1">
      <c r="A2256" s="4"/>
      <c r="B2256" s="4"/>
      <c r="C2256" s="4" t="s">
        <v>7634</v>
      </c>
      <c r="D2256" s="4" t="s">
        <v>5313</v>
      </c>
      <c r="E2256" s="6">
        <v>185000.0</v>
      </c>
    </row>
    <row r="2257" ht="15.75" customHeight="1">
      <c r="A2257" s="4"/>
      <c r="B2257" s="4"/>
      <c r="C2257" s="4" t="s">
        <v>7635</v>
      </c>
      <c r="D2257" s="4" t="s">
        <v>5553</v>
      </c>
      <c r="E2257" s="6">
        <v>690000.0</v>
      </c>
    </row>
    <row r="2258" ht="15.75" customHeight="1">
      <c r="A2258" s="4"/>
      <c r="B2258" s="4"/>
      <c r="C2258" s="4" t="s">
        <v>7636</v>
      </c>
      <c r="D2258" s="4" t="s">
        <v>5553</v>
      </c>
      <c r="E2258" s="6">
        <v>962000.0</v>
      </c>
    </row>
    <row r="2259" ht="15.75" customHeight="1">
      <c r="A2259" s="4"/>
      <c r="B2259" s="4"/>
      <c r="C2259" s="4" t="s">
        <v>7637</v>
      </c>
      <c r="D2259" s="4"/>
      <c r="E2259" s="6"/>
    </row>
    <row r="2260" ht="15.75" customHeight="1">
      <c r="A2260" s="4" t="s">
        <v>5212</v>
      </c>
      <c r="B2260" s="4"/>
      <c r="C2260" s="4" t="s">
        <v>7638</v>
      </c>
      <c r="D2260" s="4" t="s">
        <v>6682</v>
      </c>
      <c r="E2260" s="6">
        <v>200.0</v>
      </c>
    </row>
    <row r="2261" ht="15.75" customHeight="1">
      <c r="A2261" s="4"/>
      <c r="B2261" s="4"/>
      <c r="C2261" s="4" t="s">
        <v>7639</v>
      </c>
      <c r="D2261" s="4" t="s">
        <v>36</v>
      </c>
      <c r="E2261" s="6">
        <v>100000.0</v>
      </c>
    </row>
    <row r="2262" ht="15.75" customHeight="1">
      <c r="A2262" s="4" t="s">
        <v>353</v>
      </c>
      <c r="B2262" s="4"/>
      <c r="C2262" s="4" t="s">
        <v>7640</v>
      </c>
      <c r="D2262" s="4" t="s">
        <v>116</v>
      </c>
      <c r="E2262" s="6">
        <v>50000.0</v>
      </c>
    </row>
    <row r="2263" ht="15.75" customHeight="1">
      <c r="A2263" s="4" t="s">
        <v>791</v>
      </c>
      <c r="B2263" s="4"/>
      <c r="C2263" s="4" t="s">
        <v>7641</v>
      </c>
      <c r="D2263" s="4" t="s">
        <v>36</v>
      </c>
      <c r="E2263" s="6">
        <v>179000.0</v>
      </c>
    </row>
    <row r="2264" ht="15.75" customHeight="1">
      <c r="A2264" s="4" t="s">
        <v>1626</v>
      </c>
      <c r="B2264" s="4"/>
      <c r="C2264" s="4" t="s">
        <v>7642</v>
      </c>
      <c r="D2264" s="4" t="s">
        <v>7643</v>
      </c>
      <c r="E2264" s="6">
        <v>30000.0</v>
      </c>
    </row>
    <row r="2265" ht="15.75" customHeight="1">
      <c r="A2265" s="4" t="s">
        <v>2310</v>
      </c>
      <c r="B2265" s="4"/>
      <c r="C2265" s="4" t="s">
        <v>7644</v>
      </c>
      <c r="D2265" s="4" t="s">
        <v>43</v>
      </c>
      <c r="E2265" s="6">
        <v>68600.0</v>
      </c>
    </row>
    <row r="2266" ht="15.75" customHeight="1">
      <c r="A2266" s="4" t="s">
        <v>3568</v>
      </c>
      <c r="B2266" s="4"/>
      <c r="C2266" s="4" t="s">
        <v>7645</v>
      </c>
      <c r="D2266" s="4" t="s">
        <v>36</v>
      </c>
      <c r="E2266" s="6">
        <v>10000.0</v>
      </c>
    </row>
    <row r="2267" ht="15.75" customHeight="1">
      <c r="A2267" s="4" t="s">
        <v>4362</v>
      </c>
      <c r="B2267" s="4"/>
      <c r="C2267" s="4" t="s">
        <v>7646</v>
      </c>
      <c r="D2267" s="4" t="s">
        <v>36</v>
      </c>
      <c r="E2267" s="6">
        <v>11000.0</v>
      </c>
    </row>
    <row r="2268" ht="15.75" customHeight="1">
      <c r="A2268" s="4" t="s">
        <v>4423</v>
      </c>
      <c r="B2268" s="4"/>
      <c r="C2268" s="4" t="s">
        <v>7647</v>
      </c>
      <c r="D2268" s="4" t="s">
        <v>5445</v>
      </c>
      <c r="E2268" s="6">
        <v>3900.0</v>
      </c>
    </row>
    <row r="2269" ht="15.75" customHeight="1">
      <c r="A2269" s="4" t="s">
        <v>4626</v>
      </c>
      <c r="B2269" s="4"/>
      <c r="C2269" s="4" t="s">
        <v>7648</v>
      </c>
      <c r="D2269" s="4" t="s">
        <v>5403</v>
      </c>
      <c r="E2269" s="6">
        <v>77200.0</v>
      </c>
    </row>
    <row r="2270" ht="15.75" customHeight="1">
      <c r="A2270" s="4"/>
      <c r="B2270" s="4"/>
      <c r="C2270" s="4" t="s">
        <v>7649</v>
      </c>
      <c r="D2270" s="4" t="s">
        <v>419</v>
      </c>
      <c r="E2270" s="6">
        <v>12866.66666666667</v>
      </c>
    </row>
    <row r="2271" ht="15.75" customHeight="1">
      <c r="A2271" s="4"/>
      <c r="B2271" s="4"/>
      <c r="C2271" s="4" t="s">
        <v>7650</v>
      </c>
      <c r="D2271" s="4" t="s">
        <v>389</v>
      </c>
      <c r="E2271" s="6">
        <v>16480.0</v>
      </c>
    </row>
    <row r="2272" ht="15.75" customHeight="1">
      <c r="A2272" s="4" t="s">
        <v>5171</v>
      </c>
      <c r="B2272" s="4"/>
      <c r="C2272" s="4" t="s">
        <v>7651</v>
      </c>
      <c r="D2272" s="4" t="s">
        <v>5403</v>
      </c>
      <c r="E2272" s="6">
        <v>82400.0</v>
      </c>
    </row>
    <row r="2273" ht="15.75" customHeight="1">
      <c r="A2273" s="4" t="s">
        <v>5229</v>
      </c>
      <c r="B2273" s="4"/>
      <c r="C2273" s="4" t="s">
        <v>7652</v>
      </c>
      <c r="D2273" s="4" t="s">
        <v>5403</v>
      </c>
      <c r="E2273" s="6">
        <v>106000.0</v>
      </c>
    </row>
    <row r="2274" ht="15.75" customHeight="1">
      <c r="A2274" s="4" t="s">
        <v>5231</v>
      </c>
      <c r="B2274" s="4"/>
      <c r="C2274" s="4" t="s">
        <v>7653</v>
      </c>
      <c r="D2274" s="4" t="s">
        <v>27</v>
      </c>
      <c r="E2274" s="6">
        <v>17667.0</v>
      </c>
    </row>
    <row r="2275" ht="15.75" customHeight="1">
      <c r="A2275" s="4" t="s">
        <v>5233</v>
      </c>
      <c r="B2275" s="4"/>
      <c r="C2275" s="4" t="s">
        <v>7654</v>
      </c>
      <c r="D2275" s="4" t="s">
        <v>116</v>
      </c>
      <c r="E2275" s="6">
        <v>755000.0</v>
      </c>
    </row>
    <row r="2276" ht="15.75" customHeight="1">
      <c r="A2276" s="4" t="s">
        <v>5235</v>
      </c>
      <c r="B2276" s="4"/>
      <c r="C2276" s="4" t="s">
        <v>7655</v>
      </c>
      <c r="D2276" s="4" t="s">
        <v>6278</v>
      </c>
      <c r="E2276" s="6">
        <v>145000.0</v>
      </c>
    </row>
    <row r="2277" ht="15.75" customHeight="1">
      <c r="A2277" s="4" t="s">
        <v>5237</v>
      </c>
      <c r="B2277" s="4"/>
      <c r="C2277" s="4" t="s">
        <v>7656</v>
      </c>
      <c r="D2277" s="4" t="s">
        <v>6278</v>
      </c>
      <c r="E2277" s="6">
        <v>170000.0</v>
      </c>
    </row>
    <row r="2278" ht="15.75" customHeight="1">
      <c r="A2278" s="4" t="s">
        <v>5272</v>
      </c>
      <c r="B2278" s="4"/>
      <c r="C2278" s="4" t="s">
        <v>7657</v>
      </c>
      <c r="D2278" s="4" t="s">
        <v>389</v>
      </c>
      <c r="E2278" s="6">
        <v>6100.0</v>
      </c>
    </row>
    <row r="2279" ht="15.75" customHeight="1">
      <c r="A2279" s="4" t="s">
        <v>5274</v>
      </c>
      <c r="B2279" s="4"/>
      <c r="C2279" s="4" t="s">
        <v>7658</v>
      </c>
      <c r="D2279" s="4" t="s">
        <v>2608</v>
      </c>
      <c r="E2279" s="6">
        <v>1262500.0</v>
      </c>
    </row>
    <row r="2280" ht="15.75" customHeight="1">
      <c r="A2280" s="4" t="s">
        <v>5276</v>
      </c>
      <c r="B2280" s="4"/>
      <c r="C2280" s="4" t="s">
        <v>7659</v>
      </c>
      <c r="D2280" s="4" t="s">
        <v>2608</v>
      </c>
      <c r="E2280" s="6">
        <v>1040000.0</v>
      </c>
    </row>
    <row r="2281" ht="15.75" customHeight="1">
      <c r="A2281" s="4" t="s">
        <v>5278</v>
      </c>
      <c r="B2281" s="4"/>
      <c r="C2281" s="4" t="s">
        <v>7660</v>
      </c>
      <c r="D2281" s="4" t="s">
        <v>43</v>
      </c>
      <c r="E2281" s="6">
        <v>2626500.0</v>
      </c>
    </row>
    <row r="2282" ht="15.75" customHeight="1">
      <c r="A2282" s="4" t="s">
        <v>5280</v>
      </c>
      <c r="B2282" s="4"/>
      <c r="C2282" s="4" t="s">
        <v>7661</v>
      </c>
      <c r="D2282" s="4" t="s">
        <v>43</v>
      </c>
      <c r="E2282" s="6">
        <v>555600.0</v>
      </c>
    </row>
    <row r="2283" ht="15.75" customHeight="1">
      <c r="A2283" s="4" t="s">
        <v>5250</v>
      </c>
      <c r="B2283" s="4"/>
      <c r="C2283" s="4" t="s">
        <v>7662</v>
      </c>
      <c r="D2283" s="4" t="s">
        <v>389</v>
      </c>
      <c r="E2283" s="6">
        <v>180000.0</v>
      </c>
    </row>
    <row r="2284" ht="15.75" customHeight="1">
      <c r="A2284" s="4"/>
      <c r="B2284" s="4"/>
      <c r="C2284" s="4" t="s">
        <v>7663</v>
      </c>
      <c r="D2284" s="4" t="s">
        <v>389</v>
      </c>
      <c r="E2284" s="6">
        <v>1200.0</v>
      </c>
    </row>
    <row r="2285" ht="15.75" customHeight="1">
      <c r="A2285" s="4" t="s">
        <v>5268</v>
      </c>
      <c r="B2285" s="4"/>
      <c r="C2285" s="4" t="s">
        <v>7664</v>
      </c>
      <c r="D2285" s="4" t="s">
        <v>7665</v>
      </c>
      <c r="E2285" s="6">
        <v>225000.0</v>
      </c>
    </row>
    <row r="2286" ht="15.75" customHeight="1">
      <c r="A2286" s="4" t="s">
        <v>5282</v>
      </c>
      <c r="B2286" s="4"/>
      <c r="C2286" s="4" t="s">
        <v>7666</v>
      </c>
      <c r="D2286" s="4" t="s">
        <v>36</v>
      </c>
      <c r="E2286" s="6">
        <v>100000.0</v>
      </c>
    </row>
    <row r="2287" ht="15.75" customHeight="1">
      <c r="A2287" s="4" t="s">
        <v>5256</v>
      </c>
      <c r="B2287" s="4"/>
      <c r="C2287" s="4" t="s">
        <v>7667</v>
      </c>
      <c r="D2287" s="4" t="s">
        <v>389</v>
      </c>
      <c r="E2287" s="6">
        <v>216700.0</v>
      </c>
    </row>
    <row r="2288" ht="15.75" customHeight="1">
      <c r="A2288" s="4" t="s">
        <v>5259</v>
      </c>
      <c r="B2288" s="4"/>
      <c r="C2288" s="4" t="s">
        <v>7668</v>
      </c>
      <c r="D2288" s="4" t="s">
        <v>5445</v>
      </c>
      <c r="E2288" s="6">
        <v>51400.0</v>
      </c>
    </row>
    <row r="2289" ht="15.75" customHeight="1">
      <c r="A2289" s="4" t="s">
        <v>5284</v>
      </c>
      <c r="B2289" s="4"/>
      <c r="C2289" s="4" t="s">
        <v>7669</v>
      </c>
      <c r="D2289" s="4" t="s">
        <v>5445</v>
      </c>
      <c r="E2289" s="6">
        <v>170000.0</v>
      </c>
    </row>
    <row r="2290" ht="15.75" customHeight="1">
      <c r="A2290" s="4" t="s">
        <v>5286</v>
      </c>
      <c r="B2290" s="4"/>
      <c r="C2290" s="4" t="s">
        <v>7670</v>
      </c>
      <c r="D2290" s="4" t="s">
        <v>5315</v>
      </c>
      <c r="E2290" s="6">
        <v>10600.0</v>
      </c>
    </row>
    <row r="2291" ht="15.75" customHeight="1">
      <c r="A2291" s="4" t="s">
        <v>5253</v>
      </c>
      <c r="B2291" s="4"/>
      <c r="C2291" s="4" t="s">
        <v>7671</v>
      </c>
      <c r="D2291" s="4" t="s">
        <v>36</v>
      </c>
      <c r="E2291" s="6">
        <v>29167.0</v>
      </c>
    </row>
    <row r="2292" ht="15.75" customHeight="1">
      <c r="A2292" s="4" t="s">
        <v>5288</v>
      </c>
      <c r="B2292" s="4"/>
      <c r="C2292" s="4" t="s">
        <v>7672</v>
      </c>
      <c r="D2292" s="4" t="s">
        <v>27</v>
      </c>
      <c r="E2292" s="6">
        <v>761200.0</v>
      </c>
    </row>
    <row r="2293" ht="15.75" customHeight="1">
      <c r="A2293" s="4" t="s">
        <v>5262</v>
      </c>
      <c r="B2293" s="4"/>
      <c r="C2293" s="4" t="s">
        <v>7673</v>
      </c>
      <c r="D2293" s="4" t="s">
        <v>43</v>
      </c>
      <c r="E2293" s="6">
        <v>20200.0</v>
      </c>
    </row>
    <row r="2294" ht="15.75" customHeight="1">
      <c r="A2294" s="4" t="s">
        <v>5265</v>
      </c>
      <c r="B2294" s="4"/>
      <c r="C2294" s="4" t="s">
        <v>7674</v>
      </c>
      <c r="D2294" s="4" t="s">
        <v>43</v>
      </c>
      <c r="E2294" s="6">
        <v>9200.0</v>
      </c>
    </row>
    <row r="2295" ht="15.75" customHeight="1">
      <c r="A2295" s="4" t="s">
        <v>5290</v>
      </c>
      <c r="B2295" s="4"/>
      <c r="C2295" s="4" t="s">
        <v>7675</v>
      </c>
      <c r="D2295" s="4" t="s">
        <v>116</v>
      </c>
      <c r="E2295" s="6">
        <v>39700.0</v>
      </c>
    </row>
    <row r="2296" ht="15.75" customHeight="1">
      <c r="A2296" s="4" t="s">
        <v>5342</v>
      </c>
      <c r="B2296" s="4"/>
      <c r="C2296" s="4" t="s">
        <v>7676</v>
      </c>
      <c r="D2296" s="4" t="s">
        <v>36</v>
      </c>
      <c r="E2296" s="6">
        <v>70000.0</v>
      </c>
    </row>
    <row r="2297" ht="15.75" customHeight="1">
      <c r="A2297" s="4" t="s">
        <v>5346</v>
      </c>
      <c r="B2297" s="4"/>
      <c r="C2297" s="4" t="s">
        <v>7677</v>
      </c>
      <c r="D2297" s="4" t="s">
        <v>2608</v>
      </c>
      <c r="E2297" s="6">
        <v>2156800.0</v>
      </c>
    </row>
    <row r="2298" ht="15.75" customHeight="1">
      <c r="A2298" s="4" t="s">
        <v>5348</v>
      </c>
      <c r="B2298" s="4"/>
      <c r="C2298" s="4" t="s">
        <v>7678</v>
      </c>
      <c r="D2298" s="4" t="s">
        <v>2608</v>
      </c>
      <c r="E2298" s="6">
        <v>2740500.0</v>
      </c>
    </row>
    <row r="2299" ht="15.75" customHeight="1">
      <c r="A2299" s="4" t="s">
        <v>5350</v>
      </c>
      <c r="B2299" s="4"/>
      <c r="C2299" s="4" t="s">
        <v>7679</v>
      </c>
      <c r="D2299" s="4" t="s">
        <v>2608</v>
      </c>
      <c r="E2299" s="6">
        <v>5481000.0</v>
      </c>
    </row>
    <row r="2300" ht="15.75" customHeight="1">
      <c r="A2300" s="4" t="s">
        <v>5352</v>
      </c>
      <c r="B2300" s="4"/>
      <c r="C2300" s="4" t="s">
        <v>7680</v>
      </c>
      <c r="D2300" s="4" t="s">
        <v>389</v>
      </c>
      <c r="E2300" s="6">
        <v>37300.0</v>
      </c>
    </row>
    <row r="2301" ht="15.75" customHeight="1">
      <c r="A2301" s="4" t="s">
        <v>5354</v>
      </c>
      <c r="B2301" s="4"/>
      <c r="C2301" s="4" t="s">
        <v>7681</v>
      </c>
      <c r="D2301" s="4" t="s">
        <v>116</v>
      </c>
      <c r="E2301" s="6">
        <v>263700.0</v>
      </c>
    </row>
    <row r="2302" ht="15.75" customHeight="1">
      <c r="A2302" s="4" t="s">
        <v>5356</v>
      </c>
      <c r="B2302" s="4"/>
      <c r="C2302" s="4" t="s">
        <v>7682</v>
      </c>
      <c r="D2302" s="4" t="s">
        <v>389</v>
      </c>
      <c r="E2302" s="6">
        <v>7000.0</v>
      </c>
    </row>
    <row r="2303" ht="15.75" customHeight="1">
      <c r="A2303" s="4" t="s">
        <v>5359</v>
      </c>
      <c r="B2303" s="4"/>
      <c r="C2303" s="4" t="s">
        <v>7683</v>
      </c>
      <c r="D2303" s="4" t="s">
        <v>36</v>
      </c>
      <c r="E2303" s="6">
        <v>14500.0</v>
      </c>
    </row>
    <row r="2304" ht="15.75" customHeight="1">
      <c r="A2304" s="4" t="s">
        <v>5361</v>
      </c>
      <c r="B2304" s="4"/>
      <c r="C2304" s="4" t="s">
        <v>7684</v>
      </c>
      <c r="D2304" s="4" t="s">
        <v>43</v>
      </c>
      <c r="E2304" s="6">
        <v>3900.0</v>
      </c>
    </row>
    <row r="2305" ht="15.75" customHeight="1">
      <c r="A2305" s="4" t="s">
        <v>5363</v>
      </c>
      <c r="B2305" s="4"/>
      <c r="C2305" s="4" t="s">
        <v>7685</v>
      </c>
      <c r="D2305" s="4" t="s">
        <v>5403</v>
      </c>
      <c r="E2305" s="6">
        <v>710500.0</v>
      </c>
    </row>
    <row r="2306" ht="15.75" customHeight="1">
      <c r="A2306" s="4" t="s">
        <v>5365</v>
      </c>
      <c r="B2306" s="4"/>
      <c r="C2306" s="4" t="s">
        <v>7686</v>
      </c>
      <c r="D2306" s="4" t="s">
        <v>389</v>
      </c>
      <c r="E2306" s="6">
        <v>42500.0</v>
      </c>
    </row>
    <row r="2307" ht="15.75" customHeight="1">
      <c r="A2307" s="4" t="s">
        <v>5367</v>
      </c>
      <c r="B2307" s="4"/>
      <c r="C2307" s="4" t="s">
        <v>7687</v>
      </c>
      <c r="D2307" s="4" t="s">
        <v>389</v>
      </c>
      <c r="E2307" s="6">
        <v>145000.0</v>
      </c>
    </row>
    <row r="2308" ht="15.75" customHeight="1">
      <c r="A2308" s="4" t="s">
        <v>5369</v>
      </c>
      <c r="B2308" s="4"/>
      <c r="C2308" s="4" t="s">
        <v>7688</v>
      </c>
      <c r="D2308" s="4" t="s">
        <v>389</v>
      </c>
      <c r="E2308" s="6">
        <v>16400.0</v>
      </c>
    </row>
    <row r="2309" ht="15.75" customHeight="1">
      <c r="A2309" s="4" t="s">
        <v>5372</v>
      </c>
      <c r="B2309" s="4"/>
      <c r="C2309" s="4" t="s">
        <v>7689</v>
      </c>
      <c r="D2309" s="4" t="s">
        <v>389</v>
      </c>
      <c r="E2309" s="6">
        <v>36900.0</v>
      </c>
    </row>
    <row r="2310" ht="15.75" customHeight="1">
      <c r="A2310" s="4"/>
      <c r="B2310" s="4"/>
      <c r="C2310" s="4" t="s">
        <v>7690</v>
      </c>
      <c r="D2310" s="4" t="s">
        <v>389</v>
      </c>
      <c r="E2310" s="6">
        <v>75000.0</v>
      </c>
    </row>
    <row r="2311" ht="15.75" customHeight="1">
      <c r="A2311" s="4" t="s">
        <v>5374</v>
      </c>
      <c r="B2311" s="4"/>
      <c r="C2311" s="4" t="s">
        <v>7691</v>
      </c>
      <c r="D2311" s="4" t="s">
        <v>43</v>
      </c>
      <c r="E2311" s="6">
        <v>1167200.0</v>
      </c>
    </row>
    <row r="2312" ht="15.75" customHeight="1">
      <c r="A2312" s="4" t="s">
        <v>5376</v>
      </c>
      <c r="B2312" s="4"/>
      <c r="C2312" s="4" t="s">
        <v>7692</v>
      </c>
      <c r="D2312" s="4" t="s">
        <v>43</v>
      </c>
      <c r="E2312" s="6">
        <v>140000.0</v>
      </c>
    </row>
    <row r="2313" ht="15.75" customHeight="1">
      <c r="A2313" s="4" t="s">
        <v>5378</v>
      </c>
      <c r="B2313" s="4"/>
      <c r="C2313" s="4" t="s">
        <v>7693</v>
      </c>
      <c r="D2313" s="4" t="s">
        <v>43</v>
      </c>
      <c r="E2313" s="6">
        <v>525200.0</v>
      </c>
    </row>
    <row r="2314" ht="15.75" customHeight="1">
      <c r="A2314" s="4" t="s">
        <v>5380</v>
      </c>
      <c r="B2314" s="4"/>
      <c r="C2314" s="4" t="s">
        <v>7694</v>
      </c>
      <c r="D2314" s="4" t="s">
        <v>43</v>
      </c>
      <c r="E2314" s="6">
        <v>817000.0</v>
      </c>
    </row>
    <row r="2315" ht="15.75" customHeight="1">
      <c r="A2315" s="4" t="s">
        <v>5382</v>
      </c>
      <c r="B2315" s="4"/>
      <c r="C2315" s="4" t="s">
        <v>7695</v>
      </c>
      <c r="D2315" s="4" t="s">
        <v>43</v>
      </c>
      <c r="E2315" s="6">
        <v>8000.0</v>
      </c>
    </row>
    <row r="2316" ht="15.75" customHeight="1">
      <c r="A2316" s="4" t="s">
        <v>5384</v>
      </c>
      <c r="B2316" s="4"/>
      <c r="C2316" s="4" t="s">
        <v>7696</v>
      </c>
      <c r="D2316" s="4" t="s">
        <v>6714</v>
      </c>
      <c r="E2316" s="6">
        <v>99600.0</v>
      </c>
    </row>
    <row r="2317" ht="15.75" customHeight="1">
      <c r="A2317" s="4" t="s">
        <v>5386</v>
      </c>
      <c r="B2317" s="4"/>
      <c r="C2317" s="4" t="s">
        <v>7697</v>
      </c>
      <c r="D2317" s="4" t="s">
        <v>6714</v>
      </c>
      <c r="E2317" s="6">
        <v>85600.0</v>
      </c>
    </row>
    <row r="2318" ht="15.75" customHeight="1">
      <c r="A2318" s="4" t="s">
        <v>5388</v>
      </c>
      <c r="B2318" s="4"/>
      <c r="C2318" s="4" t="s">
        <v>7698</v>
      </c>
      <c r="D2318" s="4" t="s">
        <v>6714</v>
      </c>
      <c r="E2318" s="6">
        <v>82600.0</v>
      </c>
    </row>
    <row r="2319" ht="15.75" customHeight="1">
      <c r="A2319" s="4" t="s">
        <v>5390</v>
      </c>
      <c r="B2319" s="4"/>
      <c r="C2319" s="4" t="s">
        <v>7699</v>
      </c>
      <c r="D2319" s="4" t="s">
        <v>389</v>
      </c>
      <c r="E2319" s="6">
        <v>1850.0</v>
      </c>
    </row>
    <row r="2320" ht="15.75" customHeight="1">
      <c r="A2320" s="4"/>
      <c r="B2320" s="4"/>
      <c r="C2320" s="4" t="s">
        <v>7700</v>
      </c>
      <c r="D2320" s="4" t="s">
        <v>389</v>
      </c>
      <c r="E2320" s="6">
        <v>5070.0</v>
      </c>
    </row>
    <row r="2321" ht="15.75" customHeight="1">
      <c r="A2321" s="4" t="s">
        <v>5392</v>
      </c>
      <c r="B2321" s="4"/>
      <c r="C2321" s="4" t="s">
        <v>7701</v>
      </c>
      <c r="D2321" s="4" t="s">
        <v>43</v>
      </c>
      <c r="E2321" s="6">
        <v>8700.0</v>
      </c>
    </row>
    <row r="2322" ht="15.75" customHeight="1">
      <c r="A2322" s="4" t="s">
        <v>5394</v>
      </c>
      <c r="B2322" s="4"/>
      <c r="C2322" s="4" t="s">
        <v>7702</v>
      </c>
      <c r="D2322" s="4" t="s">
        <v>7665</v>
      </c>
      <c r="E2322" s="6">
        <v>515000.0</v>
      </c>
    </row>
    <row r="2323" ht="15.75" customHeight="1">
      <c r="A2323" s="4" t="s">
        <v>5396</v>
      </c>
      <c r="B2323" s="4"/>
      <c r="C2323" s="4" t="s">
        <v>7703</v>
      </c>
      <c r="D2323" s="4" t="s">
        <v>6278</v>
      </c>
      <c r="E2323" s="6">
        <v>1.07070707E8</v>
      </c>
    </row>
    <row r="2324" ht="15.75" customHeight="1">
      <c r="A2324" s="4" t="s">
        <v>5398</v>
      </c>
      <c r="B2324" s="4"/>
      <c r="C2324" s="4" t="s">
        <v>7704</v>
      </c>
      <c r="D2324" s="4" t="s">
        <v>43</v>
      </c>
      <c r="E2324" s="6">
        <v>7000.0</v>
      </c>
    </row>
    <row r="2325" ht="15.75" customHeight="1">
      <c r="A2325" s="4" t="s">
        <v>6332</v>
      </c>
      <c r="B2325" s="4"/>
      <c r="C2325" s="4" t="s">
        <v>7705</v>
      </c>
      <c r="D2325" s="4" t="s">
        <v>389</v>
      </c>
      <c r="E2325" s="6">
        <v>36800.0</v>
      </c>
    </row>
    <row r="2326" ht="15.75" customHeight="1">
      <c r="A2326" s="4" t="s">
        <v>6334</v>
      </c>
      <c r="B2326" s="4"/>
      <c r="C2326" s="4" t="s">
        <v>7706</v>
      </c>
      <c r="D2326" s="4" t="s">
        <v>36</v>
      </c>
      <c r="E2326" s="6">
        <v>215000.0</v>
      </c>
    </row>
    <row r="2327" ht="15.75" customHeight="1">
      <c r="A2327" s="4" t="s">
        <v>6336</v>
      </c>
      <c r="B2327" s="4"/>
      <c r="C2327" s="4" t="s">
        <v>7707</v>
      </c>
      <c r="D2327" s="4" t="s">
        <v>2608</v>
      </c>
      <c r="E2327" s="6">
        <v>4689300.0</v>
      </c>
    </row>
    <row r="2328" ht="15.75" customHeight="1">
      <c r="A2328" s="4" t="s">
        <v>6338</v>
      </c>
      <c r="B2328" s="4"/>
      <c r="C2328" s="4" t="s">
        <v>7708</v>
      </c>
      <c r="D2328" s="4" t="s">
        <v>6890</v>
      </c>
      <c r="E2328" s="6">
        <v>94600.0</v>
      </c>
    </row>
    <row r="2329" ht="15.75" customHeight="1">
      <c r="A2329" s="4" t="s">
        <v>6340</v>
      </c>
      <c r="B2329" s="4"/>
      <c r="C2329" s="4" t="s">
        <v>7709</v>
      </c>
      <c r="D2329" s="4" t="s">
        <v>5403</v>
      </c>
      <c r="E2329" s="6">
        <v>1152000.0</v>
      </c>
    </row>
    <row r="2330" ht="15.75" customHeight="1">
      <c r="A2330" s="4" t="s">
        <v>6342</v>
      </c>
      <c r="B2330" s="4"/>
      <c r="C2330" s="4" t="s">
        <v>7710</v>
      </c>
      <c r="D2330" s="4" t="s">
        <v>5403</v>
      </c>
      <c r="E2330" s="6">
        <v>1253500.0</v>
      </c>
    </row>
    <row r="2331" ht="15.75" customHeight="1">
      <c r="A2331" s="4" t="s">
        <v>6344</v>
      </c>
      <c r="B2331" s="4"/>
      <c r="C2331" s="4" t="s">
        <v>7711</v>
      </c>
      <c r="D2331" s="4" t="s">
        <v>5403</v>
      </c>
      <c r="E2331" s="6">
        <v>1598600.0</v>
      </c>
    </row>
    <row r="2332" ht="15.75" customHeight="1">
      <c r="A2332" s="4" t="s">
        <v>6346</v>
      </c>
      <c r="B2332" s="4"/>
      <c r="C2332" s="4" t="s">
        <v>7712</v>
      </c>
      <c r="D2332" s="4" t="s">
        <v>5403</v>
      </c>
      <c r="E2332" s="6">
        <v>1877700.0</v>
      </c>
    </row>
    <row r="2333" ht="15.75" customHeight="1">
      <c r="A2333" s="4" t="s">
        <v>6348</v>
      </c>
      <c r="B2333" s="4"/>
      <c r="C2333" s="4" t="s">
        <v>7713</v>
      </c>
      <c r="D2333" s="4" t="s">
        <v>5403</v>
      </c>
      <c r="E2333" s="6">
        <v>2461300.0</v>
      </c>
    </row>
    <row r="2334" ht="15.75" customHeight="1">
      <c r="A2334" s="4" t="s">
        <v>6350</v>
      </c>
      <c r="B2334" s="4"/>
      <c r="C2334" s="4" t="s">
        <v>7714</v>
      </c>
      <c r="D2334" s="4" t="s">
        <v>5403</v>
      </c>
      <c r="E2334" s="6">
        <v>3045000.0</v>
      </c>
    </row>
    <row r="2335" ht="15.75" customHeight="1">
      <c r="A2335" s="4" t="s">
        <v>6352</v>
      </c>
      <c r="B2335" s="4"/>
      <c r="C2335" s="4" t="s">
        <v>7715</v>
      </c>
      <c r="D2335" s="4" t="s">
        <v>5403</v>
      </c>
      <c r="E2335" s="6">
        <v>4403200.0</v>
      </c>
    </row>
    <row r="2336" ht="15.75" customHeight="1">
      <c r="A2336" s="4" t="s">
        <v>6354</v>
      </c>
      <c r="B2336" s="4"/>
      <c r="C2336" s="4" t="s">
        <v>7716</v>
      </c>
      <c r="D2336" s="4" t="s">
        <v>43</v>
      </c>
      <c r="E2336" s="6">
        <v>15900.0</v>
      </c>
    </row>
    <row r="2337" ht="15.75" customHeight="1">
      <c r="A2337" s="4" t="s">
        <v>6356</v>
      </c>
      <c r="B2337" s="4"/>
      <c r="C2337" s="4" t="s">
        <v>7717</v>
      </c>
      <c r="D2337" s="4" t="s">
        <v>6278</v>
      </c>
      <c r="E2337" s="6">
        <v>120000.0</v>
      </c>
    </row>
    <row r="2338" ht="15.75" customHeight="1">
      <c r="A2338" s="4" t="s">
        <v>6435</v>
      </c>
      <c r="B2338" s="4"/>
      <c r="C2338" s="4" t="s">
        <v>7718</v>
      </c>
      <c r="D2338" s="4" t="s">
        <v>43</v>
      </c>
      <c r="E2338" s="6">
        <v>3200.0</v>
      </c>
    </row>
    <row r="2339" ht="15.75" customHeight="1">
      <c r="A2339" s="4" t="s">
        <v>6437</v>
      </c>
      <c r="B2339" s="4"/>
      <c r="C2339" s="4" t="s">
        <v>7719</v>
      </c>
      <c r="D2339" s="4" t="s">
        <v>2955</v>
      </c>
      <c r="E2339" s="6">
        <v>174100.0</v>
      </c>
    </row>
    <row r="2340" ht="15.75" customHeight="1">
      <c r="A2340" s="4" t="s">
        <v>6439</v>
      </c>
      <c r="B2340" s="4"/>
      <c r="C2340" s="4" t="s">
        <v>6855</v>
      </c>
      <c r="D2340" s="4" t="s">
        <v>43</v>
      </c>
      <c r="E2340" s="6">
        <v>243700.0</v>
      </c>
    </row>
    <row r="2341" ht="15.75" customHeight="1">
      <c r="A2341" s="4" t="s">
        <v>6441</v>
      </c>
      <c r="B2341" s="4"/>
      <c r="C2341" s="4" t="s">
        <v>7720</v>
      </c>
      <c r="D2341" s="4" t="s">
        <v>5403</v>
      </c>
      <c r="E2341" s="6">
        <v>33900.0</v>
      </c>
    </row>
    <row r="2342" ht="15.75" customHeight="1">
      <c r="A2342" s="4"/>
      <c r="B2342" s="4"/>
      <c r="C2342" s="4" t="s">
        <v>7720</v>
      </c>
      <c r="D2342" s="4" t="s">
        <v>419</v>
      </c>
      <c r="E2342" s="6">
        <v>6000.0</v>
      </c>
    </row>
    <row r="2343" ht="15.75" customHeight="1">
      <c r="A2343" s="4" t="s">
        <v>6443</v>
      </c>
      <c r="B2343" s="4"/>
      <c r="C2343" s="4" t="s">
        <v>7721</v>
      </c>
      <c r="D2343" s="4" t="s">
        <v>43</v>
      </c>
      <c r="E2343" s="6">
        <v>11300.0</v>
      </c>
    </row>
    <row r="2344" ht="15.75" customHeight="1">
      <c r="A2344" s="4" t="s">
        <v>6445</v>
      </c>
      <c r="B2344" s="4"/>
      <c r="C2344" s="4" t="s">
        <v>7722</v>
      </c>
      <c r="D2344" s="4" t="s">
        <v>43</v>
      </c>
      <c r="E2344" s="6">
        <v>19300.0</v>
      </c>
    </row>
    <row r="2345" ht="15.75" customHeight="1">
      <c r="A2345" s="4" t="s">
        <v>6449</v>
      </c>
      <c r="B2345" s="4"/>
      <c r="C2345" s="4" t="s">
        <v>7723</v>
      </c>
      <c r="D2345" s="4" t="s">
        <v>43</v>
      </c>
      <c r="E2345" s="6">
        <v>19800.0</v>
      </c>
    </row>
    <row r="2346" ht="15.75" customHeight="1">
      <c r="A2346" s="4" t="s">
        <v>6451</v>
      </c>
      <c r="B2346" s="4"/>
      <c r="C2346" s="4" t="s">
        <v>7724</v>
      </c>
      <c r="D2346" s="4" t="s">
        <v>43</v>
      </c>
      <c r="E2346" s="6">
        <v>13100.0</v>
      </c>
    </row>
    <row r="2347" ht="15.75" customHeight="1">
      <c r="A2347" s="4" t="s">
        <v>6453</v>
      </c>
      <c r="B2347" s="4"/>
      <c r="C2347" s="4" t="s">
        <v>7725</v>
      </c>
      <c r="D2347" s="4" t="s">
        <v>43</v>
      </c>
      <c r="E2347" s="6">
        <v>16500.0</v>
      </c>
    </row>
    <row r="2348" ht="15.75" customHeight="1">
      <c r="A2348" s="4" t="s">
        <v>6454</v>
      </c>
      <c r="B2348" s="4"/>
      <c r="C2348" s="4" t="s">
        <v>7726</v>
      </c>
      <c r="D2348" s="4" t="s">
        <v>43</v>
      </c>
      <c r="E2348" s="6">
        <v>20500.0</v>
      </c>
    </row>
    <row r="2349" ht="15.75" customHeight="1">
      <c r="A2349" s="4" t="s">
        <v>6457</v>
      </c>
      <c r="B2349" s="4"/>
      <c r="C2349" s="4" t="s">
        <v>7727</v>
      </c>
      <c r="D2349" s="4" t="s">
        <v>43</v>
      </c>
      <c r="E2349" s="6">
        <v>21500.0</v>
      </c>
    </row>
    <row r="2350" ht="15.75" customHeight="1">
      <c r="A2350" s="4" t="s">
        <v>6459</v>
      </c>
      <c r="B2350" s="4"/>
      <c r="C2350" s="4" t="s">
        <v>7728</v>
      </c>
      <c r="D2350" s="4" t="s">
        <v>43</v>
      </c>
      <c r="E2350" s="6">
        <v>149300.0</v>
      </c>
    </row>
    <row r="2351" ht="15.75" customHeight="1">
      <c r="A2351" s="4" t="s">
        <v>6582</v>
      </c>
      <c r="B2351" s="4"/>
      <c r="C2351" s="4" t="s">
        <v>7729</v>
      </c>
      <c r="D2351" s="4" t="s">
        <v>404</v>
      </c>
      <c r="E2351" s="6">
        <v>19400.0</v>
      </c>
    </row>
    <row r="2352" ht="15.75" customHeight="1">
      <c r="A2352" s="4" t="s">
        <v>6584</v>
      </c>
      <c r="B2352" s="4"/>
      <c r="C2352" s="4" t="s">
        <v>7730</v>
      </c>
      <c r="D2352" s="4" t="s">
        <v>6890</v>
      </c>
      <c r="E2352" s="6">
        <v>549300.0</v>
      </c>
    </row>
    <row r="2353" ht="15.75" customHeight="1">
      <c r="A2353" s="4" t="s">
        <v>6586</v>
      </c>
      <c r="B2353" s="4"/>
      <c r="C2353" s="4" t="s">
        <v>7731</v>
      </c>
      <c r="D2353" s="4" t="s">
        <v>6890</v>
      </c>
      <c r="E2353" s="6">
        <v>1137800.0</v>
      </c>
    </row>
    <row r="2354" ht="15.75" customHeight="1">
      <c r="A2354" s="4" t="s">
        <v>6588</v>
      </c>
      <c r="B2354" s="4"/>
      <c r="C2354" s="4" t="s">
        <v>7732</v>
      </c>
      <c r="D2354" s="4" t="s">
        <v>7733</v>
      </c>
      <c r="E2354" s="6">
        <v>33100.0</v>
      </c>
    </row>
    <row r="2355" ht="15.75" customHeight="1">
      <c r="A2355" s="4" t="s">
        <v>6590</v>
      </c>
      <c r="B2355" s="4"/>
      <c r="C2355" s="4" t="s">
        <v>7732</v>
      </c>
      <c r="D2355" s="4" t="s">
        <v>7733</v>
      </c>
      <c r="E2355" s="6">
        <v>33500.0</v>
      </c>
    </row>
    <row r="2356" ht="15.75" customHeight="1">
      <c r="A2356" s="4" t="s">
        <v>6592</v>
      </c>
      <c r="B2356" s="4"/>
      <c r="C2356" s="4" t="s">
        <v>7734</v>
      </c>
      <c r="D2356" s="4" t="s">
        <v>389</v>
      </c>
      <c r="E2356" s="6">
        <v>32100.0</v>
      </c>
    </row>
    <row r="2357" ht="15.75" customHeight="1">
      <c r="A2357" s="4" t="s">
        <v>6594</v>
      </c>
      <c r="B2357" s="4"/>
      <c r="C2357" s="4" t="s">
        <v>7735</v>
      </c>
      <c r="D2357" s="4" t="s">
        <v>43</v>
      </c>
      <c r="E2357" s="6">
        <v>5700.0</v>
      </c>
    </row>
    <row r="2358" ht="15.75" customHeight="1">
      <c r="A2358" s="4" t="s">
        <v>6596</v>
      </c>
      <c r="B2358" s="4"/>
      <c r="C2358" s="4" t="s">
        <v>7736</v>
      </c>
      <c r="D2358" s="4" t="s">
        <v>7665</v>
      </c>
      <c r="E2358" s="6">
        <v>163900.0</v>
      </c>
    </row>
    <row r="2359" ht="15.75" customHeight="1">
      <c r="A2359" s="4" t="s">
        <v>6598</v>
      </c>
      <c r="B2359" s="4"/>
      <c r="C2359" s="4" t="s">
        <v>7737</v>
      </c>
      <c r="D2359" s="4" t="s">
        <v>43</v>
      </c>
      <c r="E2359" s="6">
        <v>3605000.0</v>
      </c>
    </row>
    <row r="2360" ht="15.75" customHeight="1">
      <c r="A2360" s="4" t="s">
        <v>6600</v>
      </c>
      <c r="B2360" s="4"/>
      <c r="C2360" s="4" t="s">
        <v>7738</v>
      </c>
      <c r="D2360" s="4" t="s">
        <v>43</v>
      </c>
      <c r="E2360" s="6">
        <v>5150000.0</v>
      </c>
    </row>
    <row r="2361" ht="15.75" customHeight="1">
      <c r="A2361" s="4" t="s">
        <v>6602</v>
      </c>
      <c r="B2361" s="4"/>
      <c r="C2361" s="4" t="s">
        <v>7739</v>
      </c>
      <c r="D2361" s="4" t="s">
        <v>43</v>
      </c>
      <c r="E2361" s="6">
        <v>9785000.0</v>
      </c>
    </row>
    <row r="2362" ht="15.75" customHeight="1">
      <c r="A2362" s="4" t="s">
        <v>6604</v>
      </c>
      <c r="B2362" s="4"/>
      <c r="C2362" s="4" t="s">
        <v>7740</v>
      </c>
      <c r="D2362" s="4" t="s">
        <v>43</v>
      </c>
      <c r="E2362" s="6">
        <v>2629500.0</v>
      </c>
    </row>
    <row r="2363" ht="15.75" customHeight="1">
      <c r="A2363" s="4" t="s">
        <v>6606</v>
      </c>
      <c r="B2363" s="4"/>
      <c r="C2363" s="4" t="s">
        <v>7741</v>
      </c>
      <c r="D2363" s="4" t="s">
        <v>5445</v>
      </c>
      <c r="E2363" s="6">
        <v>19100.0</v>
      </c>
    </row>
    <row r="2364" ht="15.75" customHeight="1">
      <c r="A2364" s="4" t="s">
        <v>6608</v>
      </c>
      <c r="B2364" s="4"/>
      <c r="C2364" s="4" t="s">
        <v>7742</v>
      </c>
      <c r="D2364" s="4" t="s">
        <v>2608</v>
      </c>
      <c r="E2364" s="6">
        <v>1987300.0</v>
      </c>
    </row>
    <row r="2365" ht="15.75" customHeight="1">
      <c r="A2365" s="4"/>
      <c r="B2365" s="4"/>
      <c r="C2365" s="4" t="s">
        <v>7743</v>
      </c>
      <c r="D2365" s="4" t="s">
        <v>5313</v>
      </c>
      <c r="E2365" s="6">
        <v>1500000.0</v>
      </c>
    </row>
    <row r="2366" ht="15.75" customHeight="1">
      <c r="A2366" s="4" t="s">
        <v>6610</v>
      </c>
      <c r="B2366" s="4"/>
      <c r="C2366" s="4" t="s">
        <v>7744</v>
      </c>
      <c r="D2366" s="4" t="s">
        <v>2608</v>
      </c>
      <c r="E2366" s="6">
        <v>2389300.0</v>
      </c>
    </row>
    <row r="2367" ht="15.75" customHeight="1">
      <c r="A2367" s="4" t="s">
        <v>6612</v>
      </c>
      <c r="B2367" s="4"/>
      <c r="C2367" s="4" t="s">
        <v>7745</v>
      </c>
      <c r="D2367" s="4" t="s">
        <v>43</v>
      </c>
      <c r="E2367" s="6">
        <v>1600.0</v>
      </c>
    </row>
    <row r="2368" ht="15.75" customHeight="1">
      <c r="A2368" s="4" t="s">
        <v>6614</v>
      </c>
      <c r="B2368" s="4"/>
      <c r="C2368" s="4" t="s">
        <v>7746</v>
      </c>
      <c r="D2368" s="4" t="s">
        <v>389</v>
      </c>
      <c r="E2368" s="6">
        <v>17900.0</v>
      </c>
    </row>
    <row r="2369" ht="15.75" customHeight="1">
      <c r="A2369" s="4" t="s">
        <v>6616</v>
      </c>
      <c r="B2369" s="4"/>
      <c r="C2369" s="4" t="s">
        <v>7747</v>
      </c>
      <c r="D2369" s="4" t="s">
        <v>389</v>
      </c>
      <c r="E2369" s="6">
        <v>40000.0</v>
      </c>
    </row>
    <row r="2370" ht="15.75" customHeight="1">
      <c r="A2370" s="4" t="s">
        <v>6618</v>
      </c>
      <c r="B2370" s="4"/>
      <c r="C2370" s="4" t="s">
        <v>7748</v>
      </c>
      <c r="D2370" s="4" t="s">
        <v>389</v>
      </c>
      <c r="E2370" s="6">
        <v>8200.0</v>
      </c>
    </row>
    <row r="2371" ht="15.75" customHeight="1">
      <c r="A2371" s="4"/>
      <c r="B2371" s="4"/>
      <c r="C2371" s="4" t="s">
        <v>7749</v>
      </c>
      <c r="D2371" s="4" t="s">
        <v>27</v>
      </c>
      <c r="E2371" s="6">
        <v>200.0</v>
      </c>
    </row>
    <row r="2372" ht="15.75" customHeight="1">
      <c r="A2372" s="4" t="s">
        <v>6621</v>
      </c>
      <c r="B2372" s="4"/>
      <c r="C2372" s="4" t="s">
        <v>7750</v>
      </c>
      <c r="D2372" s="4" t="s">
        <v>36</v>
      </c>
      <c r="E2372" s="6">
        <v>12000.0</v>
      </c>
    </row>
    <row r="2373" ht="15.75" customHeight="1">
      <c r="A2373" s="4" t="s">
        <v>6623</v>
      </c>
      <c r="B2373" s="4"/>
      <c r="C2373" s="4" t="s">
        <v>7751</v>
      </c>
      <c r="D2373" s="4" t="s">
        <v>43</v>
      </c>
      <c r="E2373" s="6">
        <v>1429100.0</v>
      </c>
    </row>
    <row r="2374" ht="15.75" customHeight="1">
      <c r="A2374" s="4" t="s">
        <v>6625</v>
      </c>
      <c r="B2374" s="4"/>
      <c r="C2374" s="4" t="s">
        <v>7752</v>
      </c>
      <c r="D2374" s="4" t="s">
        <v>36</v>
      </c>
      <c r="E2374" s="6">
        <v>7400.0</v>
      </c>
    </row>
    <row r="2375" ht="15.75" customHeight="1">
      <c r="A2375" s="4" t="s">
        <v>6627</v>
      </c>
      <c r="B2375" s="4"/>
      <c r="C2375" s="4" t="s">
        <v>7753</v>
      </c>
      <c r="D2375" s="4" t="s">
        <v>27</v>
      </c>
      <c r="E2375" s="6">
        <v>13500.0</v>
      </c>
    </row>
    <row r="2376" ht="15.75" customHeight="1">
      <c r="A2376" s="4" t="s">
        <v>6629</v>
      </c>
      <c r="B2376" s="4"/>
      <c r="C2376" s="4" t="s">
        <v>7754</v>
      </c>
      <c r="D2376" s="4" t="s">
        <v>27</v>
      </c>
      <c r="E2376" s="6">
        <v>75000.0</v>
      </c>
    </row>
    <row r="2377" ht="15.75" customHeight="1">
      <c r="A2377" s="4" t="s">
        <v>6631</v>
      </c>
      <c r="B2377" s="4"/>
      <c r="C2377" s="4" t="s">
        <v>7755</v>
      </c>
      <c r="D2377" s="4" t="s">
        <v>27</v>
      </c>
      <c r="E2377" s="6">
        <v>94000.0</v>
      </c>
    </row>
    <row r="2378" ht="15.75" customHeight="1">
      <c r="A2378" s="4" t="s">
        <v>6633</v>
      </c>
      <c r="B2378" s="4"/>
      <c r="C2378" s="4" t="s">
        <v>7756</v>
      </c>
      <c r="D2378" s="4" t="s">
        <v>27</v>
      </c>
      <c r="E2378" s="6">
        <v>136000.0</v>
      </c>
    </row>
    <row r="2379" ht="15.75" customHeight="1">
      <c r="A2379" s="4" t="s">
        <v>6635</v>
      </c>
      <c r="B2379" s="4"/>
      <c r="C2379" s="4" t="s">
        <v>7757</v>
      </c>
      <c r="D2379" s="4" t="s">
        <v>389</v>
      </c>
      <c r="E2379" s="6">
        <v>130000.0</v>
      </c>
    </row>
    <row r="2380" ht="15.75" customHeight="1">
      <c r="A2380" s="4"/>
      <c r="B2380" s="4"/>
      <c r="C2380" s="4" t="s">
        <v>7758</v>
      </c>
      <c r="D2380" s="4" t="s">
        <v>36</v>
      </c>
      <c r="E2380" s="6">
        <v>70000.0</v>
      </c>
    </row>
    <row r="2381" ht="15.75" customHeight="1">
      <c r="A2381" s="4"/>
      <c r="B2381" s="4"/>
      <c r="C2381" s="4" t="s">
        <v>7759</v>
      </c>
      <c r="D2381" s="4" t="s">
        <v>116</v>
      </c>
      <c r="E2381" s="6">
        <v>300000.0</v>
      </c>
    </row>
    <row r="2382" ht="15.75" customHeight="1">
      <c r="A2382" s="4"/>
      <c r="B2382" s="4"/>
      <c r="C2382" s="4" t="s">
        <v>7760</v>
      </c>
      <c r="D2382" s="4" t="s">
        <v>36</v>
      </c>
      <c r="E2382" s="6">
        <v>82000.0</v>
      </c>
    </row>
    <row r="2383" ht="15.75" customHeight="1">
      <c r="A2383" s="4"/>
      <c r="B2383" s="4"/>
      <c r="C2383" s="4" t="s">
        <v>7761</v>
      </c>
      <c r="D2383" s="4" t="s">
        <v>36</v>
      </c>
      <c r="E2383" s="6">
        <v>85000.0</v>
      </c>
    </row>
    <row r="2384" ht="15.75" customHeight="1">
      <c r="A2384" s="4"/>
      <c r="B2384" s="4"/>
      <c r="C2384" s="4" t="s">
        <v>7762</v>
      </c>
      <c r="D2384" s="4" t="s">
        <v>36</v>
      </c>
      <c r="E2384" s="6">
        <v>97000.0</v>
      </c>
    </row>
    <row r="2385" ht="15.75" customHeight="1">
      <c r="A2385" s="4"/>
      <c r="B2385" s="4"/>
      <c r="C2385" s="4" t="s">
        <v>7763</v>
      </c>
      <c r="D2385" s="4" t="s">
        <v>419</v>
      </c>
      <c r="E2385" s="6">
        <v>8570.0</v>
      </c>
    </row>
    <row r="2386" ht="15.75" customHeight="1">
      <c r="A2386" s="4"/>
      <c r="B2386" s="4"/>
      <c r="C2386" s="4" t="s">
        <v>7764</v>
      </c>
      <c r="D2386" s="4" t="s">
        <v>5313</v>
      </c>
      <c r="E2386" s="6">
        <v>123000.0</v>
      </c>
    </row>
    <row r="2387" ht="15.75" customHeight="1">
      <c r="A2387" s="4"/>
      <c r="B2387" s="4"/>
      <c r="C2387" s="4" t="s">
        <v>7765</v>
      </c>
      <c r="D2387" s="4" t="s">
        <v>36</v>
      </c>
      <c r="E2387" s="6">
        <v>17500.0</v>
      </c>
    </row>
    <row r="2388" ht="15.75" customHeight="1">
      <c r="A2388" s="4"/>
      <c r="B2388" s="4"/>
      <c r="C2388" s="4" t="s">
        <v>7766</v>
      </c>
      <c r="D2388" s="4" t="s">
        <v>36</v>
      </c>
      <c r="E2388" s="6">
        <v>21000.0</v>
      </c>
    </row>
    <row r="2389" ht="15.75" customHeight="1">
      <c r="A2389" s="4"/>
      <c r="B2389" s="4"/>
      <c r="C2389" s="4" t="s">
        <v>7767</v>
      </c>
      <c r="D2389" s="4" t="s">
        <v>36</v>
      </c>
      <c r="E2389" s="6">
        <v>32000.0</v>
      </c>
    </row>
    <row r="2390" ht="15.75" customHeight="1">
      <c r="A2390" s="4"/>
      <c r="B2390" s="4"/>
      <c r="C2390" s="4" t="s">
        <v>7768</v>
      </c>
      <c r="D2390" s="4" t="s">
        <v>36</v>
      </c>
      <c r="E2390" s="6">
        <v>25000.0</v>
      </c>
    </row>
    <row r="2391" ht="15.75" customHeight="1">
      <c r="A2391" s="4"/>
      <c r="B2391" s="4"/>
      <c r="C2391" s="4" t="s">
        <v>7769</v>
      </c>
      <c r="D2391" s="4" t="s">
        <v>36</v>
      </c>
      <c r="E2391" s="6">
        <v>18950.0</v>
      </c>
    </row>
    <row r="2392" ht="15.75" customHeight="1">
      <c r="A2392" s="4"/>
      <c r="B2392" s="4"/>
      <c r="C2392" s="4" t="s">
        <v>7770</v>
      </c>
      <c r="D2392" s="4" t="s">
        <v>36</v>
      </c>
      <c r="E2392" s="6">
        <v>25000.0</v>
      </c>
    </row>
    <row r="2393" ht="15.75" customHeight="1">
      <c r="A2393" s="4"/>
      <c r="B2393" s="4"/>
      <c r="C2393" s="4" t="s">
        <v>7771</v>
      </c>
      <c r="D2393" s="4" t="s">
        <v>5300</v>
      </c>
      <c r="E2393" s="6">
        <v>25000.0</v>
      </c>
    </row>
    <row r="2394" ht="15.75" customHeight="1">
      <c r="A2394" s="4"/>
      <c r="B2394" s="4"/>
      <c r="C2394" s="4" t="s">
        <v>7772</v>
      </c>
      <c r="D2394" s="4"/>
      <c r="E2394" s="6"/>
    </row>
    <row r="2395" ht="15.75" customHeight="1">
      <c r="A2395" s="4"/>
      <c r="B2395" s="4"/>
      <c r="C2395" s="4" t="s">
        <v>7773</v>
      </c>
      <c r="D2395" s="4" t="s">
        <v>116</v>
      </c>
      <c r="E2395" s="6">
        <v>178000.0</v>
      </c>
    </row>
    <row r="2396" ht="15.75" customHeight="1">
      <c r="A2396" s="4"/>
      <c r="B2396" s="4"/>
      <c r="C2396" s="4" t="s">
        <v>7774</v>
      </c>
      <c r="D2396" s="4" t="s">
        <v>116</v>
      </c>
      <c r="E2396" s="6">
        <v>165000.0</v>
      </c>
    </row>
    <row r="2397" ht="15.75" customHeight="1">
      <c r="A2397" s="4"/>
      <c r="B2397" s="4"/>
      <c r="C2397" s="4" t="s">
        <v>7775</v>
      </c>
      <c r="D2397" s="4" t="s">
        <v>5313</v>
      </c>
      <c r="E2397" s="6">
        <v>135000.0</v>
      </c>
    </row>
    <row r="2398" ht="15.75" customHeight="1">
      <c r="A2398" s="4"/>
      <c r="B2398" s="4"/>
      <c r="C2398" s="4" t="s">
        <v>7776</v>
      </c>
      <c r="D2398" s="4" t="s">
        <v>6774</v>
      </c>
      <c r="E2398" s="6">
        <v>150000.0</v>
      </c>
    </row>
    <row r="2399" ht="15.75" customHeight="1">
      <c r="A2399" s="4"/>
      <c r="B2399" s="4"/>
      <c r="C2399" s="4" t="s">
        <v>7777</v>
      </c>
      <c r="D2399" s="4" t="s">
        <v>5313</v>
      </c>
      <c r="E2399" s="6">
        <v>135000.0</v>
      </c>
    </row>
    <row r="2400" ht="15.75" customHeight="1">
      <c r="A2400" s="4"/>
      <c r="B2400" s="4"/>
      <c r="C2400" s="4" t="s">
        <v>7778</v>
      </c>
      <c r="D2400" s="4" t="s">
        <v>6774</v>
      </c>
      <c r="E2400" s="6">
        <v>150000.0</v>
      </c>
    </row>
    <row r="2401" ht="15.75" customHeight="1">
      <c r="A2401" s="4"/>
      <c r="B2401" s="4"/>
      <c r="C2401" s="4" t="s">
        <v>7779</v>
      </c>
      <c r="D2401" s="4" t="s">
        <v>6774</v>
      </c>
      <c r="E2401" s="6">
        <v>200000.0</v>
      </c>
    </row>
    <row r="2402" ht="15.75" customHeight="1">
      <c r="A2402" s="4"/>
      <c r="B2402" s="4"/>
      <c r="C2402" s="4" t="s">
        <v>7780</v>
      </c>
      <c r="D2402" s="4" t="s">
        <v>5313</v>
      </c>
      <c r="E2402" s="6">
        <v>150000.0</v>
      </c>
    </row>
    <row r="2403" ht="15.75" customHeight="1">
      <c r="A2403" s="4"/>
      <c r="B2403" s="4"/>
      <c r="C2403" s="4" t="s">
        <v>7781</v>
      </c>
      <c r="D2403" s="4" t="s">
        <v>6774</v>
      </c>
      <c r="E2403" s="6">
        <v>175000.0</v>
      </c>
    </row>
    <row r="2404" ht="15.75" customHeight="1">
      <c r="A2404" s="4"/>
      <c r="B2404" s="4"/>
      <c r="C2404" s="4" t="s">
        <v>7782</v>
      </c>
      <c r="D2404" s="4" t="s">
        <v>6774</v>
      </c>
      <c r="E2404" s="6">
        <v>350000.0</v>
      </c>
    </row>
    <row r="2405" ht="15.75" customHeight="1">
      <c r="A2405" s="4"/>
      <c r="B2405" s="4"/>
      <c r="C2405" s="4" t="s">
        <v>7783</v>
      </c>
      <c r="D2405" s="4" t="s">
        <v>5313</v>
      </c>
      <c r="E2405" s="6">
        <v>375000.0</v>
      </c>
    </row>
    <row r="2406" ht="15.75" customHeight="1">
      <c r="A2406" s="4"/>
      <c r="B2406" s="4"/>
      <c r="C2406" s="4" t="s">
        <v>7784</v>
      </c>
      <c r="D2406" s="4" t="s">
        <v>5313</v>
      </c>
      <c r="E2406" s="6">
        <v>155000.0</v>
      </c>
    </row>
    <row r="2407" ht="15.75" customHeight="1">
      <c r="A2407" s="4"/>
      <c r="B2407" s="4"/>
      <c r="C2407" s="4" t="s">
        <v>7785</v>
      </c>
      <c r="D2407" s="4" t="s">
        <v>5313</v>
      </c>
      <c r="E2407" s="6">
        <v>170000.0</v>
      </c>
    </row>
    <row r="2408" ht="15.75" customHeight="1">
      <c r="A2408" s="4"/>
      <c r="B2408" s="4"/>
      <c r="C2408" s="4" t="s">
        <v>7786</v>
      </c>
      <c r="D2408" s="4" t="s">
        <v>6774</v>
      </c>
      <c r="E2408" s="6">
        <v>165000.0</v>
      </c>
    </row>
    <row r="2409" ht="15.75" customHeight="1">
      <c r="A2409" s="4"/>
      <c r="B2409" s="4"/>
      <c r="C2409" s="4" t="s">
        <v>7787</v>
      </c>
      <c r="D2409" s="4" t="s">
        <v>6774</v>
      </c>
      <c r="E2409" s="6">
        <v>180000.0</v>
      </c>
    </row>
    <row r="2410" ht="15.75" customHeight="1">
      <c r="A2410" s="4"/>
      <c r="B2410" s="4"/>
      <c r="C2410" s="4" t="s">
        <v>7788</v>
      </c>
      <c r="D2410" s="4" t="s">
        <v>6774</v>
      </c>
      <c r="E2410" s="6">
        <v>170000.0</v>
      </c>
    </row>
    <row r="2411" ht="15.75" customHeight="1">
      <c r="A2411" s="4"/>
      <c r="B2411" s="4"/>
      <c r="C2411" s="4" t="s">
        <v>7789</v>
      </c>
      <c r="D2411" s="4" t="s">
        <v>1757</v>
      </c>
      <c r="E2411" s="6">
        <v>190000.0</v>
      </c>
    </row>
    <row r="2412" ht="15.75" customHeight="1">
      <c r="A2412" s="4"/>
      <c r="B2412" s="4"/>
      <c r="C2412" s="4" t="s">
        <v>7790</v>
      </c>
      <c r="D2412" s="4" t="s">
        <v>6774</v>
      </c>
      <c r="E2412" s="6">
        <v>175000.0</v>
      </c>
    </row>
    <row r="2413" ht="15.75" customHeight="1">
      <c r="A2413" s="4"/>
      <c r="B2413" s="4"/>
      <c r="C2413" s="4" t="s">
        <v>7791</v>
      </c>
      <c r="D2413" s="4" t="s">
        <v>1757</v>
      </c>
      <c r="E2413" s="6">
        <v>190000.0</v>
      </c>
    </row>
    <row r="2414" ht="15.75" customHeight="1">
      <c r="A2414" s="4"/>
      <c r="B2414" s="4"/>
      <c r="C2414" s="4" t="s">
        <v>7792</v>
      </c>
      <c r="D2414" s="4" t="s">
        <v>6774</v>
      </c>
      <c r="E2414" s="6">
        <v>180000.0</v>
      </c>
    </row>
    <row r="2415" ht="15.75" customHeight="1">
      <c r="A2415" s="4"/>
      <c r="B2415" s="4"/>
      <c r="C2415" s="4" t="s">
        <v>7793</v>
      </c>
      <c r="D2415" s="4" t="s">
        <v>6774</v>
      </c>
      <c r="E2415" s="6">
        <v>190000.0</v>
      </c>
    </row>
    <row r="2416" ht="15.75" customHeight="1">
      <c r="A2416" s="4"/>
      <c r="B2416" s="4"/>
      <c r="C2416" s="4" t="s">
        <v>7794</v>
      </c>
      <c r="D2416" s="4" t="s">
        <v>6774</v>
      </c>
      <c r="E2416" s="6">
        <v>185000.0</v>
      </c>
    </row>
    <row r="2417" ht="15.75" customHeight="1">
      <c r="A2417" s="4"/>
      <c r="B2417" s="4"/>
      <c r="C2417" s="4" t="s">
        <v>7795</v>
      </c>
      <c r="D2417" s="4" t="s">
        <v>6774</v>
      </c>
      <c r="E2417" s="6">
        <v>190000.0</v>
      </c>
    </row>
    <row r="2418" ht="15.75" customHeight="1">
      <c r="A2418" s="4"/>
      <c r="B2418" s="4"/>
      <c r="C2418" s="4" t="s">
        <v>7796</v>
      </c>
      <c r="D2418" s="4" t="s">
        <v>6774</v>
      </c>
      <c r="E2418" s="6">
        <v>200000.0</v>
      </c>
    </row>
    <row r="2419" ht="15.75" customHeight="1">
      <c r="A2419" s="4"/>
      <c r="B2419" s="4"/>
      <c r="C2419" s="4" t="s">
        <v>7797</v>
      </c>
      <c r="D2419" s="4" t="s">
        <v>5313</v>
      </c>
      <c r="E2419" s="6">
        <v>150000.0</v>
      </c>
    </row>
    <row r="2420" ht="15.75" customHeight="1">
      <c r="A2420" s="4"/>
      <c r="B2420" s="4"/>
      <c r="C2420" s="4" t="s">
        <v>7798</v>
      </c>
      <c r="D2420" s="4" t="s">
        <v>6774</v>
      </c>
      <c r="E2420" s="6">
        <v>165000.0</v>
      </c>
    </row>
    <row r="2421" ht="15.75" customHeight="1">
      <c r="A2421" s="4"/>
      <c r="B2421" s="4"/>
      <c r="C2421" s="4" t="s">
        <v>7799</v>
      </c>
      <c r="D2421" s="4" t="s">
        <v>5313</v>
      </c>
      <c r="E2421" s="6">
        <v>18000.0</v>
      </c>
    </row>
    <row r="2422" ht="15.75" customHeight="1">
      <c r="A2422" s="4"/>
      <c r="B2422" s="4"/>
      <c r="C2422" s="4" t="s">
        <v>7800</v>
      </c>
      <c r="D2422" s="4" t="s">
        <v>389</v>
      </c>
      <c r="E2422" s="6">
        <v>28500.0</v>
      </c>
    </row>
    <row r="2423" ht="15.75" customHeight="1">
      <c r="A2423" s="4"/>
      <c r="B2423" s="4"/>
      <c r="C2423" s="4" t="s">
        <v>7801</v>
      </c>
      <c r="D2423" s="4" t="s">
        <v>43</v>
      </c>
      <c r="E2423" s="6">
        <v>50000.0</v>
      </c>
    </row>
    <row r="2424" ht="15.75" customHeight="1">
      <c r="A2424" s="4"/>
      <c r="B2424" s="4"/>
      <c r="C2424" s="4" t="s">
        <v>7802</v>
      </c>
      <c r="D2424" s="4" t="s">
        <v>7803</v>
      </c>
      <c r="E2424" s="6">
        <v>350000.0</v>
      </c>
    </row>
    <row r="2425" ht="15.75" customHeight="1">
      <c r="A2425" s="4"/>
      <c r="B2425" s="4"/>
      <c r="C2425" s="4" t="s">
        <v>7804</v>
      </c>
      <c r="D2425" s="4" t="s">
        <v>7803</v>
      </c>
      <c r="E2425" s="6">
        <v>400000.0</v>
      </c>
    </row>
    <row r="2426" ht="15.75" customHeight="1">
      <c r="A2426" s="4"/>
      <c r="B2426" s="4"/>
      <c r="C2426" s="4" t="s">
        <v>7805</v>
      </c>
      <c r="D2426" s="4" t="s">
        <v>7803</v>
      </c>
      <c r="E2426" s="6">
        <v>500000.0</v>
      </c>
    </row>
    <row r="2427" ht="15.75" customHeight="1">
      <c r="A2427" s="4"/>
      <c r="B2427" s="4"/>
      <c r="C2427" s="4" t="s">
        <v>7806</v>
      </c>
      <c r="D2427" s="4" t="s">
        <v>7803</v>
      </c>
      <c r="E2427" s="6">
        <v>530000.0</v>
      </c>
    </row>
    <row r="2428" ht="15.75" customHeight="1">
      <c r="A2428" s="4"/>
      <c r="B2428" s="4"/>
      <c r="C2428" s="4" t="s">
        <v>7807</v>
      </c>
      <c r="D2428" s="4" t="s">
        <v>6774</v>
      </c>
      <c r="E2428" s="6">
        <v>150000.0</v>
      </c>
    </row>
    <row r="2429" ht="15.75" customHeight="1">
      <c r="A2429" s="4"/>
      <c r="B2429" s="4"/>
      <c r="C2429" s="4" t="s">
        <v>7808</v>
      </c>
      <c r="D2429" s="4" t="s">
        <v>6774</v>
      </c>
      <c r="E2429" s="6">
        <v>275000.0</v>
      </c>
    </row>
    <row r="2430" ht="15.75" customHeight="1">
      <c r="A2430" s="4"/>
      <c r="B2430" s="4"/>
      <c r="C2430" s="4" t="s">
        <v>7809</v>
      </c>
      <c r="D2430" s="4" t="s">
        <v>5313</v>
      </c>
      <c r="E2430" s="6">
        <v>300000.0</v>
      </c>
    </row>
    <row r="2431" ht="15.75" customHeight="1">
      <c r="A2431" s="4"/>
      <c r="B2431" s="4"/>
      <c r="C2431" s="4" t="s">
        <v>7810</v>
      </c>
      <c r="D2431" s="4" t="s">
        <v>6774</v>
      </c>
      <c r="E2431" s="6">
        <v>325000.0</v>
      </c>
    </row>
    <row r="2432" ht="15.75" customHeight="1">
      <c r="A2432" s="4"/>
      <c r="B2432" s="4"/>
      <c r="C2432" s="4" t="s">
        <v>7811</v>
      </c>
      <c r="D2432" s="4" t="s">
        <v>6774</v>
      </c>
      <c r="E2432" s="6">
        <v>350000.0</v>
      </c>
    </row>
    <row r="2433" ht="15.75" customHeight="1">
      <c r="A2433" s="4"/>
      <c r="B2433" s="4"/>
      <c r="C2433" s="4" t="s">
        <v>7812</v>
      </c>
      <c r="D2433" s="4" t="s">
        <v>43</v>
      </c>
      <c r="E2433" s="6">
        <v>150000.0</v>
      </c>
    </row>
    <row r="2434" ht="15.75" customHeight="1">
      <c r="A2434" s="4"/>
      <c r="B2434" s="4"/>
      <c r="C2434" s="4" t="s">
        <v>7813</v>
      </c>
      <c r="D2434" s="4" t="s">
        <v>1757</v>
      </c>
      <c r="E2434" s="6">
        <v>150000.0</v>
      </c>
    </row>
    <row r="2435" ht="15.75" customHeight="1">
      <c r="A2435" s="4"/>
      <c r="B2435" s="4"/>
      <c r="C2435" s="4" t="s">
        <v>7814</v>
      </c>
      <c r="D2435" s="4" t="s">
        <v>7803</v>
      </c>
      <c r="E2435" s="6">
        <v>400000.0</v>
      </c>
    </row>
    <row r="2436" ht="15.75" customHeight="1">
      <c r="A2436" s="4"/>
      <c r="B2436" s="4"/>
      <c r="C2436" s="4" t="s">
        <v>7815</v>
      </c>
      <c r="D2436" s="4" t="s">
        <v>7803</v>
      </c>
      <c r="E2436" s="6">
        <v>425000.0</v>
      </c>
    </row>
    <row r="2437" ht="15.75" customHeight="1">
      <c r="A2437" s="4"/>
      <c r="B2437" s="4"/>
      <c r="C2437" s="4" t="s">
        <v>7816</v>
      </c>
      <c r="D2437" s="4" t="s">
        <v>7803</v>
      </c>
      <c r="E2437" s="6">
        <v>550000.0</v>
      </c>
    </row>
    <row r="2438" ht="15.75" customHeight="1">
      <c r="A2438" s="4"/>
      <c r="B2438" s="4"/>
      <c r="C2438" s="4" t="s">
        <v>7817</v>
      </c>
      <c r="D2438" s="4" t="s">
        <v>7803</v>
      </c>
      <c r="E2438" s="6">
        <v>590000.0</v>
      </c>
    </row>
    <row r="2439" ht="15.75" customHeight="1">
      <c r="A2439" s="4"/>
      <c r="B2439" s="4"/>
      <c r="C2439" s="4" t="s">
        <v>7818</v>
      </c>
      <c r="D2439" s="4" t="s">
        <v>5313</v>
      </c>
      <c r="E2439" s="6">
        <v>250000.0</v>
      </c>
    </row>
    <row r="2440" ht="15.75" customHeight="1">
      <c r="A2440" s="4"/>
      <c r="B2440" s="4"/>
      <c r="C2440" s="4" t="s">
        <v>7819</v>
      </c>
      <c r="D2440" s="4" t="s">
        <v>6774</v>
      </c>
      <c r="E2440" s="6">
        <v>275000.0</v>
      </c>
    </row>
    <row r="2441" ht="15.75" customHeight="1">
      <c r="A2441" s="4"/>
      <c r="B2441" s="4"/>
      <c r="C2441" s="4" t="s">
        <v>7820</v>
      </c>
      <c r="D2441" s="4" t="s">
        <v>6774</v>
      </c>
      <c r="E2441" s="6">
        <v>300000.0</v>
      </c>
    </row>
    <row r="2442" ht="15.75" customHeight="1">
      <c r="A2442" s="4"/>
      <c r="B2442" s="4"/>
      <c r="C2442" s="4" t="s">
        <v>7821</v>
      </c>
      <c r="D2442" s="4" t="s">
        <v>43</v>
      </c>
      <c r="E2442" s="6">
        <v>450000.0</v>
      </c>
    </row>
    <row r="2443" ht="15.75" customHeight="1">
      <c r="A2443" s="4"/>
      <c r="B2443" s="4"/>
      <c r="C2443" s="4" t="s">
        <v>7822</v>
      </c>
      <c r="D2443" s="4" t="s">
        <v>6774</v>
      </c>
      <c r="E2443" s="6">
        <v>220000.0</v>
      </c>
    </row>
    <row r="2444" ht="15.75" customHeight="1">
      <c r="A2444" s="4"/>
      <c r="B2444" s="4"/>
      <c r="C2444" s="4" t="s">
        <v>7823</v>
      </c>
      <c r="D2444" s="4" t="s">
        <v>6774</v>
      </c>
      <c r="E2444" s="6">
        <v>350000.0</v>
      </c>
    </row>
    <row r="2445" ht="15.75" customHeight="1">
      <c r="A2445" s="4"/>
      <c r="B2445" s="4"/>
      <c r="C2445" s="4" t="s">
        <v>7824</v>
      </c>
      <c r="D2445" s="4" t="s">
        <v>43</v>
      </c>
      <c r="E2445" s="6">
        <v>550000.0</v>
      </c>
    </row>
    <row r="2446" ht="15.75" customHeight="1">
      <c r="A2446" s="4"/>
      <c r="B2446" s="4"/>
      <c r="C2446" s="4" t="s">
        <v>7825</v>
      </c>
      <c r="D2446" s="4" t="s">
        <v>43</v>
      </c>
      <c r="E2446" s="6">
        <v>2900000.0</v>
      </c>
    </row>
    <row r="2447" ht="15.75" customHeight="1">
      <c r="A2447" s="4"/>
      <c r="B2447" s="4"/>
      <c r="C2447" s="4" t="s">
        <v>7826</v>
      </c>
      <c r="D2447" s="4" t="s">
        <v>43</v>
      </c>
      <c r="E2447" s="6">
        <v>5390000.0</v>
      </c>
    </row>
    <row r="2448" ht="15.75" customHeight="1">
      <c r="A2448" s="4"/>
      <c r="B2448" s="4"/>
      <c r="C2448" s="4" t="s">
        <v>7827</v>
      </c>
      <c r="D2448" s="4" t="s">
        <v>43</v>
      </c>
      <c r="E2448" s="6">
        <v>650000.0</v>
      </c>
    </row>
    <row r="2449" ht="15.75" customHeight="1">
      <c r="A2449" s="4"/>
      <c r="B2449" s="4"/>
      <c r="C2449" s="4" t="s">
        <v>7828</v>
      </c>
      <c r="D2449" s="4" t="s">
        <v>5313</v>
      </c>
      <c r="E2449" s="6">
        <v>150000.0</v>
      </c>
    </row>
    <row r="2450" ht="15.75" customHeight="1">
      <c r="A2450" s="4"/>
      <c r="B2450" s="4"/>
      <c r="C2450" s="4" t="s">
        <v>7829</v>
      </c>
      <c r="D2450" s="4" t="s">
        <v>5313</v>
      </c>
      <c r="E2450" s="6">
        <v>275000.0</v>
      </c>
    </row>
    <row r="2451" ht="15.75" customHeight="1">
      <c r="A2451" s="4"/>
      <c r="B2451" s="4"/>
      <c r="C2451" s="4" t="s">
        <v>7830</v>
      </c>
      <c r="D2451" s="4" t="s">
        <v>6774</v>
      </c>
      <c r="E2451" s="6">
        <v>300000.0</v>
      </c>
    </row>
    <row r="2452" ht="15.75" customHeight="1">
      <c r="A2452" s="4"/>
      <c r="B2452" s="4"/>
      <c r="C2452" s="4" t="s">
        <v>7831</v>
      </c>
      <c r="D2452" s="4" t="s">
        <v>1757</v>
      </c>
      <c r="E2452" s="6">
        <v>325000.0</v>
      </c>
    </row>
    <row r="2453" ht="15.75" customHeight="1">
      <c r="A2453" s="4"/>
      <c r="B2453" s="4"/>
      <c r="C2453" s="4" t="s">
        <v>7832</v>
      </c>
      <c r="D2453" s="4" t="s">
        <v>1757</v>
      </c>
      <c r="E2453" s="6">
        <v>350000.0</v>
      </c>
    </row>
    <row r="2454" ht="15.75" customHeight="1">
      <c r="A2454" s="4"/>
      <c r="B2454" s="4"/>
      <c r="C2454" s="4" t="s">
        <v>7833</v>
      </c>
      <c r="D2454" s="4" t="s">
        <v>5313</v>
      </c>
      <c r="E2454" s="6">
        <v>170000.0</v>
      </c>
    </row>
    <row r="2455" ht="15.75" customHeight="1">
      <c r="A2455" s="4"/>
      <c r="B2455" s="4"/>
      <c r="C2455" s="4" t="s">
        <v>7834</v>
      </c>
      <c r="D2455" s="4" t="s">
        <v>6774</v>
      </c>
      <c r="E2455" s="6">
        <v>190000.0</v>
      </c>
    </row>
    <row r="2456" ht="15.75" customHeight="1">
      <c r="A2456" s="4"/>
      <c r="B2456" s="4"/>
      <c r="C2456" s="4" t="s">
        <v>7835</v>
      </c>
      <c r="D2456" s="4" t="s">
        <v>5313</v>
      </c>
      <c r="E2456" s="6">
        <v>180000.0</v>
      </c>
    </row>
    <row r="2457" ht="15.75" customHeight="1">
      <c r="A2457" s="4"/>
      <c r="B2457" s="4"/>
      <c r="C2457" s="4" t="s">
        <v>7836</v>
      </c>
      <c r="D2457" s="4" t="s">
        <v>5313</v>
      </c>
      <c r="E2457" s="6">
        <v>190000.0</v>
      </c>
    </row>
    <row r="2458" ht="15.75" customHeight="1">
      <c r="A2458" s="4"/>
      <c r="B2458" s="4"/>
      <c r="C2458" s="4" t="s">
        <v>7837</v>
      </c>
      <c r="D2458" s="4" t="s">
        <v>5313</v>
      </c>
      <c r="E2458" s="6">
        <v>210000.0</v>
      </c>
    </row>
    <row r="2459" ht="15.75" customHeight="1">
      <c r="A2459" s="4"/>
      <c r="B2459" s="4"/>
      <c r="C2459" s="4" t="s">
        <v>7838</v>
      </c>
      <c r="D2459" s="4" t="s">
        <v>5313</v>
      </c>
      <c r="E2459" s="6">
        <v>200000.0</v>
      </c>
    </row>
    <row r="2460" ht="15.75" customHeight="1">
      <c r="A2460" s="4"/>
      <c r="B2460" s="4"/>
      <c r="C2460" s="4" t="s">
        <v>7839</v>
      </c>
      <c r="D2460" s="4" t="s">
        <v>5313</v>
      </c>
      <c r="E2460" s="6">
        <v>190000.0</v>
      </c>
    </row>
    <row r="2461" ht="15.75" customHeight="1">
      <c r="A2461" s="4"/>
      <c r="B2461" s="4"/>
      <c r="C2461" s="4" t="s">
        <v>7840</v>
      </c>
      <c r="D2461" s="4" t="s">
        <v>6774</v>
      </c>
      <c r="E2461" s="6">
        <v>210000.0</v>
      </c>
    </row>
    <row r="2462" ht="15.75" customHeight="1">
      <c r="A2462" s="4"/>
      <c r="B2462" s="4"/>
      <c r="C2462" s="4" t="s">
        <v>7841</v>
      </c>
      <c r="D2462" s="4" t="s">
        <v>6774</v>
      </c>
      <c r="E2462" s="6">
        <v>210000.0</v>
      </c>
    </row>
    <row r="2463" ht="15.75" customHeight="1">
      <c r="A2463" s="4"/>
      <c r="B2463" s="4"/>
      <c r="C2463" s="4" t="s">
        <v>7842</v>
      </c>
      <c r="D2463" s="4" t="s">
        <v>6774</v>
      </c>
      <c r="E2463" s="6">
        <v>350000.0</v>
      </c>
    </row>
    <row r="2464" ht="15.75" customHeight="1">
      <c r="A2464" s="4"/>
      <c r="B2464" s="4"/>
      <c r="C2464" s="4" t="s">
        <v>7843</v>
      </c>
      <c r="D2464" s="4" t="s">
        <v>6774</v>
      </c>
      <c r="E2464" s="6">
        <v>375000.0</v>
      </c>
    </row>
    <row r="2465" ht="15.75" customHeight="1">
      <c r="A2465" s="4"/>
      <c r="B2465" s="4"/>
      <c r="C2465" s="4" t="s">
        <v>7844</v>
      </c>
      <c r="D2465" s="4" t="s">
        <v>6774</v>
      </c>
      <c r="E2465" s="6">
        <v>400000.0</v>
      </c>
    </row>
    <row r="2466" ht="15.75" customHeight="1">
      <c r="A2466" s="4"/>
      <c r="B2466" s="4"/>
      <c r="C2466" s="4" t="s">
        <v>7845</v>
      </c>
      <c r="D2466" s="4" t="s">
        <v>6774</v>
      </c>
      <c r="E2466" s="6">
        <v>425000.0</v>
      </c>
    </row>
    <row r="2467" ht="15.75" customHeight="1">
      <c r="A2467" s="4"/>
      <c r="B2467" s="4"/>
      <c r="C2467" s="4" t="s">
        <v>7846</v>
      </c>
      <c r="D2467" s="4" t="s">
        <v>6774</v>
      </c>
      <c r="E2467" s="6">
        <v>350000.0</v>
      </c>
    </row>
    <row r="2468" ht="15.75" customHeight="1">
      <c r="A2468" s="4"/>
      <c r="B2468" s="4"/>
      <c r="C2468" s="4" t="s">
        <v>7847</v>
      </c>
      <c r="D2468" s="4" t="s">
        <v>6774</v>
      </c>
      <c r="E2468" s="6">
        <v>220000.0</v>
      </c>
    </row>
    <row r="2469" ht="15.75" customHeight="1">
      <c r="A2469" s="4"/>
      <c r="B2469" s="4"/>
      <c r="C2469" s="4" t="s">
        <v>7848</v>
      </c>
      <c r="D2469" s="4" t="s">
        <v>6774</v>
      </c>
      <c r="E2469" s="6">
        <v>350000.0</v>
      </c>
    </row>
    <row r="2470" ht="15.75" customHeight="1">
      <c r="A2470" s="4"/>
      <c r="B2470" s="4"/>
      <c r="C2470" s="4" t="s">
        <v>7849</v>
      </c>
      <c r="D2470" s="4" t="s">
        <v>6774</v>
      </c>
      <c r="E2470" s="6">
        <v>225000.0</v>
      </c>
    </row>
    <row r="2471" ht="15.75" customHeight="1">
      <c r="A2471" s="4"/>
      <c r="B2471" s="4"/>
      <c r="C2471" s="4" t="s">
        <v>7850</v>
      </c>
      <c r="D2471" s="4" t="s">
        <v>6774</v>
      </c>
      <c r="E2471" s="6">
        <v>350000.0</v>
      </c>
    </row>
    <row r="2472" ht="15.75" customHeight="1">
      <c r="A2472" s="4"/>
      <c r="B2472" s="4"/>
      <c r="C2472" s="4" t="s">
        <v>7851</v>
      </c>
      <c r="D2472" s="4" t="s">
        <v>6774</v>
      </c>
      <c r="E2472" s="6">
        <v>375000.0</v>
      </c>
    </row>
    <row r="2473" ht="15.75" customHeight="1">
      <c r="A2473" s="4"/>
      <c r="B2473" s="4"/>
      <c r="C2473" s="4" t="s">
        <v>7852</v>
      </c>
      <c r="D2473" s="4" t="s">
        <v>6774</v>
      </c>
      <c r="E2473" s="6">
        <v>225000.0</v>
      </c>
    </row>
    <row r="2474" ht="15.75" customHeight="1">
      <c r="A2474" s="4"/>
      <c r="B2474" s="4"/>
      <c r="C2474" s="4" t="s">
        <v>7853</v>
      </c>
      <c r="D2474" s="4" t="s">
        <v>6774</v>
      </c>
      <c r="E2474" s="6">
        <v>150000.0</v>
      </c>
    </row>
    <row r="2475" ht="15.75" customHeight="1">
      <c r="A2475" s="4"/>
      <c r="B2475" s="4"/>
      <c r="C2475" s="4" t="s">
        <v>7854</v>
      </c>
      <c r="D2475" s="4" t="s">
        <v>6774</v>
      </c>
      <c r="E2475" s="6">
        <v>275000.0</v>
      </c>
    </row>
    <row r="2476" ht="15.75" customHeight="1">
      <c r="A2476" s="4"/>
      <c r="B2476" s="4"/>
      <c r="C2476" s="4" t="s">
        <v>7855</v>
      </c>
      <c r="D2476" s="4" t="s">
        <v>6774</v>
      </c>
      <c r="E2476" s="6">
        <v>300000.0</v>
      </c>
    </row>
    <row r="2477" ht="15.75" customHeight="1">
      <c r="A2477" s="4"/>
      <c r="B2477" s="4"/>
      <c r="C2477" s="4" t="s">
        <v>7856</v>
      </c>
      <c r="D2477" s="4" t="s">
        <v>6774</v>
      </c>
      <c r="E2477" s="6">
        <v>325000.0</v>
      </c>
    </row>
    <row r="2478" ht="15.75" customHeight="1">
      <c r="A2478" s="4"/>
      <c r="B2478" s="4"/>
      <c r="C2478" s="4" t="s">
        <v>7857</v>
      </c>
      <c r="D2478" s="4" t="s">
        <v>1757</v>
      </c>
      <c r="E2478" s="6">
        <v>350000.0</v>
      </c>
    </row>
    <row r="2479" ht="15.75" customHeight="1">
      <c r="A2479" s="4"/>
      <c r="B2479" s="4"/>
      <c r="C2479" s="4" t="s">
        <v>7858</v>
      </c>
      <c r="D2479" s="4" t="s">
        <v>6774</v>
      </c>
      <c r="E2479" s="6">
        <v>225000.0</v>
      </c>
    </row>
    <row r="2480" ht="15.75" customHeight="1">
      <c r="A2480" s="4"/>
      <c r="B2480" s="4"/>
      <c r="C2480" s="4" t="s">
        <v>7859</v>
      </c>
      <c r="D2480" s="4" t="s">
        <v>6774</v>
      </c>
      <c r="E2480" s="6">
        <v>150000.0</v>
      </c>
    </row>
    <row r="2481" ht="15.75" customHeight="1">
      <c r="A2481" s="4"/>
      <c r="B2481" s="4"/>
      <c r="C2481" s="4" t="s">
        <v>7860</v>
      </c>
      <c r="D2481" s="4" t="s">
        <v>6774</v>
      </c>
      <c r="E2481" s="6">
        <v>225000.0</v>
      </c>
    </row>
    <row r="2482" ht="15.75" customHeight="1">
      <c r="A2482" s="4"/>
      <c r="B2482" s="4"/>
      <c r="C2482" s="4" t="s">
        <v>7861</v>
      </c>
      <c r="D2482" s="4" t="s">
        <v>6774</v>
      </c>
      <c r="E2482" s="6">
        <v>250000.0</v>
      </c>
    </row>
    <row r="2483" ht="15.75" customHeight="1">
      <c r="A2483" s="4"/>
      <c r="B2483" s="4"/>
      <c r="C2483" s="4" t="s">
        <v>7862</v>
      </c>
      <c r="D2483" s="4" t="s">
        <v>6774</v>
      </c>
      <c r="E2483" s="6">
        <v>350000.0</v>
      </c>
    </row>
    <row r="2484" ht="15.75" customHeight="1">
      <c r="A2484" s="4"/>
      <c r="B2484" s="4"/>
      <c r="C2484" s="4" t="s">
        <v>7863</v>
      </c>
      <c r="D2484" s="4" t="s">
        <v>6774</v>
      </c>
      <c r="E2484" s="6">
        <v>375000.0</v>
      </c>
    </row>
    <row r="2485" ht="15.75" customHeight="1">
      <c r="A2485" s="4"/>
      <c r="B2485" s="4"/>
      <c r="C2485" s="4" t="s">
        <v>7864</v>
      </c>
      <c r="D2485" s="4" t="s">
        <v>6774</v>
      </c>
      <c r="E2485" s="6">
        <v>350000.0</v>
      </c>
    </row>
    <row r="2486" ht="15.75" customHeight="1">
      <c r="A2486" s="4"/>
      <c r="B2486" s="4"/>
      <c r="C2486" s="4" t="s">
        <v>7865</v>
      </c>
      <c r="D2486" s="4" t="s">
        <v>5313</v>
      </c>
      <c r="E2486" s="6">
        <v>375000.0</v>
      </c>
    </row>
    <row r="2487" ht="15.75" customHeight="1">
      <c r="A2487" s="4"/>
      <c r="B2487" s="4"/>
      <c r="C2487" s="4" t="s">
        <v>7866</v>
      </c>
      <c r="D2487" s="4" t="s">
        <v>6774</v>
      </c>
      <c r="E2487" s="6">
        <v>400000.0</v>
      </c>
    </row>
    <row r="2488" ht="15.75" customHeight="1">
      <c r="A2488" s="4"/>
      <c r="B2488" s="4"/>
      <c r="C2488" s="4" t="s">
        <v>7867</v>
      </c>
      <c r="D2488" s="4" t="s">
        <v>6774</v>
      </c>
      <c r="E2488" s="6">
        <v>425000.0</v>
      </c>
    </row>
    <row r="2489" ht="15.75" customHeight="1">
      <c r="A2489" s="4"/>
      <c r="B2489" s="4"/>
      <c r="C2489" s="4" t="s">
        <v>7868</v>
      </c>
      <c r="D2489" s="4" t="s">
        <v>6774</v>
      </c>
      <c r="E2489" s="6">
        <v>350000.0</v>
      </c>
    </row>
    <row r="2490" ht="15.75" customHeight="1">
      <c r="A2490" s="4"/>
      <c r="B2490" s="4"/>
      <c r="C2490" s="4" t="s">
        <v>7869</v>
      </c>
      <c r="D2490" s="4" t="s">
        <v>6774</v>
      </c>
      <c r="E2490" s="6">
        <v>350000.0</v>
      </c>
    </row>
    <row r="2491" ht="15.75" customHeight="1">
      <c r="A2491" s="4"/>
      <c r="B2491" s="4"/>
      <c r="C2491" s="4" t="s">
        <v>7870</v>
      </c>
      <c r="D2491" s="4" t="s">
        <v>6774</v>
      </c>
      <c r="E2491" s="6">
        <v>350000.0</v>
      </c>
    </row>
    <row r="2492" ht="15.75" customHeight="1">
      <c r="A2492" s="4"/>
      <c r="B2492" s="4"/>
      <c r="C2492" s="4" t="s">
        <v>7871</v>
      </c>
      <c r="D2492" s="4" t="s">
        <v>6774</v>
      </c>
      <c r="E2492" s="6">
        <v>375000.0</v>
      </c>
    </row>
    <row r="2493" ht="15.75" customHeight="1">
      <c r="A2493" s="4"/>
      <c r="B2493" s="4"/>
      <c r="C2493" s="4" t="s">
        <v>7872</v>
      </c>
      <c r="D2493" s="4" t="s">
        <v>6774</v>
      </c>
      <c r="E2493" s="6">
        <v>150000.0</v>
      </c>
    </row>
    <row r="2494" ht="15.75" customHeight="1">
      <c r="A2494" s="4"/>
      <c r="B2494" s="4"/>
      <c r="C2494" s="4" t="s">
        <v>7873</v>
      </c>
      <c r="D2494" s="4" t="s">
        <v>6774</v>
      </c>
      <c r="E2494" s="6">
        <v>275000.0</v>
      </c>
    </row>
    <row r="2495" ht="15.75" customHeight="1">
      <c r="A2495" s="4"/>
      <c r="B2495" s="4"/>
      <c r="C2495" s="4" t="s">
        <v>7874</v>
      </c>
      <c r="D2495" s="4" t="s">
        <v>5313</v>
      </c>
      <c r="E2495" s="6">
        <v>275000.0</v>
      </c>
    </row>
    <row r="2496" ht="15.75" customHeight="1">
      <c r="A2496" s="4"/>
      <c r="B2496" s="4"/>
      <c r="C2496" s="4" t="s">
        <v>7875</v>
      </c>
      <c r="D2496" s="4" t="s">
        <v>6774</v>
      </c>
      <c r="E2496" s="6">
        <v>300000.0</v>
      </c>
    </row>
    <row r="2497" ht="15.75" customHeight="1">
      <c r="A2497" s="4"/>
      <c r="B2497" s="4"/>
      <c r="C2497" s="4" t="s">
        <v>7876</v>
      </c>
      <c r="D2497" s="4" t="s">
        <v>6774</v>
      </c>
      <c r="E2497" s="6">
        <v>325000.0</v>
      </c>
    </row>
    <row r="2498" ht="15.75" customHeight="1">
      <c r="A2498" s="4"/>
      <c r="B2498" s="4"/>
      <c r="C2498" s="4" t="s">
        <v>7877</v>
      </c>
      <c r="D2498" s="4" t="s">
        <v>1757</v>
      </c>
      <c r="E2498" s="6">
        <v>350000.0</v>
      </c>
    </row>
    <row r="2499" ht="15.75" customHeight="1">
      <c r="A2499" s="4"/>
      <c r="B2499" s="4"/>
      <c r="C2499" s="4" t="s">
        <v>7878</v>
      </c>
      <c r="D2499" s="4" t="s">
        <v>1757</v>
      </c>
      <c r="E2499" s="6">
        <v>350000.0</v>
      </c>
    </row>
    <row r="2500" ht="15.75" customHeight="1">
      <c r="A2500" s="4"/>
      <c r="B2500" s="4"/>
      <c r="C2500" s="4" t="s">
        <v>7879</v>
      </c>
      <c r="D2500" s="4" t="s">
        <v>6774</v>
      </c>
      <c r="E2500" s="6">
        <v>250000.0</v>
      </c>
    </row>
    <row r="2501" ht="15.75" customHeight="1">
      <c r="A2501" s="4"/>
      <c r="B2501" s="4"/>
      <c r="C2501" s="4" t="s">
        <v>7880</v>
      </c>
      <c r="D2501" s="4" t="s">
        <v>6774</v>
      </c>
      <c r="E2501" s="6">
        <v>250000.0</v>
      </c>
    </row>
    <row r="2502" ht="15.75" customHeight="1">
      <c r="A2502" s="4"/>
      <c r="B2502" s="4"/>
      <c r="C2502" s="4" t="s">
        <v>7881</v>
      </c>
      <c r="D2502" s="4" t="s">
        <v>6774</v>
      </c>
      <c r="E2502" s="6">
        <v>300000.0</v>
      </c>
    </row>
    <row r="2503" ht="15.75" customHeight="1">
      <c r="A2503" s="4"/>
      <c r="B2503" s="4"/>
      <c r="C2503" s="4" t="s">
        <v>7882</v>
      </c>
      <c r="D2503" s="4" t="s">
        <v>6774</v>
      </c>
      <c r="E2503" s="6">
        <v>400000.0</v>
      </c>
    </row>
    <row r="2504" ht="15.75" customHeight="1">
      <c r="A2504" s="4"/>
      <c r="B2504" s="4"/>
      <c r="C2504" s="4" t="s">
        <v>7883</v>
      </c>
      <c r="D2504" s="4" t="s">
        <v>6774</v>
      </c>
      <c r="E2504" s="6">
        <v>450000.0</v>
      </c>
    </row>
    <row r="2505" ht="15.75" customHeight="1">
      <c r="A2505" s="4"/>
      <c r="B2505" s="4"/>
      <c r="C2505" s="4" t="s">
        <v>7884</v>
      </c>
      <c r="D2505" s="4" t="s">
        <v>6774</v>
      </c>
      <c r="E2505" s="6">
        <v>200000.0</v>
      </c>
    </row>
    <row r="2506" ht="15.75" customHeight="1">
      <c r="A2506" s="4"/>
      <c r="B2506" s="4"/>
      <c r="C2506" s="4" t="s">
        <v>7885</v>
      </c>
      <c r="D2506" s="4" t="s">
        <v>6774</v>
      </c>
      <c r="E2506" s="6">
        <v>300000.0</v>
      </c>
    </row>
    <row r="2507" ht="15.75" customHeight="1">
      <c r="A2507" s="4"/>
      <c r="B2507" s="4"/>
      <c r="C2507" s="4" t="s">
        <v>7886</v>
      </c>
      <c r="D2507" s="4" t="s">
        <v>6774</v>
      </c>
      <c r="E2507" s="6">
        <v>400000.0</v>
      </c>
    </row>
    <row r="2508" ht="15.75" customHeight="1">
      <c r="A2508" s="4"/>
      <c r="B2508" s="4"/>
      <c r="C2508" s="4" t="s">
        <v>7887</v>
      </c>
      <c r="D2508" s="4" t="s">
        <v>6774</v>
      </c>
      <c r="E2508" s="6">
        <v>450000.0</v>
      </c>
    </row>
    <row r="2509" ht="15.75" customHeight="1">
      <c r="A2509" s="4"/>
      <c r="B2509" s="4"/>
      <c r="C2509" s="4" t="s">
        <v>7888</v>
      </c>
      <c r="D2509" s="4" t="s">
        <v>6774</v>
      </c>
      <c r="E2509" s="6">
        <v>250000.0</v>
      </c>
    </row>
    <row r="2510" ht="15.75" customHeight="1">
      <c r="A2510" s="4"/>
      <c r="B2510" s="4"/>
      <c r="C2510" s="4" t="s">
        <v>7889</v>
      </c>
      <c r="D2510" s="4" t="s">
        <v>6774</v>
      </c>
      <c r="E2510" s="6">
        <v>300000.0</v>
      </c>
    </row>
    <row r="2511" ht="15.75" customHeight="1">
      <c r="A2511" s="4"/>
      <c r="B2511" s="4"/>
      <c r="C2511" s="4" t="s">
        <v>7890</v>
      </c>
      <c r="D2511" s="4" t="s">
        <v>6774</v>
      </c>
      <c r="E2511" s="6">
        <v>400000.0</v>
      </c>
    </row>
    <row r="2512" ht="15.75" customHeight="1">
      <c r="A2512" s="4"/>
      <c r="B2512" s="4"/>
      <c r="C2512" s="4" t="s">
        <v>7891</v>
      </c>
      <c r="D2512" s="4" t="s">
        <v>1757</v>
      </c>
      <c r="E2512" s="6">
        <v>450000.0</v>
      </c>
    </row>
    <row r="2513" ht="15.75" customHeight="1">
      <c r="A2513" s="4"/>
      <c r="B2513" s="4"/>
      <c r="C2513" s="4" t="s">
        <v>7892</v>
      </c>
      <c r="D2513" s="4" t="s">
        <v>6774</v>
      </c>
      <c r="E2513" s="6">
        <v>250000.0</v>
      </c>
    </row>
    <row r="2514" ht="15.75" customHeight="1">
      <c r="A2514" s="4"/>
      <c r="B2514" s="4"/>
      <c r="C2514" s="4" t="s">
        <v>7893</v>
      </c>
      <c r="D2514" s="4" t="s">
        <v>6774</v>
      </c>
      <c r="E2514" s="6">
        <v>300000.0</v>
      </c>
    </row>
    <row r="2515" ht="15.75" customHeight="1">
      <c r="A2515" s="4"/>
      <c r="B2515" s="4"/>
      <c r="C2515" s="4" t="s">
        <v>7894</v>
      </c>
      <c r="D2515" s="4" t="s">
        <v>6774</v>
      </c>
      <c r="E2515" s="6">
        <v>400000.0</v>
      </c>
    </row>
    <row r="2516" ht="15.75" customHeight="1">
      <c r="A2516" s="4"/>
      <c r="B2516" s="4"/>
      <c r="C2516" s="4" t="s">
        <v>7895</v>
      </c>
      <c r="D2516" s="4" t="s">
        <v>6774</v>
      </c>
      <c r="E2516" s="6">
        <v>450000.0</v>
      </c>
    </row>
    <row r="2517" ht="15.75" customHeight="1">
      <c r="A2517" s="4"/>
      <c r="B2517" s="4"/>
      <c r="C2517" s="4" t="s">
        <v>7896</v>
      </c>
      <c r="D2517" s="4" t="s">
        <v>43</v>
      </c>
      <c r="E2517" s="6">
        <v>15000.0</v>
      </c>
    </row>
    <row r="2518" ht="15.75" customHeight="1">
      <c r="A2518" s="4"/>
      <c r="B2518" s="4"/>
      <c r="C2518" s="4" t="s">
        <v>7897</v>
      </c>
      <c r="D2518" s="4" t="s">
        <v>43</v>
      </c>
      <c r="E2518" s="6">
        <v>45000.0</v>
      </c>
    </row>
    <row r="2519" ht="15.75" customHeight="1">
      <c r="A2519" s="4"/>
      <c r="B2519" s="4"/>
      <c r="C2519" s="4" t="s">
        <v>7898</v>
      </c>
      <c r="D2519" s="4" t="s">
        <v>43</v>
      </c>
      <c r="E2519" s="6">
        <v>230000.0</v>
      </c>
    </row>
    <row r="2520" ht="15.75" customHeight="1">
      <c r="A2520" s="4"/>
      <c r="B2520" s="4"/>
      <c r="C2520" s="4" t="s">
        <v>7899</v>
      </c>
      <c r="D2520" s="4" t="s">
        <v>6774</v>
      </c>
      <c r="E2520" s="6">
        <v>300000.0</v>
      </c>
    </row>
    <row r="2521" ht="15.75" customHeight="1">
      <c r="A2521" s="4"/>
      <c r="B2521" s="4"/>
      <c r="C2521" s="4" t="s">
        <v>7900</v>
      </c>
      <c r="D2521" s="4" t="s">
        <v>6774</v>
      </c>
      <c r="E2521" s="6">
        <v>400000.0</v>
      </c>
    </row>
    <row r="2522" ht="15.75" customHeight="1">
      <c r="A2522" s="4"/>
      <c r="B2522" s="4"/>
      <c r="C2522" s="4" t="s">
        <v>7901</v>
      </c>
      <c r="D2522" s="4" t="s">
        <v>6774</v>
      </c>
      <c r="E2522" s="6">
        <v>450000.0</v>
      </c>
    </row>
    <row r="2523" ht="15.75" customHeight="1">
      <c r="A2523" s="4"/>
      <c r="B2523" s="4"/>
      <c r="C2523" s="4" t="s">
        <v>7902</v>
      </c>
      <c r="D2523" s="4" t="s">
        <v>43</v>
      </c>
      <c r="E2523" s="6">
        <v>445000.0</v>
      </c>
    </row>
    <row r="2524" ht="15.75" customHeight="1">
      <c r="A2524" s="4"/>
      <c r="B2524" s="4"/>
      <c r="C2524" s="4" t="s">
        <v>7903</v>
      </c>
      <c r="D2524" s="4"/>
      <c r="E2524" s="6">
        <v>460000.0</v>
      </c>
    </row>
    <row r="2525" ht="15.75" customHeight="1">
      <c r="A2525" s="4"/>
      <c r="B2525" s="4"/>
      <c r="C2525" s="4" t="s">
        <v>7904</v>
      </c>
      <c r="D2525" s="4" t="s">
        <v>6774</v>
      </c>
      <c r="E2525" s="6">
        <v>150000.0</v>
      </c>
    </row>
    <row r="2526" ht="15.75" customHeight="1">
      <c r="A2526" s="4"/>
      <c r="B2526" s="4"/>
      <c r="C2526" s="4" t="s">
        <v>7905</v>
      </c>
      <c r="D2526" s="4" t="s">
        <v>1757</v>
      </c>
      <c r="E2526" s="6">
        <v>200000.0</v>
      </c>
    </row>
    <row r="2527" ht="15.75" customHeight="1">
      <c r="A2527" s="4"/>
      <c r="B2527" s="4"/>
      <c r="C2527" s="4" t="s">
        <v>7906</v>
      </c>
      <c r="D2527" s="4" t="s">
        <v>6774</v>
      </c>
      <c r="E2527" s="6">
        <v>150000.0</v>
      </c>
    </row>
    <row r="2528" ht="15.75" customHeight="1">
      <c r="A2528" s="4"/>
      <c r="B2528" s="4"/>
      <c r="C2528" s="4" t="s">
        <v>7907</v>
      </c>
      <c r="D2528" s="4" t="s">
        <v>1757</v>
      </c>
      <c r="E2528" s="6">
        <v>200000.0</v>
      </c>
    </row>
    <row r="2529" ht="15.75" customHeight="1">
      <c r="A2529" s="4"/>
      <c r="B2529" s="4"/>
      <c r="C2529" s="4" t="s">
        <v>7908</v>
      </c>
      <c r="D2529" s="4" t="s">
        <v>6774</v>
      </c>
      <c r="E2529" s="6">
        <v>150000.0</v>
      </c>
    </row>
    <row r="2530" ht="15.75" customHeight="1">
      <c r="A2530" s="4"/>
      <c r="B2530" s="4"/>
      <c r="C2530" s="4" t="s">
        <v>7909</v>
      </c>
      <c r="D2530" s="4" t="s">
        <v>1757</v>
      </c>
      <c r="E2530" s="6">
        <v>200000.0</v>
      </c>
    </row>
    <row r="2531" ht="15.75" customHeight="1">
      <c r="A2531" s="4"/>
      <c r="B2531" s="4"/>
      <c r="C2531" s="4" t="s">
        <v>7910</v>
      </c>
      <c r="D2531" s="4" t="s">
        <v>6774</v>
      </c>
      <c r="E2531" s="6">
        <v>150000.0</v>
      </c>
    </row>
    <row r="2532" ht="15.75" customHeight="1">
      <c r="A2532" s="4"/>
      <c r="B2532" s="4"/>
      <c r="C2532" s="4" t="s">
        <v>7911</v>
      </c>
      <c r="D2532" s="4" t="s">
        <v>6774</v>
      </c>
      <c r="E2532" s="6">
        <v>150000.0</v>
      </c>
    </row>
    <row r="2533" ht="15.75" customHeight="1">
      <c r="A2533" s="4"/>
      <c r="B2533" s="4"/>
      <c r="C2533" s="4" t="s">
        <v>7912</v>
      </c>
      <c r="D2533" s="4" t="s">
        <v>6774</v>
      </c>
      <c r="E2533" s="6">
        <v>200000.0</v>
      </c>
    </row>
    <row r="2534" ht="15.75" customHeight="1">
      <c r="A2534" s="4"/>
      <c r="B2534" s="4"/>
      <c r="C2534" s="4" t="s">
        <v>7913</v>
      </c>
      <c r="D2534" s="4" t="s">
        <v>1757</v>
      </c>
      <c r="E2534" s="6">
        <v>150000.0</v>
      </c>
    </row>
    <row r="2535" ht="15.75" customHeight="1">
      <c r="A2535" s="4"/>
      <c r="B2535" s="4"/>
      <c r="C2535" s="4" t="s">
        <v>7914</v>
      </c>
      <c r="D2535" s="4" t="s">
        <v>6774</v>
      </c>
      <c r="E2535" s="6">
        <v>200000.0</v>
      </c>
    </row>
    <row r="2536" ht="15.75" customHeight="1">
      <c r="A2536" s="4"/>
      <c r="B2536" s="4"/>
      <c r="C2536" s="4" t="s">
        <v>7915</v>
      </c>
      <c r="D2536" s="4" t="s">
        <v>1757</v>
      </c>
      <c r="E2536" s="6">
        <v>150000.0</v>
      </c>
    </row>
    <row r="2537" ht="15.75" customHeight="1">
      <c r="A2537" s="4"/>
      <c r="B2537" s="4"/>
      <c r="C2537" s="4" t="s">
        <v>7916</v>
      </c>
      <c r="D2537" s="4" t="s">
        <v>1757</v>
      </c>
      <c r="E2537" s="6">
        <v>200000.0</v>
      </c>
    </row>
    <row r="2538" ht="15.75" customHeight="1">
      <c r="A2538" s="4"/>
      <c r="B2538" s="4"/>
      <c r="C2538" s="4" t="s">
        <v>7917</v>
      </c>
      <c r="D2538" s="4" t="s">
        <v>6774</v>
      </c>
      <c r="E2538" s="6">
        <v>200000.0</v>
      </c>
    </row>
    <row r="2539" ht="15.75" customHeight="1">
      <c r="A2539" s="4"/>
      <c r="B2539" s="4"/>
      <c r="C2539" s="4" t="s">
        <v>7918</v>
      </c>
      <c r="D2539" s="4" t="s">
        <v>6774</v>
      </c>
      <c r="E2539" s="6">
        <v>510000.0</v>
      </c>
    </row>
    <row r="2540" ht="15.75" customHeight="1">
      <c r="A2540" s="4"/>
      <c r="B2540" s="4"/>
      <c r="C2540" s="4" t="s">
        <v>7919</v>
      </c>
      <c r="D2540" s="4" t="s">
        <v>7920</v>
      </c>
      <c r="E2540" s="6">
        <v>10000.0</v>
      </c>
    </row>
    <row r="2541" ht="15.75" customHeight="1">
      <c r="A2541" s="4"/>
      <c r="B2541" s="4"/>
      <c r="C2541" s="4" t="s">
        <v>7921</v>
      </c>
      <c r="D2541" s="4" t="s">
        <v>7920</v>
      </c>
      <c r="E2541" s="6">
        <v>15000.0</v>
      </c>
    </row>
    <row r="2542" ht="15.75" customHeight="1">
      <c r="A2542" s="4"/>
      <c r="B2542" s="4"/>
      <c r="C2542" s="4" t="s">
        <v>7922</v>
      </c>
      <c r="D2542" s="4" t="s">
        <v>7920</v>
      </c>
      <c r="E2542" s="6">
        <v>20000.0</v>
      </c>
    </row>
    <row r="2543" ht="15.75" customHeight="1">
      <c r="A2543" s="4"/>
      <c r="B2543" s="4"/>
      <c r="C2543" s="4" t="s">
        <v>7923</v>
      </c>
      <c r="D2543" s="4" t="s">
        <v>1757</v>
      </c>
      <c r="E2543" s="6">
        <v>3000.0</v>
      </c>
    </row>
    <row r="2544" ht="15.75" customHeight="1">
      <c r="A2544" s="4"/>
      <c r="B2544" s="4"/>
      <c r="C2544" s="4" t="s">
        <v>7924</v>
      </c>
      <c r="D2544" s="4" t="s">
        <v>6774</v>
      </c>
      <c r="E2544" s="6">
        <v>5000.0</v>
      </c>
    </row>
    <row r="2545" ht="15.75" customHeight="1">
      <c r="A2545" s="4"/>
      <c r="B2545" s="4"/>
      <c r="C2545" s="4" t="s">
        <v>7925</v>
      </c>
      <c r="D2545" s="4" t="s">
        <v>6774</v>
      </c>
      <c r="E2545" s="6">
        <v>9000.0</v>
      </c>
    </row>
    <row r="2546" ht="15.75" customHeight="1">
      <c r="A2546" s="4"/>
      <c r="B2546" s="4"/>
      <c r="C2546" s="4" t="s">
        <v>7926</v>
      </c>
      <c r="D2546" s="4" t="s">
        <v>6774</v>
      </c>
      <c r="E2546" s="6">
        <v>5000.0</v>
      </c>
    </row>
    <row r="2547" ht="15.75" customHeight="1">
      <c r="A2547" s="4"/>
      <c r="B2547" s="4"/>
      <c r="C2547" s="4" t="s">
        <v>7927</v>
      </c>
      <c r="D2547" s="4" t="s">
        <v>6774</v>
      </c>
      <c r="E2547" s="6">
        <v>9000.0</v>
      </c>
    </row>
    <row r="2548" ht="15.75" customHeight="1">
      <c r="A2548" s="4"/>
      <c r="B2548" s="4"/>
      <c r="C2548" s="4" t="s">
        <v>7928</v>
      </c>
      <c r="D2548" s="4" t="s">
        <v>6774</v>
      </c>
      <c r="E2548" s="6">
        <v>3500.0</v>
      </c>
    </row>
    <row r="2549" ht="15.75" customHeight="1">
      <c r="A2549" s="4"/>
      <c r="B2549" s="4"/>
      <c r="C2549" s="4" t="s">
        <v>7929</v>
      </c>
      <c r="D2549" s="4" t="s">
        <v>6774</v>
      </c>
      <c r="E2549" s="6">
        <v>5000.0</v>
      </c>
    </row>
    <row r="2550" ht="15.75" customHeight="1">
      <c r="A2550" s="4"/>
      <c r="B2550" s="4"/>
      <c r="C2550" s="4" t="s">
        <v>7930</v>
      </c>
      <c r="D2550" s="4" t="s">
        <v>6774</v>
      </c>
      <c r="E2550" s="6">
        <v>5000.0</v>
      </c>
    </row>
    <row r="2551" ht="15.75" customHeight="1">
      <c r="A2551" s="4"/>
      <c r="B2551" s="4"/>
      <c r="C2551" s="4" t="s">
        <v>7931</v>
      </c>
      <c r="D2551" s="4" t="s">
        <v>6774</v>
      </c>
      <c r="E2551" s="6">
        <v>9000.0</v>
      </c>
    </row>
    <row r="2552" ht="15.75" customHeight="1">
      <c r="A2552" s="4"/>
      <c r="B2552" s="4"/>
      <c r="C2552" s="4" t="s">
        <v>7932</v>
      </c>
      <c r="D2552" s="4" t="s">
        <v>6774</v>
      </c>
      <c r="E2552" s="6">
        <v>5000.0</v>
      </c>
    </row>
    <row r="2553" ht="15.75" customHeight="1">
      <c r="A2553" s="4"/>
      <c r="B2553" s="4"/>
      <c r="C2553" s="4" t="s">
        <v>7933</v>
      </c>
      <c r="D2553" s="4" t="s">
        <v>6774</v>
      </c>
      <c r="E2553" s="6">
        <v>9000.0</v>
      </c>
    </row>
    <row r="2554" ht="15.75" customHeight="1">
      <c r="A2554" s="4"/>
      <c r="B2554" s="4"/>
      <c r="C2554" s="4" t="s">
        <v>7934</v>
      </c>
      <c r="D2554" s="4" t="s">
        <v>6774</v>
      </c>
      <c r="E2554" s="6">
        <v>9000.0</v>
      </c>
    </row>
    <row r="2555" ht="15.75" customHeight="1">
      <c r="A2555" s="4"/>
      <c r="B2555" s="4"/>
      <c r="C2555" s="4" t="s">
        <v>7935</v>
      </c>
      <c r="D2555" s="4" t="s">
        <v>6774</v>
      </c>
      <c r="E2555" s="6">
        <v>3000.0</v>
      </c>
    </row>
    <row r="2556" ht="15.75" customHeight="1">
      <c r="A2556" s="4"/>
      <c r="B2556" s="4"/>
      <c r="C2556" s="4" t="s">
        <v>7936</v>
      </c>
      <c r="D2556" s="4" t="s">
        <v>1757</v>
      </c>
      <c r="E2556" s="6">
        <v>5000.0</v>
      </c>
    </row>
    <row r="2557" ht="15.75" customHeight="1">
      <c r="A2557" s="4"/>
      <c r="B2557" s="4"/>
      <c r="C2557" s="4" t="s">
        <v>7937</v>
      </c>
      <c r="D2557" s="4" t="s">
        <v>6774</v>
      </c>
      <c r="E2557" s="6">
        <v>9000.0</v>
      </c>
    </row>
    <row r="2558" ht="15.75" customHeight="1">
      <c r="A2558" s="4"/>
      <c r="B2558" s="4"/>
      <c r="C2558" s="4" t="s">
        <v>7938</v>
      </c>
      <c r="D2558" s="4" t="s">
        <v>6774</v>
      </c>
      <c r="E2558" s="6">
        <v>3000.0</v>
      </c>
    </row>
    <row r="2559" ht="15.75" customHeight="1">
      <c r="A2559" s="4"/>
      <c r="B2559" s="4"/>
      <c r="C2559" s="4" t="s">
        <v>7939</v>
      </c>
      <c r="D2559" s="4" t="s">
        <v>6774</v>
      </c>
      <c r="E2559" s="6">
        <v>9000.0</v>
      </c>
    </row>
    <row r="2560" ht="15.75" customHeight="1">
      <c r="A2560" s="4"/>
      <c r="B2560" s="4"/>
      <c r="C2560" s="4" t="s">
        <v>7940</v>
      </c>
      <c r="D2560" s="4" t="s">
        <v>6774</v>
      </c>
      <c r="E2560" s="6">
        <v>2100.0</v>
      </c>
    </row>
    <row r="2561" ht="15.75" customHeight="1">
      <c r="A2561" s="4"/>
      <c r="B2561" s="4"/>
      <c r="C2561" s="4" t="s">
        <v>7941</v>
      </c>
      <c r="D2561" s="4" t="s">
        <v>6774</v>
      </c>
      <c r="E2561" s="6">
        <v>3000.0</v>
      </c>
    </row>
    <row r="2562" ht="15.75" customHeight="1">
      <c r="A2562" s="4"/>
      <c r="B2562" s="4"/>
      <c r="C2562" s="4" t="s">
        <v>7942</v>
      </c>
      <c r="D2562" s="4" t="s">
        <v>1757</v>
      </c>
      <c r="E2562" s="6">
        <v>5000.0</v>
      </c>
    </row>
    <row r="2563" ht="15.75" customHeight="1">
      <c r="A2563" s="4"/>
      <c r="B2563" s="4"/>
      <c r="C2563" s="4" t="s">
        <v>7942</v>
      </c>
      <c r="D2563" s="4" t="s">
        <v>1757</v>
      </c>
      <c r="E2563" s="6">
        <v>5000.0</v>
      </c>
    </row>
    <row r="2564" ht="15.75" customHeight="1">
      <c r="A2564" s="4"/>
      <c r="B2564" s="4"/>
      <c r="C2564" s="4" t="s">
        <v>7943</v>
      </c>
      <c r="D2564" s="4" t="s">
        <v>6774</v>
      </c>
      <c r="E2564" s="6">
        <v>5000.0</v>
      </c>
    </row>
    <row r="2565" ht="15.75" customHeight="1">
      <c r="A2565" s="4"/>
      <c r="B2565" s="4"/>
      <c r="C2565" s="4" t="s">
        <v>7944</v>
      </c>
      <c r="D2565" s="4" t="s">
        <v>6774</v>
      </c>
      <c r="E2565" s="6">
        <v>5000.0</v>
      </c>
    </row>
    <row r="2566" ht="15.75" customHeight="1">
      <c r="A2566" s="4"/>
      <c r="B2566" s="4"/>
      <c r="C2566" s="4" t="s">
        <v>7945</v>
      </c>
      <c r="D2566" s="4" t="s">
        <v>6774</v>
      </c>
      <c r="E2566" s="6">
        <v>9000.0</v>
      </c>
    </row>
    <row r="2567" ht="15.75" customHeight="1">
      <c r="A2567" s="4"/>
      <c r="B2567" s="4"/>
      <c r="C2567" s="4" t="s">
        <v>7946</v>
      </c>
      <c r="D2567" s="4" t="s">
        <v>6774</v>
      </c>
      <c r="E2567" s="6">
        <v>9000.0</v>
      </c>
    </row>
    <row r="2568" ht="15.75" customHeight="1">
      <c r="A2568" s="4"/>
      <c r="B2568" s="4"/>
      <c r="C2568" s="4" t="s">
        <v>7947</v>
      </c>
      <c r="D2568" s="4" t="s">
        <v>6774</v>
      </c>
      <c r="E2568" s="6">
        <v>5000.0</v>
      </c>
    </row>
    <row r="2569" ht="15.75" customHeight="1">
      <c r="A2569" s="4"/>
      <c r="B2569" s="4"/>
      <c r="C2569" s="4" t="s">
        <v>7948</v>
      </c>
      <c r="D2569" s="4" t="s">
        <v>6774</v>
      </c>
      <c r="E2569" s="6">
        <v>9000.0</v>
      </c>
    </row>
    <row r="2570" ht="15.75" customHeight="1">
      <c r="A2570" s="4"/>
      <c r="B2570" s="4"/>
      <c r="C2570" s="4" t="s">
        <v>7949</v>
      </c>
      <c r="D2570" s="4" t="s">
        <v>6774</v>
      </c>
      <c r="E2570" s="6">
        <v>5000.0</v>
      </c>
    </row>
    <row r="2571" ht="15.75" customHeight="1">
      <c r="A2571" s="4"/>
      <c r="B2571" s="4"/>
      <c r="C2571" s="4" t="s">
        <v>7950</v>
      </c>
      <c r="D2571" s="4" t="s">
        <v>6774</v>
      </c>
      <c r="E2571" s="6">
        <v>9000.0</v>
      </c>
    </row>
    <row r="2572" ht="15.75" customHeight="1">
      <c r="A2572" s="4"/>
      <c r="B2572" s="4"/>
      <c r="C2572" s="4" t="s">
        <v>7951</v>
      </c>
      <c r="D2572" s="4" t="s">
        <v>6774</v>
      </c>
      <c r="E2572" s="6">
        <v>3000.0</v>
      </c>
    </row>
    <row r="2573" ht="15.75" customHeight="1">
      <c r="A2573" s="4"/>
      <c r="B2573" s="4"/>
      <c r="C2573" s="4" t="s">
        <v>7952</v>
      </c>
      <c r="D2573" s="4" t="s">
        <v>6774</v>
      </c>
      <c r="E2573" s="6">
        <v>5000.0</v>
      </c>
    </row>
    <row r="2574" ht="15.75" customHeight="1">
      <c r="A2574" s="4"/>
      <c r="B2574" s="4"/>
      <c r="C2574" s="4" t="s">
        <v>7953</v>
      </c>
      <c r="D2574" s="4" t="s">
        <v>6774</v>
      </c>
      <c r="E2574" s="6">
        <v>9000.0</v>
      </c>
    </row>
    <row r="2575" ht="15.75" customHeight="1">
      <c r="A2575" s="4"/>
      <c r="B2575" s="4"/>
      <c r="C2575" s="4" t="s">
        <v>7954</v>
      </c>
      <c r="D2575" s="4" t="s">
        <v>6774</v>
      </c>
      <c r="E2575" s="6">
        <v>3000.0</v>
      </c>
    </row>
    <row r="2576" ht="15.75" customHeight="1">
      <c r="A2576" s="4"/>
      <c r="B2576" s="4"/>
      <c r="C2576" s="4" t="s">
        <v>7955</v>
      </c>
      <c r="D2576" s="4" t="s">
        <v>1757</v>
      </c>
      <c r="E2576" s="6">
        <v>5000.0</v>
      </c>
    </row>
    <row r="2577" ht="15.75" customHeight="1">
      <c r="A2577" s="4"/>
      <c r="B2577" s="4"/>
      <c r="C2577" s="4" t="s">
        <v>7956</v>
      </c>
      <c r="D2577" s="4" t="s">
        <v>6774</v>
      </c>
      <c r="E2577" s="6">
        <v>5000.0</v>
      </c>
    </row>
    <row r="2578" ht="15.75" customHeight="1">
      <c r="A2578" s="4"/>
      <c r="B2578" s="4"/>
      <c r="C2578" s="4" t="s">
        <v>7957</v>
      </c>
      <c r="D2578" s="4" t="s">
        <v>6774</v>
      </c>
      <c r="E2578" s="6">
        <v>9000.0</v>
      </c>
    </row>
    <row r="2579" ht="15.75" customHeight="1">
      <c r="A2579" s="4"/>
      <c r="B2579" s="4"/>
      <c r="C2579" s="4" t="s">
        <v>7958</v>
      </c>
      <c r="D2579" s="4" t="s">
        <v>6774</v>
      </c>
      <c r="E2579" s="6">
        <v>9000.0</v>
      </c>
    </row>
    <row r="2580" ht="15.75" customHeight="1">
      <c r="A2580" s="4"/>
      <c r="B2580" s="4"/>
      <c r="C2580" s="4" t="s">
        <v>7959</v>
      </c>
      <c r="D2580" s="4" t="s">
        <v>1757</v>
      </c>
      <c r="E2580" s="6">
        <v>3000.0</v>
      </c>
    </row>
    <row r="2581" ht="15.75" customHeight="1">
      <c r="A2581" s="4"/>
      <c r="B2581" s="4"/>
      <c r="C2581" s="4" t="s">
        <v>7960</v>
      </c>
      <c r="D2581" s="4" t="s">
        <v>6774</v>
      </c>
      <c r="E2581" s="6">
        <v>5000.0</v>
      </c>
    </row>
    <row r="2582" ht="15.75" customHeight="1">
      <c r="A2582" s="4"/>
      <c r="B2582" s="4"/>
      <c r="C2582" s="4" t="s">
        <v>7961</v>
      </c>
      <c r="D2582" s="4" t="s">
        <v>6774</v>
      </c>
      <c r="E2582" s="6">
        <v>5000.0</v>
      </c>
    </row>
    <row r="2583" ht="15.75" customHeight="1">
      <c r="A2583" s="4"/>
      <c r="B2583" s="4"/>
      <c r="C2583" s="4" t="s">
        <v>7962</v>
      </c>
      <c r="D2583" s="4" t="s">
        <v>1757</v>
      </c>
      <c r="E2583" s="6">
        <v>3000.0</v>
      </c>
    </row>
    <row r="2584" ht="15.75" customHeight="1">
      <c r="A2584" s="4"/>
      <c r="B2584" s="4"/>
      <c r="C2584" s="4" t="s">
        <v>7963</v>
      </c>
      <c r="D2584" s="4" t="s">
        <v>6774</v>
      </c>
      <c r="E2584" s="6">
        <v>5000.0</v>
      </c>
    </row>
    <row r="2585" ht="15.75" customHeight="1">
      <c r="A2585" s="4"/>
      <c r="B2585" s="4"/>
      <c r="C2585" s="4" t="s">
        <v>7964</v>
      </c>
      <c r="D2585" s="4" t="s">
        <v>1757</v>
      </c>
      <c r="E2585" s="6">
        <v>5000.0</v>
      </c>
    </row>
    <row r="2586" ht="15.75" customHeight="1">
      <c r="A2586" s="4"/>
      <c r="B2586" s="4"/>
      <c r="C2586" s="4" t="s">
        <v>7965</v>
      </c>
      <c r="D2586" s="4" t="s">
        <v>6774</v>
      </c>
      <c r="E2586" s="6">
        <v>5000.0</v>
      </c>
    </row>
    <row r="2587" ht="15.75" customHeight="1">
      <c r="A2587" s="4"/>
      <c r="B2587" s="4"/>
      <c r="C2587" s="4" t="s">
        <v>7966</v>
      </c>
      <c r="D2587" s="4" t="s">
        <v>6774</v>
      </c>
      <c r="E2587" s="6">
        <v>9000.0</v>
      </c>
    </row>
    <row r="2588" ht="15.75" customHeight="1">
      <c r="A2588" s="4"/>
      <c r="B2588" s="4"/>
      <c r="C2588" s="4" t="s">
        <v>7967</v>
      </c>
      <c r="D2588" s="4" t="s">
        <v>1757</v>
      </c>
      <c r="E2588" s="6">
        <v>3000.0</v>
      </c>
    </row>
    <row r="2589" ht="15.75" customHeight="1">
      <c r="A2589" s="4"/>
      <c r="B2589" s="4"/>
      <c r="C2589" s="4" t="s">
        <v>7968</v>
      </c>
      <c r="D2589" s="4" t="s">
        <v>6774</v>
      </c>
      <c r="E2589" s="6">
        <v>9000.0</v>
      </c>
    </row>
    <row r="2590" ht="15.75" customHeight="1">
      <c r="A2590" s="4"/>
      <c r="B2590" s="4"/>
      <c r="C2590" s="4" t="s">
        <v>7969</v>
      </c>
      <c r="D2590" s="4" t="s">
        <v>1757</v>
      </c>
      <c r="E2590" s="6">
        <v>3000.0</v>
      </c>
    </row>
    <row r="2591" ht="15.75" customHeight="1">
      <c r="A2591" s="4"/>
      <c r="B2591" s="4"/>
      <c r="C2591" s="4" t="s">
        <v>7970</v>
      </c>
      <c r="D2591" s="4" t="s">
        <v>6774</v>
      </c>
      <c r="E2591" s="6">
        <v>5000.0</v>
      </c>
    </row>
    <row r="2592" ht="15.75" customHeight="1">
      <c r="A2592" s="4"/>
      <c r="B2592" s="4"/>
      <c r="C2592" s="4" t="s">
        <v>7971</v>
      </c>
      <c r="D2592" s="4" t="s">
        <v>6774</v>
      </c>
      <c r="E2592" s="6">
        <v>5000.0</v>
      </c>
    </row>
    <row r="2593" ht="15.75" customHeight="1">
      <c r="A2593" s="4"/>
      <c r="B2593" s="4"/>
      <c r="C2593" s="4" t="s">
        <v>7972</v>
      </c>
      <c r="D2593" s="4" t="s">
        <v>6774</v>
      </c>
      <c r="E2593" s="6">
        <v>9000.0</v>
      </c>
    </row>
    <row r="2594" ht="15.75" customHeight="1">
      <c r="A2594" s="4"/>
      <c r="B2594" s="4"/>
      <c r="C2594" s="4" t="s">
        <v>7973</v>
      </c>
      <c r="D2594" s="4" t="s">
        <v>6774</v>
      </c>
      <c r="E2594" s="6">
        <v>5000.0</v>
      </c>
    </row>
    <row r="2595" ht="15.75" customHeight="1">
      <c r="A2595" s="4"/>
      <c r="B2595" s="4"/>
      <c r="C2595" s="4" t="s">
        <v>7974</v>
      </c>
      <c r="D2595" s="4" t="s">
        <v>6774</v>
      </c>
      <c r="E2595" s="6">
        <v>3000.0</v>
      </c>
    </row>
    <row r="2596" ht="15.75" customHeight="1">
      <c r="A2596" s="4"/>
      <c r="B2596" s="4"/>
      <c r="C2596" s="4" t="s">
        <v>7975</v>
      </c>
      <c r="D2596" s="4" t="s">
        <v>6774</v>
      </c>
      <c r="E2596" s="6">
        <v>5000.0</v>
      </c>
    </row>
    <row r="2597" ht="15.75" customHeight="1">
      <c r="A2597" s="4"/>
      <c r="B2597" s="4"/>
      <c r="C2597" s="4" t="s">
        <v>7976</v>
      </c>
      <c r="D2597" s="4" t="s">
        <v>6774</v>
      </c>
      <c r="E2597" s="6">
        <v>5000.0</v>
      </c>
    </row>
    <row r="2598" ht="15.75" customHeight="1">
      <c r="A2598" s="4"/>
      <c r="B2598" s="4"/>
      <c r="C2598" s="4" t="s">
        <v>7977</v>
      </c>
      <c r="D2598" s="4" t="s">
        <v>6774</v>
      </c>
      <c r="E2598" s="6">
        <v>3000.0</v>
      </c>
    </row>
    <row r="2599" ht="15.75" customHeight="1">
      <c r="A2599" s="4"/>
      <c r="B2599" s="4"/>
      <c r="C2599" s="4" t="s">
        <v>7978</v>
      </c>
      <c r="D2599" s="4" t="s">
        <v>6774</v>
      </c>
      <c r="E2599" s="6">
        <v>5000.0</v>
      </c>
    </row>
    <row r="2600" ht="15.75" customHeight="1">
      <c r="A2600" s="4"/>
      <c r="B2600" s="4"/>
      <c r="C2600" s="4" t="s">
        <v>7979</v>
      </c>
      <c r="D2600" s="4" t="s">
        <v>6774</v>
      </c>
      <c r="E2600" s="6">
        <v>9000.0</v>
      </c>
    </row>
    <row r="2601" ht="15.75" customHeight="1">
      <c r="A2601" s="4"/>
      <c r="B2601" s="4"/>
      <c r="C2601" s="4" t="s">
        <v>7980</v>
      </c>
      <c r="D2601" s="4" t="s">
        <v>6774</v>
      </c>
      <c r="E2601" s="6">
        <v>3000.0</v>
      </c>
    </row>
    <row r="2602" ht="15.75" customHeight="1">
      <c r="A2602" s="4"/>
      <c r="B2602" s="4"/>
      <c r="C2602" s="4" t="s">
        <v>7981</v>
      </c>
      <c r="D2602" s="4" t="s">
        <v>6774</v>
      </c>
      <c r="E2602" s="6">
        <v>5000.0</v>
      </c>
    </row>
    <row r="2603" ht="15.75" customHeight="1">
      <c r="A2603" s="4"/>
      <c r="B2603" s="4"/>
      <c r="C2603" s="4" t="s">
        <v>7982</v>
      </c>
      <c r="D2603" s="4" t="s">
        <v>6774</v>
      </c>
      <c r="E2603" s="6">
        <v>9000.0</v>
      </c>
    </row>
    <row r="2604" ht="15.75" customHeight="1">
      <c r="A2604" s="4"/>
      <c r="B2604" s="4"/>
      <c r="C2604" s="4" t="s">
        <v>7983</v>
      </c>
      <c r="D2604" s="4"/>
      <c r="E2604" s="6">
        <v>2500.0</v>
      </c>
    </row>
    <row r="2605" ht="15.75" customHeight="1">
      <c r="A2605" s="4"/>
      <c r="B2605" s="4"/>
      <c r="C2605" s="4" t="s">
        <v>7984</v>
      </c>
      <c r="D2605" s="4" t="s">
        <v>36</v>
      </c>
      <c r="E2605" s="6">
        <v>15000.0</v>
      </c>
    </row>
    <row r="2606" ht="15.75" customHeight="1">
      <c r="A2606" s="4"/>
      <c r="B2606" s="4"/>
      <c r="C2606" s="4" t="s">
        <v>7985</v>
      </c>
      <c r="D2606" s="4" t="s">
        <v>36</v>
      </c>
      <c r="E2606" s="6">
        <v>15000.0</v>
      </c>
    </row>
    <row r="2607" ht="15.75" customHeight="1">
      <c r="A2607" s="4"/>
      <c r="B2607" s="4"/>
      <c r="C2607" s="4" t="s">
        <v>7986</v>
      </c>
      <c r="D2607" s="4" t="s">
        <v>36</v>
      </c>
      <c r="E2607" s="6">
        <v>15000.0</v>
      </c>
    </row>
    <row r="2608" ht="15.75" customHeight="1">
      <c r="A2608" s="4"/>
      <c r="B2608" s="4"/>
      <c r="C2608" s="4" t="s">
        <v>7987</v>
      </c>
      <c r="D2608" s="4" t="s">
        <v>36</v>
      </c>
      <c r="E2608" s="6">
        <v>15000.0</v>
      </c>
    </row>
    <row r="2609" ht="15.75" customHeight="1">
      <c r="A2609" s="4"/>
      <c r="B2609" s="4"/>
      <c r="C2609" s="4" t="s">
        <v>7988</v>
      </c>
      <c r="D2609" s="4" t="s">
        <v>36</v>
      </c>
      <c r="E2609" s="6">
        <v>15000.0</v>
      </c>
    </row>
    <row r="2610" ht="15.75" customHeight="1">
      <c r="A2610" s="4"/>
      <c r="B2610" s="4"/>
      <c r="C2610" s="4" t="s">
        <v>7989</v>
      </c>
      <c r="D2610" s="4" t="s">
        <v>36</v>
      </c>
      <c r="E2610" s="6">
        <v>17000.0</v>
      </c>
    </row>
    <row r="2611" ht="15.75" customHeight="1">
      <c r="A2611" s="4"/>
      <c r="B2611" s="4"/>
      <c r="C2611" s="4" t="s">
        <v>7990</v>
      </c>
      <c r="D2611" s="4" t="s">
        <v>36</v>
      </c>
      <c r="E2611" s="6">
        <v>10000.0</v>
      </c>
    </row>
    <row r="2612" ht="15.75" customHeight="1">
      <c r="A2612" s="4"/>
      <c r="B2612" s="4"/>
      <c r="C2612" s="4" t="s">
        <v>7991</v>
      </c>
      <c r="D2612" s="4" t="s">
        <v>36</v>
      </c>
      <c r="E2612" s="6">
        <v>15000.0</v>
      </c>
    </row>
    <row r="2613" ht="15.75" customHeight="1">
      <c r="A2613" s="4"/>
      <c r="B2613" s="4"/>
      <c r="C2613" s="4" t="s">
        <v>7992</v>
      </c>
      <c r="D2613" s="4" t="s">
        <v>36</v>
      </c>
      <c r="E2613" s="6">
        <v>19000.0</v>
      </c>
    </row>
    <row r="2614" ht="15.75" customHeight="1">
      <c r="A2614" s="4"/>
      <c r="B2614" s="4"/>
      <c r="C2614" s="4" t="s">
        <v>7993</v>
      </c>
      <c r="D2614" s="4" t="s">
        <v>36</v>
      </c>
      <c r="E2614" s="6">
        <v>5600.0</v>
      </c>
    </row>
    <row r="2615" ht="15.75" customHeight="1">
      <c r="A2615" s="4"/>
      <c r="B2615" s="4"/>
      <c r="C2615" s="4" t="s">
        <v>7994</v>
      </c>
      <c r="D2615" s="4" t="s">
        <v>389</v>
      </c>
      <c r="E2615" s="6">
        <v>16000.0</v>
      </c>
    </row>
    <row r="2616" ht="15.75" customHeight="1">
      <c r="A2616" s="4"/>
      <c r="B2616" s="4"/>
      <c r="C2616" s="4" t="s">
        <v>7995</v>
      </c>
      <c r="D2616" s="4" t="s">
        <v>389</v>
      </c>
      <c r="E2616" s="6">
        <v>80000.0</v>
      </c>
    </row>
    <row r="2617" ht="15.75" customHeight="1">
      <c r="A2617" s="4"/>
      <c r="B2617" s="4"/>
      <c r="C2617" s="4" t="s">
        <v>7996</v>
      </c>
      <c r="D2617" s="4" t="s">
        <v>389</v>
      </c>
      <c r="E2617" s="6">
        <v>35000.0</v>
      </c>
    </row>
    <row r="2618" ht="15.75" customHeight="1">
      <c r="A2618" s="4"/>
      <c r="B2618" s="4"/>
      <c r="C2618" s="4" t="s">
        <v>7997</v>
      </c>
      <c r="D2618" s="4" t="s">
        <v>389</v>
      </c>
      <c r="E2618" s="6">
        <v>18000.0</v>
      </c>
    </row>
    <row r="2619" ht="15.75" customHeight="1">
      <c r="A2619" s="4"/>
      <c r="B2619" s="4"/>
      <c r="C2619" s="4" t="s">
        <v>7998</v>
      </c>
      <c r="D2619" s="4" t="s">
        <v>116</v>
      </c>
      <c r="E2619" s="6">
        <v>180000.0</v>
      </c>
    </row>
    <row r="2620" ht="15.75" customHeight="1">
      <c r="A2620" s="4"/>
      <c r="B2620" s="4"/>
      <c r="C2620" s="4" t="s">
        <v>7999</v>
      </c>
      <c r="D2620" s="4" t="s">
        <v>5416</v>
      </c>
      <c r="E2620" s="6">
        <v>150000.0</v>
      </c>
    </row>
    <row r="2621" ht="15.75" customHeight="1">
      <c r="A2621" s="4"/>
      <c r="B2621" s="4"/>
      <c r="C2621" s="4" t="s">
        <v>8000</v>
      </c>
      <c r="D2621" s="4" t="s">
        <v>116</v>
      </c>
      <c r="E2621" s="6">
        <v>150000.0</v>
      </c>
    </row>
    <row r="2622" ht="15.75" customHeight="1">
      <c r="A2622" s="4"/>
      <c r="B2622" s="4"/>
      <c r="C2622" s="4" t="s">
        <v>8001</v>
      </c>
      <c r="D2622" s="4" t="s">
        <v>389</v>
      </c>
      <c r="E2622" s="6">
        <v>18000.0</v>
      </c>
    </row>
    <row r="2623" ht="15.75" customHeight="1">
      <c r="A2623" s="4"/>
      <c r="B2623" s="4"/>
      <c r="C2623" s="4" t="s">
        <v>8002</v>
      </c>
      <c r="D2623" s="4" t="s">
        <v>36</v>
      </c>
      <c r="E2623" s="6">
        <v>7500.0</v>
      </c>
    </row>
    <row r="2624" ht="15.75" customHeight="1">
      <c r="A2624" s="4"/>
      <c r="B2624" s="4"/>
      <c r="C2624" s="4" t="s">
        <v>8003</v>
      </c>
      <c r="D2624" s="4"/>
      <c r="E2624" s="6">
        <v>9500.0</v>
      </c>
    </row>
    <row r="2625" ht="15.75" customHeight="1">
      <c r="A2625" s="4"/>
      <c r="B2625" s="4"/>
      <c r="C2625" s="4" t="s">
        <v>8004</v>
      </c>
      <c r="D2625" s="4" t="s">
        <v>389</v>
      </c>
      <c r="E2625" s="6">
        <v>166000.0</v>
      </c>
    </row>
    <row r="2626" ht="15.75" customHeight="1">
      <c r="A2626" s="4"/>
      <c r="B2626" s="4"/>
      <c r="C2626" s="4" t="s">
        <v>8005</v>
      </c>
      <c r="D2626" s="4" t="s">
        <v>116</v>
      </c>
      <c r="E2626" s="6">
        <v>10500.0</v>
      </c>
    </row>
    <row r="2627" ht="15.75" customHeight="1">
      <c r="A2627" s="4"/>
      <c r="B2627" s="4"/>
      <c r="C2627" s="4" t="s">
        <v>8006</v>
      </c>
      <c r="D2627" s="4" t="s">
        <v>5300</v>
      </c>
      <c r="E2627" s="6">
        <v>3100.0</v>
      </c>
    </row>
    <row r="2628" ht="15.75" customHeight="1">
      <c r="A2628" s="4"/>
      <c r="B2628" s="4"/>
      <c r="C2628" s="4" t="s">
        <v>8007</v>
      </c>
      <c r="D2628" s="4" t="s">
        <v>116</v>
      </c>
      <c r="E2628" s="6">
        <v>250000.0</v>
      </c>
    </row>
    <row r="2629" ht="15.75" customHeight="1">
      <c r="A2629" s="4"/>
      <c r="B2629" s="4"/>
      <c r="C2629" s="4" t="s">
        <v>8008</v>
      </c>
      <c r="D2629" s="4" t="s">
        <v>389</v>
      </c>
      <c r="E2629" s="6">
        <v>12000.0</v>
      </c>
    </row>
    <row r="2630" ht="15.75" customHeight="1">
      <c r="A2630" s="4"/>
      <c r="B2630" s="4"/>
      <c r="C2630" s="4" t="s">
        <v>8009</v>
      </c>
      <c r="D2630" s="4" t="s">
        <v>8010</v>
      </c>
      <c r="E2630" s="6">
        <v>550.0</v>
      </c>
    </row>
    <row r="2631" ht="15.75" customHeight="1">
      <c r="A2631" s="4"/>
      <c r="B2631" s="4"/>
      <c r="C2631" s="4" t="s">
        <v>8011</v>
      </c>
      <c r="D2631" s="4" t="s">
        <v>5300</v>
      </c>
      <c r="E2631" s="6">
        <v>430000.0</v>
      </c>
    </row>
    <row r="2632" ht="15.75" customHeight="1">
      <c r="A2632" s="4"/>
      <c r="B2632" s="4"/>
      <c r="C2632" s="4" t="s">
        <v>8012</v>
      </c>
      <c r="D2632" s="4" t="s">
        <v>8010</v>
      </c>
      <c r="E2632" s="6">
        <v>48500.0</v>
      </c>
    </row>
    <row r="2633" ht="15.75" customHeight="1">
      <c r="A2633" s="4"/>
      <c r="B2633" s="4"/>
      <c r="C2633" s="4" t="s">
        <v>8013</v>
      </c>
      <c r="D2633" s="4" t="s">
        <v>43</v>
      </c>
      <c r="E2633" s="6">
        <v>340000.0</v>
      </c>
    </row>
    <row r="2634" ht="15.75" customHeight="1">
      <c r="A2634" s="4"/>
      <c r="B2634" s="4"/>
      <c r="C2634" s="4" t="s">
        <v>8014</v>
      </c>
      <c r="D2634" s="4" t="s">
        <v>116</v>
      </c>
      <c r="E2634" s="6">
        <v>13700.0</v>
      </c>
    </row>
    <row r="2635" ht="15.75" customHeight="1">
      <c r="A2635" s="4"/>
      <c r="B2635" s="4"/>
      <c r="C2635" s="4" t="s">
        <v>8015</v>
      </c>
      <c r="D2635" s="4" t="s">
        <v>27</v>
      </c>
      <c r="E2635" s="6">
        <v>700.0</v>
      </c>
    </row>
    <row r="2636" ht="15.75" customHeight="1">
      <c r="A2636" s="4"/>
      <c r="B2636" s="4"/>
      <c r="C2636" s="4" t="s">
        <v>8016</v>
      </c>
      <c r="D2636" s="4" t="s">
        <v>419</v>
      </c>
      <c r="E2636" s="6">
        <v>900.0</v>
      </c>
    </row>
    <row r="2637" ht="15.75" customHeight="1">
      <c r="A2637" s="4"/>
      <c r="B2637" s="4"/>
      <c r="C2637" s="4" t="s">
        <v>8017</v>
      </c>
      <c r="D2637" s="4" t="s">
        <v>5443</v>
      </c>
      <c r="E2637" s="6">
        <v>12000.0</v>
      </c>
    </row>
    <row r="2638" ht="15.75" customHeight="1">
      <c r="A2638" s="4"/>
      <c r="B2638" s="4"/>
      <c r="C2638" s="4" t="s">
        <v>8018</v>
      </c>
      <c r="D2638" s="4" t="s">
        <v>419</v>
      </c>
      <c r="E2638" s="6">
        <v>15000.0</v>
      </c>
    </row>
    <row r="2639" ht="15.75" customHeight="1">
      <c r="A2639" s="4"/>
      <c r="B2639" s="4"/>
      <c r="C2639" s="4" t="s">
        <v>8019</v>
      </c>
      <c r="D2639" s="4" t="s">
        <v>419</v>
      </c>
      <c r="E2639" s="6">
        <v>500.0</v>
      </c>
    </row>
    <row r="2640" ht="15.75" customHeight="1">
      <c r="A2640" s="4" t="s">
        <v>8020</v>
      </c>
      <c r="B2640" s="4"/>
      <c r="C2640" s="4" t="s">
        <v>8021</v>
      </c>
      <c r="D2640" s="4"/>
      <c r="E2640" s="6"/>
    </row>
    <row r="2641" ht="15.75" customHeight="1">
      <c r="A2641" s="4" t="s">
        <v>5212</v>
      </c>
      <c r="B2641" s="4"/>
      <c r="C2641" s="4" t="s">
        <v>8022</v>
      </c>
      <c r="D2641" s="4" t="s">
        <v>2955</v>
      </c>
      <c r="E2641" s="6">
        <v>50000.0</v>
      </c>
    </row>
    <row r="2642" ht="15.75" customHeight="1">
      <c r="A2642" s="4" t="s">
        <v>353</v>
      </c>
      <c r="B2642" s="4"/>
      <c r="C2642" s="4" t="s">
        <v>8023</v>
      </c>
      <c r="D2642" s="4" t="s">
        <v>8024</v>
      </c>
      <c r="E2642" s="6">
        <v>307300.0</v>
      </c>
    </row>
    <row r="2643" ht="15.75" customHeight="1">
      <c r="A2643" s="4" t="s">
        <v>791</v>
      </c>
      <c r="B2643" s="4"/>
      <c r="C2643" s="4" t="s">
        <v>8025</v>
      </c>
      <c r="D2643" s="4" t="s">
        <v>8024</v>
      </c>
      <c r="E2643" s="6">
        <v>602500.0</v>
      </c>
    </row>
    <row r="2644" ht="15.75" customHeight="1">
      <c r="A2644" s="4" t="s">
        <v>1626</v>
      </c>
      <c r="B2644" s="4"/>
      <c r="C2644" s="4" t="s">
        <v>8026</v>
      </c>
      <c r="D2644" s="4" t="s">
        <v>8024</v>
      </c>
      <c r="E2644" s="6">
        <v>61100.0</v>
      </c>
    </row>
    <row r="2645" ht="15.75" customHeight="1">
      <c r="A2645" s="4" t="s">
        <v>2310</v>
      </c>
      <c r="B2645" s="4"/>
      <c r="C2645" s="4" t="s">
        <v>8027</v>
      </c>
      <c r="D2645" s="4" t="s">
        <v>8024</v>
      </c>
      <c r="E2645" s="6">
        <v>6253800.0</v>
      </c>
    </row>
    <row r="2646" ht="15.75" customHeight="1">
      <c r="A2646" s="4" t="s">
        <v>3568</v>
      </c>
      <c r="B2646" s="4"/>
      <c r="C2646" s="4" t="s">
        <v>8028</v>
      </c>
      <c r="D2646" s="4" t="s">
        <v>8024</v>
      </c>
      <c r="E2646" s="6">
        <v>74900.0</v>
      </c>
    </row>
    <row r="2647" ht="15.75" customHeight="1">
      <c r="A2647" s="4" t="s">
        <v>4362</v>
      </c>
      <c r="B2647" s="4"/>
      <c r="C2647" s="4" t="s">
        <v>8029</v>
      </c>
      <c r="D2647" s="4" t="s">
        <v>2184</v>
      </c>
      <c r="E2647" s="6">
        <v>850000.0</v>
      </c>
    </row>
    <row r="2648" ht="15.75" customHeight="1">
      <c r="A2648" s="4" t="s">
        <v>4423</v>
      </c>
      <c r="B2648" s="4"/>
      <c r="C2648" s="4" t="s">
        <v>8030</v>
      </c>
      <c r="D2648" s="4" t="s">
        <v>8024</v>
      </c>
      <c r="E2648" s="6">
        <v>235000.0</v>
      </c>
    </row>
    <row r="2649" ht="15.75" customHeight="1">
      <c r="A2649" s="4" t="s">
        <v>4626</v>
      </c>
      <c r="B2649" s="4"/>
      <c r="C2649" s="4" t="s">
        <v>8031</v>
      </c>
      <c r="D2649" s="4" t="s">
        <v>8024</v>
      </c>
      <c r="E2649" s="6">
        <v>476900.0</v>
      </c>
    </row>
    <row r="2650" ht="15.75" customHeight="1">
      <c r="A2650" s="4" t="s">
        <v>5171</v>
      </c>
      <c r="B2650" s="4"/>
      <c r="C2650" s="4" t="s">
        <v>8032</v>
      </c>
      <c r="D2650" s="4" t="s">
        <v>8024</v>
      </c>
      <c r="E2650" s="6">
        <v>912500.0</v>
      </c>
    </row>
    <row r="2651" ht="15.75" customHeight="1">
      <c r="A2651" s="4" t="s">
        <v>5229</v>
      </c>
      <c r="B2651" s="4"/>
      <c r="C2651" s="4" t="s">
        <v>8033</v>
      </c>
      <c r="D2651" s="4" t="s">
        <v>8024</v>
      </c>
      <c r="E2651" s="6">
        <v>60200.0</v>
      </c>
    </row>
    <row r="2652" ht="15.75" customHeight="1">
      <c r="A2652" s="4" t="s">
        <v>5231</v>
      </c>
      <c r="B2652" s="4"/>
      <c r="C2652" s="4" t="s">
        <v>8034</v>
      </c>
      <c r="D2652" s="4" t="s">
        <v>2184</v>
      </c>
      <c r="E2652" s="6">
        <v>300000.0</v>
      </c>
    </row>
    <row r="2653" ht="15.75" customHeight="1">
      <c r="A2653" s="4" t="s">
        <v>5231</v>
      </c>
      <c r="B2653" s="4"/>
      <c r="C2653" s="4" t="s">
        <v>8035</v>
      </c>
      <c r="D2653" s="4" t="s">
        <v>2184</v>
      </c>
      <c r="E2653" s="6">
        <v>300000.0</v>
      </c>
    </row>
    <row r="2654" ht="15.75" customHeight="1">
      <c r="A2654" s="4" t="s">
        <v>5233</v>
      </c>
      <c r="B2654" s="4"/>
      <c r="C2654" s="4" t="s">
        <v>8036</v>
      </c>
      <c r="D2654" s="4" t="s">
        <v>8024</v>
      </c>
      <c r="E2654" s="6">
        <v>648500.0</v>
      </c>
    </row>
    <row r="2655" ht="15.75" customHeight="1">
      <c r="A2655" s="4"/>
      <c r="B2655" s="4"/>
      <c r="C2655" s="4" t="s">
        <v>8037</v>
      </c>
      <c r="D2655" s="4" t="s">
        <v>8024</v>
      </c>
      <c r="E2655" s="6">
        <v>314110.76</v>
      </c>
    </row>
    <row r="2656" ht="15.75" customHeight="1">
      <c r="A2656" s="4" t="s">
        <v>5235</v>
      </c>
      <c r="B2656" s="4"/>
      <c r="C2656" s="4" t="s">
        <v>8038</v>
      </c>
      <c r="D2656" s="4" t="s">
        <v>8024</v>
      </c>
      <c r="E2656" s="6">
        <v>185500.0</v>
      </c>
    </row>
    <row r="2657" ht="15.75" customHeight="1">
      <c r="A2657" s="4" t="s">
        <v>5237</v>
      </c>
      <c r="B2657" s="4"/>
      <c r="C2657" s="4" t="s">
        <v>8039</v>
      </c>
      <c r="D2657" s="4" t="s">
        <v>2608</v>
      </c>
      <c r="E2657" s="6">
        <v>700000.0</v>
      </c>
    </row>
    <row r="2658" ht="15.75" customHeight="1">
      <c r="A2658" s="4" t="s">
        <v>5272</v>
      </c>
      <c r="B2658" s="4"/>
      <c r="C2658" s="4" t="s">
        <v>8040</v>
      </c>
      <c r="D2658" s="4" t="s">
        <v>8024</v>
      </c>
      <c r="E2658" s="6">
        <v>94600.0</v>
      </c>
    </row>
    <row r="2659" ht="15.75" customHeight="1">
      <c r="A2659" s="4" t="s">
        <v>5274</v>
      </c>
      <c r="B2659" s="4"/>
      <c r="C2659" s="4" t="s">
        <v>8041</v>
      </c>
      <c r="D2659" s="4" t="s">
        <v>8024</v>
      </c>
      <c r="E2659" s="6">
        <v>103400.0</v>
      </c>
    </row>
    <row r="2660" ht="15.75" customHeight="1">
      <c r="A2660" s="4" t="s">
        <v>5276</v>
      </c>
      <c r="B2660" s="4"/>
      <c r="C2660" s="4" t="s">
        <v>8042</v>
      </c>
      <c r="D2660" s="4" t="s">
        <v>8024</v>
      </c>
      <c r="E2660" s="6">
        <v>576100.0</v>
      </c>
    </row>
    <row r="2661" ht="15.75" customHeight="1">
      <c r="A2661" s="4" t="s">
        <v>5278</v>
      </c>
      <c r="B2661" s="4"/>
      <c r="C2661" s="4" t="s">
        <v>8043</v>
      </c>
      <c r="D2661" s="4" t="s">
        <v>8024</v>
      </c>
      <c r="E2661" s="6">
        <v>800700.0</v>
      </c>
    </row>
    <row r="2662" ht="15.75" customHeight="1">
      <c r="A2662" s="4" t="s">
        <v>5280</v>
      </c>
      <c r="B2662" s="4"/>
      <c r="C2662" s="4" t="s">
        <v>8044</v>
      </c>
      <c r="D2662" s="4" t="s">
        <v>8024</v>
      </c>
      <c r="E2662" s="6">
        <v>296800.0</v>
      </c>
    </row>
    <row r="2663" ht="15.75" customHeight="1">
      <c r="A2663" s="4" t="s">
        <v>5250</v>
      </c>
      <c r="B2663" s="4"/>
      <c r="C2663" s="4" t="s">
        <v>8045</v>
      </c>
      <c r="D2663" s="4" t="s">
        <v>8024</v>
      </c>
      <c r="E2663" s="6">
        <v>582400.0</v>
      </c>
    </row>
    <row r="2664" ht="15.75" customHeight="1">
      <c r="A2664" s="4" t="s">
        <v>5268</v>
      </c>
      <c r="B2664" s="4"/>
      <c r="C2664" s="4" t="s">
        <v>8046</v>
      </c>
      <c r="D2664" s="4" t="s">
        <v>2184</v>
      </c>
      <c r="E2664" s="6">
        <v>800000.0</v>
      </c>
    </row>
    <row r="2665" ht="15.75" customHeight="1">
      <c r="A2665" s="4" t="s">
        <v>5282</v>
      </c>
      <c r="B2665" s="4"/>
      <c r="C2665" s="4" t="s">
        <v>8047</v>
      </c>
      <c r="D2665" s="4" t="s">
        <v>8024</v>
      </c>
      <c r="E2665" s="6">
        <v>440800.0</v>
      </c>
    </row>
    <row r="2666" ht="15.75" customHeight="1">
      <c r="A2666" s="4"/>
      <c r="B2666" s="4"/>
      <c r="C2666" s="4" t="s">
        <v>8048</v>
      </c>
      <c r="D2666" s="4" t="s">
        <v>8024</v>
      </c>
      <c r="E2666" s="6">
        <v>430662.86</v>
      </c>
    </row>
    <row r="2667" ht="15.75" customHeight="1">
      <c r="A2667" s="4" t="s">
        <v>5256</v>
      </c>
      <c r="B2667" s="4"/>
      <c r="C2667" s="4" t="s">
        <v>8049</v>
      </c>
      <c r="D2667" s="4" t="s">
        <v>8024</v>
      </c>
      <c r="E2667" s="6">
        <v>359800.0</v>
      </c>
    </row>
    <row r="2668" ht="15.75" customHeight="1">
      <c r="A2668" s="4" t="s">
        <v>5259</v>
      </c>
      <c r="B2668" s="4"/>
      <c r="C2668" s="4" t="s">
        <v>8050</v>
      </c>
      <c r="D2668" s="4" t="s">
        <v>2184</v>
      </c>
      <c r="E2668" s="6">
        <v>800000.0</v>
      </c>
    </row>
    <row r="2669" ht="15.75" customHeight="1">
      <c r="A2669" s="4" t="s">
        <v>5284</v>
      </c>
      <c r="B2669" s="4"/>
      <c r="C2669" s="4" t="s">
        <v>8051</v>
      </c>
      <c r="D2669" s="4" t="s">
        <v>8024</v>
      </c>
      <c r="E2669" s="6">
        <v>55100.0</v>
      </c>
    </row>
    <row r="2670" ht="15.75" customHeight="1">
      <c r="A2670" s="4" t="s">
        <v>5286</v>
      </c>
      <c r="B2670" s="4"/>
      <c r="C2670" s="4" t="s">
        <v>8052</v>
      </c>
      <c r="D2670" s="4" t="s">
        <v>2184</v>
      </c>
      <c r="E2670" s="6">
        <v>425000.0</v>
      </c>
    </row>
    <row r="2671" ht="15.75" customHeight="1">
      <c r="A2671" s="4" t="s">
        <v>5253</v>
      </c>
      <c r="B2671" s="4"/>
      <c r="C2671" s="4" t="s">
        <v>8053</v>
      </c>
      <c r="D2671" s="4" t="s">
        <v>2184</v>
      </c>
      <c r="E2671" s="6">
        <v>42000.0</v>
      </c>
    </row>
    <row r="2672" ht="15.75" customHeight="1">
      <c r="A2672" s="4" t="s">
        <v>5288</v>
      </c>
      <c r="B2672" s="4"/>
      <c r="C2672" s="4" t="s">
        <v>8054</v>
      </c>
      <c r="D2672" s="4" t="s">
        <v>2184</v>
      </c>
      <c r="E2672" s="6">
        <v>265000.0</v>
      </c>
    </row>
    <row r="2673" ht="15.75" customHeight="1">
      <c r="A2673" s="4" t="s">
        <v>5262</v>
      </c>
      <c r="B2673" s="4"/>
      <c r="C2673" s="4" t="s">
        <v>8055</v>
      </c>
      <c r="D2673" s="4" t="s">
        <v>8024</v>
      </c>
      <c r="E2673" s="6">
        <v>556100.0</v>
      </c>
    </row>
    <row r="2674" ht="15.75" customHeight="1">
      <c r="A2674" s="4" t="s">
        <v>5262</v>
      </c>
      <c r="B2674" s="4"/>
      <c r="C2674" s="4" t="s">
        <v>8056</v>
      </c>
      <c r="D2674" s="4" t="s">
        <v>8024</v>
      </c>
      <c r="E2674" s="6">
        <v>556100.0</v>
      </c>
    </row>
    <row r="2675" ht="15.75" customHeight="1">
      <c r="A2675" s="4" t="s">
        <v>5262</v>
      </c>
      <c r="B2675" s="4"/>
      <c r="C2675" s="4" t="s">
        <v>8057</v>
      </c>
      <c r="D2675" s="4" t="s">
        <v>8024</v>
      </c>
      <c r="E2675" s="6">
        <v>556100.0</v>
      </c>
    </row>
    <row r="2676" ht="15.75" customHeight="1">
      <c r="A2676" s="4" t="s">
        <v>5262</v>
      </c>
      <c r="B2676" s="4"/>
      <c r="C2676" s="4" t="s">
        <v>8058</v>
      </c>
      <c r="D2676" s="4" t="s">
        <v>8024</v>
      </c>
      <c r="E2676" s="6">
        <v>556100.0</v>
      </c>
    </row>
    <row r="2677" ht="15.75" customHeight="1">
      <c r="A2677" s="4" t="s">
        <v>5265</v>
      </c>
      <c r="B2677" s="4"/>
      <c r="C2677" s="4" t="s">
        <v>8059</v>
      </c>
      <c r="D2677" s="4" t="s">
        <v>8024</v>
      </c>
      <c r="E2677" s="6">
        <v>304800.0</v>
      </c>
    </row>
    <row r="2678" ht="15.75" customHeight="1">
      <c r="A2678" s="4" t="s">
        <v>5290</v>
      </c>
      <c r="B2678" s="4"/>
      <c r="C2678" s="4" t="s">
        <v>8060</v>
      </c>
      <c r="D2678" s="4" t="s">
        <v>8024</v>
      </c>
      <c r="E2678" s="6">
        <v>676500.0</v>
      </c>
    </row>
    <row r="2679" ht="15.75" customHeight="1">
      <c r="A2679" s="4" t="s">
        <v>5342</v>
      </c>
      <c r="B2679" s="4"/>
      <c r="C2679" s="4" t="s">
        <v>8061</v>
      </c>
      <c r="D2679" s="4" t="s">
        <v>8024</v>
      </c>
      <c r="E2679" s="6">
        <v>344400.0</v>
      </c>
    </row>
    <row r="2680" ht="15.75" customHeight="1">
      <c r="A2680" s="4"/>
      <c r="B2680" s="4"/>
      <c r="C2680" s="4" t="s">
        <v>8062</v>
      </c>
      <c r="D2680" s="4" t="s">
        <v>8024</v>
      </c>
      <c r="E2680" s="6">
        <v>268539.71</v>
      </c>
    </row>
    <row r="2681" ht="15.75" customHeight="1">
      <c r="A2681" s="4"/>
      <c r="B2681" s="4"/>
      <c r="C2681" s="4" t="s">
        <v>8063</v>
      </c>
      <c r="D2681" s="4" t="s">
        <v>8024</v>
      </c>
      <c r="E2681" s="6">
        <v>418543.76</v>
      </c>
    </row>
    <row r="2682" ht="15.75" customHeight="1">
      <c r="A2682" s="4"/>
      <c r="B2682" s="4"/>
      <c r="C2682" s="4" t="s">
        <v>8064</v>
      </c>
      <c r="D2682" s="4" t="s">
        <v>5610</v>
      </c>
      <c r="E2682" s="6">
        <v>2700000.0</v>
      </c>
    </row>
    <row r="2683" ht="15.75" customHeight="1">
      <c r="A2683" s="4"/>
      <c r="B2683" s="4"/>
      <c r="C2683" s="4" t="s">
        <v>8065</v>
      </c>
      <c r="D2683" s="4" t="s">
        <v>5610</v>
      </c>
      <c r="E2683" s="6">
        <v>180000.0</v>
      </c>
    </row>
    <row r="2684" ht="15.75" customHeight="1">
      <c r="A2684" s="4" t="s">
        <v>5346</v>
      </c>
      <c r="B2684" s="4"/>
      <c r="C2684" s="4" t="s">
        <v>8066</v>
      </c>
      <c r="D2684" s="4" t="s">
        <v>8024</v>
      </c>
      <c r="E2684" s="6">
        <v>480000.0</v>
      </c>
    </row>
    <row r="2685" ht="15.75" customHeight="1">
      <c r="A2685" s="4"/>
      <c r="B2685" s="4"/>
      <c r="C2685" s="4" t="s">
        <v>8067</v>
      </c>
      <c r="D2685" s="4" t="s">
        <v>8068</v>
      </c>
      <c r="E2685" s="6">
        <v>5150000.0</v>
      </c>
    </row>
    <row r="2686" ht="15.75" customHeight="1">
      <c r="A2686" s="4" t="s">
        <v>5346</v>
      </c>
      <c r="B2686" s="4"/>
      <c r="C2686" s="4" t="s">
        <v>8069</v>
      </c>
      <c r="D2686" s="4" t="s">
        <v>8024</v>
      </c>
      <c r="E2686" s="6">
        <v>668200.0</v>
      </c>
    </row>
    <row r="2687" ht="15.75" customHeight="1">
      <c r="A2687" s="4" t="s">
        <v>5348</v>
      </c>
      <c r="B2687" s="4"/>
      <c r="C2687" s="4" t="s">
        <v>8070</v>
      </c>
      <c r="D2687" s="4" t="s">
        <v>8024</v>
      </c>
      <c r="E2687" s="6">
        <v>465100.0</v>
      </c>
    </row>
    <row r="2688" ht="15.75" customHeight="1">
      <c r="A2688" s="4" t="s">
        <v>5350</v>
      </c>
      <c r="B2688" s="4"/>
      <c r="C2688" s="4" t="s">
        <v>8071</v>
      </c>
      <c r="D2688" s="4" t="s">
        <v>8024</v>
      </c>
      <c r="E2688" s="6">
        <v>410200.0</v>
      </c>
    </row>
    <row r="2689" ht="15.75" customHeight="1">
      <c r="A2689" s="4" t="s">
        <v>5352</v>
      </c>
      <c r="B2689" s="4"/>
      <c r="C2689" s="4" t="s">
        <v>8072</v>
      </c>
      <c r="D2689" s="4" t="s">
        <v>2184</v>
      </c>
      <c r="E2689" s="6">
        <v>350000.0</v>
      </c>
    </row>
    <row r="2690" ht="15.75" customHeight="1">
      <c r="A2690" s="4" t="s">
        <v>5354</v>
      </c>
      <c r="B2690" s="4"/>
      <c r="C2690" s="4" t="s">
        <v>8073</v>
      </c>
      <c r="D2690" s="4" t="s">
        <v>2184</v>
      </c>
      <c r="E2690" s="6">
        <v>2300000.0</v>
      </c>
    </row>
    <row r="2691" ht="15.75" customHeight="1">
      <c r="A2691" s="4"/>
      <c r="B2691" s="4"/>
      <c r="C2691" s="4" t="s">
        <v>8074</v>
      </c>
      <c r="D2691" s="4" t="s">
        <v>5610</v>
      </c>
      <c r="E2691" s="6">
        <v>150000.0</v>
      </c>
    </row>
    <row r="2692" ht="15.75" customHeight="1">
      <c r="A2692" s="4" t="s">
        <v>5356</v>
      </c>
      <c r="B2692" s="4"/>
      <c r="C2692" s="4" t="s">
        <v>8075</v>
      </c>
      <c r="D2692" s="4" t="s">
        <v>2608</v>
      </c>
      <c r="E2692" s="6">
        <v>280000.0</v>
      </c>
    </row>
    <row r="2693" ht="15.75" customHeight="1">
      <c r="A2693" s="4" t="s">
        <v>5359</v>
      </c>
      <c r="B2693" s="4"/>
      <c r="C2693" s="4" t="s">
        <v>8076</v>
      </c>
      <c r="D2693" s="4" t="s">
        <v>2184</v>
      </c>
      <c r="E2693" s="6">
        <v>100000.0</v>
      </c>
    </row>
    <row r="2694" ht="15.75" customHeight="1">
      <c r="A2694" s="4" t="s">
        <v>5361</v>
      </c>
      <c r="B2694" s="4"/>
      <c r="C2694" s="4" t="s">
        <v>8077</v>
      </c>
      <c r="D2694" s="4" t="s">
        <v>2184</v>
      </c>
      <c r="E2694" s="6">
        <v>170000.0</v>
      </c>
    </row>
    <row r="2695" ht="15.75" customHeight="1">
      <c r="A2695" s="4" t="s">
        <v>5363</v>
      </c>
      <c r="B2695" s="4"/>
      <c r="C2695" s="4" t="s">
        <v>8078</v>
      </c>
      <c r="D2695" s="4" t="s">
        <v>2184</v>
      </c>
      <c r="E2695" s="6">
        <v>250000.0</v>
      </c>
    </row>
    <row r="2696" ht="15.75" customHeight="1">
      <c r="A2696" s="4" t="s">
        <v>5365</v>
      </c>
      <c r="B2696" s="4"/>
      <c r="C2696" s="4" t="s">
        <v>8079</v>
      </c>
      <c r="D2696" s="4" t="s">
        <v>2184</v>
      </c>
      <c r="E2696" s="6">
        <v>340000.0</v>
      </c>
    </row>
    <row r="2697" ht="15.75" customHeight="1">
      <c r="A2697" s="4" t="s">
        <v>5367</v>
      </c>
      <c r="B2697" s="4"/>
      <c r="C2697" s="4" t="s">
        <v>8080</v>
      </c>
      <c r="D2697" s="4" t="s">
        <v>2608</v>
      </c>
      <c r="E2697" s="6">
        <v>450000.0</v>
      </c>
    </row>
    <row r="2698" ht="15.75" customHeight="1">
      <c r="A2698" s="4" t="s">
        <v>5369</v>
      </c>
      <c r="B2698" s="4"/>
      <c r="C2698" s="4" t="s">
        <v>8081</v>
      </c>
      <c r="D2698" s="4" t="s">
        <v>8024</v>
      </c>
      <c r="E2698" s="6">
        <v>325000.0</v>
      </c>
    </row>
    <row r="2699" ht="15.75" customHeight="1">
      <c r="A2699" s="4" t="s">
        <v>5372</v>
      </c>
      <c r="B2699" s="4"/>
      <c r="C2699" s="4" t="s">
        <v>8082</v>
      </c>
      <c r="D2699" s="4" t="s">
        <v>8024</v>
      </c>
      <c r="E2699" s="6">
        <v>350000.0</v>
      </c>
    </row>
    <row r="2700" ht="15.75" customHeight="1">
      <c r="A2700" s="4" t="s">
        <v>5374</v>
      </c>
      <c r="B2700" s="4"/>
      <c r="C2700" s="4" t="s">
        <v>8083</v>
      </c>
      <c r="D2700" s="4" t="s">
        <v>8024</v>
      </c>
      <c r="E2700" s="6">
        <v>415000.0</v>
      </c>
    </row>
    <row r="2701" ht="15.75" customHeight="1">
      <c r="A2701" s="4" t="s">
        <v>5376</v>
      </c>
      <c r="B2701" s="4"/>
      <c r="C2701" s="4" t="s">
        <v>8084</v>
      </c>
      <c r="D2701" s="4" t="s">
        <v>2608</v>
      </c>
      <c r="E2701" s="6">
        <v>50000.0</v>
      </c>
    </row>
    <row r="2702" ht="15.75" customHeight="1">
      <c r="A2702" s="4" t="s">
        <v>5378</v>
      </c>
      <c r="B2702" s="4"/>
      <c r="C2702" s="4" t="s">
        <v>8085</v>
      </c>
      <c r="D2702" s="4" t="s">
        <v>2184</v>
      </c>
      <c r="E2702" s="6">
        <v>150000.0</v>
      </c>
    </row>
    <row r="2703" ht="15.75" customHeight="1">
      <c r="A2703" s="4" t="s">
        <v>5380</v>
      </c>
      <c r="B2703" s="4"/>
      <c r="C2703" s="4" t="s">
        <v>8086</v>
      </c>
      <c r="D2703" s="4" t="s">
        <v>8024</v>
      </c>
      <c r="E2703" s="6">
        <v>45000.0</v>
      </c>
    </row>
    <row r="2704" ht="15.75" customHeight="1">
      <c r="A2704" s="4"/>
      <c r="B2704" s="4"/>
      <c r="C2704" s="4" t="s">
        <v>8087</v>
      </c>
      <c r="D2704" s="4" t="s">
        <v>8088</v>
      </c>
      <c r="E2704" s="6">
        <v>150000.0</v>
      </c>
    </row>
    <row r="2705" ht="15.75" customHeight="1">
      <c r="A2705" s="4" t="s">
        <v>5382</v>
      </c>
      <c r="B2705" s="4"/>
      <c r="C2705" s="4" t="s">
        <v>8089</v>
      </c>
      <c r="D2705" s="4" t="s">
        <v>8024</v>
      </c>
      <c r="E2705" s="6">
        <v>548600.0</v>
      </c>
    </row>
    <row r="2706" ht="15.75" customHeight="1">
      <c r="A2706" s="4" t="s">
        <v>5384</v>
      </c>
      <c r="B2706" s="4"/>
      <c r="C2706" s="4" t="s">
        <v>8090</v>
      </c>
      <c r="D2706" s="4" t="s">
        <v>8024</v>
      </c>
      <c r="E2706" s="6">
        <v>99800.0</v>
      </c>
    </row>
    <row r="2707" ht="15.75" customHeight="1">
      <c r="A2707" s="4" t="s">
        <v>5386</v>
      </c>
      <c r="B2707" s="4"/>
      <c r="C2707" s="4" t="s">
        <v>8091</v>
      </c>
      <c r="D2707" s="4" t="s">
        <v>8024</v>
      </c>
      <c r="E2707" s="6">
        <v>153400.0</v>
      </c>
    </row>
    <row r="2708" ht="15.75" customHeight="1">
      <c r="A2708" s="4" t="s">
        <v>5388</v>
      </c>
      <c r="B2708" s="4"/>
      <c r="C2708" s="4" t="s">
        <v>8092</v>
      </c>
      <c r="D2708" s="4" t="s">
        <v>8024</v>
      </c>
      <c r="E2708" s="6">
        <v>491000.0</v>
      </c>
    </row>
    <row r="2709" ht="15.75" customHeight="1">
      <c r="A2709" s="4" t="s">
        <v>5390</v>
      </c>
      <c r="B2709" s="4"/>
      <c r="C2709" s="4" t="s">
        <v>8093</v>
      </c>
      <c r="D2709" s="4" t="s">
        <v>2184</v>
      </c>
      <c r="E2709" s="6">
        <v>6600000.0</v>
      </c>
    </row>
    <row r="2710" ht="15.75" customHeight="1">
      <c r="A2710" s="4" t="s">
        <v>5392</v>
      </c>
      <c r="B2710" s="4"/>
      <c r="C2710" s="4" t="s">
        <v>8094</v>
      </c>
      <c r="D2710" s="4" t="s">
        <v>2184</v>
      </c>
      <c r="E2710" s="6">
        <v>6300000.0</v>
      </c>
    </row>
    <row r="2711" ht="15.75" customHeight="1">
      <c r="A2711" s="4" t="s">
        <v>5394</v>
      </c>
      <c r="B2711" s="4"/>
      <c r="C2711" s="4" t="s">
        <v>8095</v>
      </c>
      <c r="D2711" s="4" t="s">
        <v>2184</v>
      </c>
      <c r="E2711" s="6">
        <v>8000000.0</v>
      </c>
    </row>
    <row r="2712" ht="15.75" customHeight="1">
      <c r="A2712" s="4" t="s">
        <v>5396</v>
      </c>
      <c r="B2712" s="4"/>
      <c r="C2712" s="4" t="s">
        <v>8096</v>
      </c>
      <c r="D2712" s="4" t="s">
        <v>2184</v>
      </c>
      <c r="E2712" s="6">
        <v>6000000.0</v>
      </c>
    </row>
    <row r="2713" ht="15.75" customHeight="1">
      <c r="A2713" s="4" t="s">
        <v>5398</v>
      </c>
      <c r="B2713" s="4"/>
      <c r="C2713" s="4" t="s">
        <v>8097</v>
      </c>
      <c r="D2713" s="4" t="s">
        <v>2608</v>
      </c>
      <c r="E2713" s="6">
        <v>300000.0</v>
      </c>
    </row>
    <row r="2714" ht="15.75" customHeight="1">
      <c r="A2714" s="4" t="s">
        <v>6332</v>
      </c>
      <c r="B2714" s="4"/>
      <c r="C2714" s="4" t="s">
        <v>8098</v>
      </c>
      <c r="D2714" s="4" t="s">
        <v>2608</v>
      </c>
      <c r="E2714" s="6">
        <v>160000.0</v>
      </c>
    </row>
    <row r="2715" ht="15.75" customHeight="1">
      <c r="A2715" s="4" t="s">
        <v>6334</v>
      </c>
      <c r="B2715" s="4"/>
      <c r="C2715" s="4" t="s">
        <v>8099</v>
      </c>
      <c r="D2715" s="4" t="s">
        <v>8024</v>
      </c>
      <c r="E2715" s="6">
        <v>491000.0</v>
      </c>
    </row>
    <row r="2716" ht="15.75" customHeight="1">
      <c r="A2716" s="4" t="s">
        <v>6336</v>
      </c>
      <c r="B2716" s="4"/>
      <c r="C2716" s="4" t="s">
        <v>8100</v>
      </c>
      <c r="D2716" s="4" t="s">
        <v>2184</v>
      </c>
      <c r="E2716" s="6">
        <v>25000.0</v>
      </c>
    </row>
    <row r="2717" ht="15.75" customHeight="1">
      <c r="A2717" s="4" t="s">
        <v>6338</v>
      </c>
      <c r="B2717" s="4"/>
      <c r="C2717" s="4" t="s">
        <v>8101</v>
      </c>
      <c r="D2717" s="4" t="s">
        <v>2184</v>
      </c>
      <c r="E2717" s="6">
        <v>25000.0</v>
      </c>
    </row>
    <row r="2718" ht="15.75" customHeight="1">
      <c r="A2718" s="4"/>
      <c r="B2718" s="4"/>
      <c r="C2718" s="4" t="s">
        <v>8102</v>
      </c>
      <c r="D2718" s="4" t="s">
        <v>6800</v>
      </c>
      <c r="E2718" s="6">
        <v>3125.0</v>
      </c>
    </row>
    <row r="2719" ht="15.75" customHeight="1">
      <c r="A2719" s="4"/>
      <c r="B2719" s="4"/>
      <c r="C2719" s="4" t="s">
        <v>8103</v>
      </c>
      <c r="D2719" s="4" t="s">
        <v>6800</v>
      </c>
      <c r="E2719" s="6">
        <v>3125.0</v>
      </c>
    </row>
    <row r="2720" ht="15.75" customHeight="1">
      <c r="A2720" s="4"/>
      <c r="B2720" s="4"/>
      <c r="C2720" s="4" t="s">
        <v>8104</v>
      </c>
      <c r="D2720" s="4" t="s">
        <v>6800</v>
      </c>
      <c r="E2720" s="6">
        <v>3125.0</v>
      </c>
    </row>
    <row r="2721" ht="15.75" customHeight="1">
      <c r="A2721" s="4"/>
      <c r="B2721" s="4"/>
      <c r="C2721" s="4" t="s">
        <v>8105</v>
      </c>
      <c r="D2721" s="4" t="s">
        <v>6800</v>
      </c>
      <c r="E2721" s="6">
        <v>3125.0</v>
      </c>
    </row>
    <row r="2722" ht="15.75" customHeight="1">
      <c r="A2722" s="4"/>
      <c r="B2722" s="4"/>
      <c r="C2722" s="4" t="s">
        <v>8106</v>
      </c>
      <c r="D2722" s="4" t="s">
        <v>6800</v>
      </c>
      <c r="E2722" s="6">
        <v>3125.0</v>
      </c>
    </row>
    <row r="2723" ht="15.75" customHeight="1">
      <c r="A2723" s="4"/>
      <c r="B2723" s="4"/>
      <c r="C2723" s="4" t="s">
        <v>8107</v>
      </c>
      <c r="D2723" s="4" t="s">
        <v>5610</v>
      </c>
      <c r="E2723" s="6">
        <v>25000.0</v>
      </c>
    </row>
    <row r="2724" ht="15.75" customHeight="1">
      <c r="A2724" s="4"/>
      <c r="B2724" s="4"/>
      <c r="C2724" s="4" t="s">
        <v>8108</v>
      </c>
      <c r="D2724" s="4" t="s">
        <v>2184</v>
      </c>
      <c r="E2724" s="6">
        <v>20000.0</v>
      </c>
    </row>
    <row r="2725" ht="15.75" customHeight="1">
      <c r="A2725" s="4" t="s">
        <v>6340</v>
      </c>
      <c r="B2725" s="4"/>
      <c r="C2725" s="4" t="s">
        <v>8109</v>
      </c>
      <c r="D2725" s="4" t="s">
        <v>2184</v>
      </c>
      <c r="E2725" s="6">
        <v>150000.0</v>
      </c>
    </row>
    <row r="2726" ht="15.75" customHeight="1">
      <c r="A2726" s="4" t="s">
        <v>6342</v>
      </c>
      <c r="B2726" s="4"/>
      <c r="C2726" s="4" t="s">
        <v>8110</v>
      </c>
      <c r="D2726" s="4"/>
      <c r="E2726" s="6"/>
    </row>
    <row r="2727" ht="15.75" customHeight="1">
      <c r="A2727" s="4"/>
      <c r="B2727" s="4"/>
      <c r="C2727" s="4" t="s">
        <v>8111</v>
      </c>
      <c r="D2727" s="4" t="s">
        <v>8112</v>
      </c>
      <c r="E2727" s="6">
        <v>8800.0</v>
      </c>
    </row>
    <row r="2728" ht="15.75" customHeight="1">
      <c r="A2728" s="4"/>
      <c r="B2728" s="4"/>
      <c r="C2728" s="4" t="s">
        <v>8113</v>
      </c>
      <c r="D2728" s="4" t="s">
        <v>8112</v>
      </c>
      <c r="E2728" s="6">
        <v>17600.0</v>
      </c>
    </row>
    <row r="2729" ht="15.75" customHeight="1">
      <c r="A2729" s="4"/>
      <c r="B2729" s="4"/>
      <c r="C2729" s="4" t="s">
        <v>8114</v>
      </c>
      <c r="D2729" s="4" t="s">
        <v>2184</v>
      </c>
      <c r="E2729" s="6">
        <v>586.6666666666665</v>
      </c>
    </row>
    <row r="2730" ht="15.75" customHeight="1">
      <c r="A2730" s="4"/>
      <c r="B2730" s="4"/>
      <c r="C2730" s="4" t="s">
        <v>8115</v>
      </c>
      <c r="D2730" s="4" t="s">
        <v>2184</v>
      </c>
      <c r="E2730" s="6">
        <v>322000.0</v>
      </c>
    </row>
    <row r="2731" ht="15.75" customHeight="1">
      <c r="A2731" s="4"/>
      <c r="B2731" s="4"/>
      <c r="C2731" s="4" t="s">
        <v>8116</v>
      </c>
      <c r="D2731" s="4" t="s">
        <v>5610</v>
      </c>
      <c r="E2731" s="6">
        <v>850.0</v>
      </c>
    </row>
    <row r="2732" ht="15.75" customHeight="1">
      <c r="A2732" s="4" t="s">
        <v>6344</v>
      </c>
      <c r="B2732" s="4"/>
      <c r="C2732" s="4" t="s">
        <v>8117</v>
      </c>
      <c r="D2732" s="4" t="s">
        <v>8024</v>
      </c>
      <c r="E2732" s="6">
        <v>35000.0</v>
      </c>
    </row>
    <row r="2733" ht="15.75" customHeight="1">
      <c r="A2733" s="4"/>
      <c r="B2733" s="4"/>
      <c r="C2733" s="4" t="s">
        <v>8118</v>
      </c>
      <c r="D2733" s="4" t="s">
        <v>8068</v>
      </c>
      <c r="E2733" s="6">
        <v>350000.0</v>
      </c>
    </row>
    <row r="2734" ht="15.75" customHeight="1">
      <c r="A2734" s="4"/>
      <c r="B2734" s="4"/>
      <c r="C2734" s="4" t="s">
        <v>8119</v>
      </c>
      <c r="D2734" s="4" t="s">
        <v>8068</v>
      </c>
      <c r="E2734" s="6">
        <v>350000.0</v>
      </c>
    </row>
    <row r="2735" ht="15.75" customHeight="1">
      <c r="A2735" s="4"/>
      <c r="B2735" s="4"/>
      <c r="C2735" s="4" t="s">
        <v>8120</v>
      </c>
      <c r="D2735" s="4" t="s">
        <v>5610</v>
      </c>
      <c r="E2735" s="6">
        <v>290000.0</v>
      </c>
    </row>
    <row r="2736" ht="15.75" customHeight="1">
      <c r="A2736" s="4"/>
      <c r="B2736" s="4"/>
      <c r="C2736" s="4" t="s">
        <v>8121</v>
      </c>
      <c r="D2736" s="4" t="s">
        <v>5610</v>
      </c>
      <c r="E2736" s="6">
        <v>310000.0</v>
      </c>
    </row>
    <row r="2737" ht="15.75" customHeight="1">
      <c r="A2737" s="4"/>
      <c r="B2737" s="4"/>
      <c r="C2737" s="4" t="s">
        <v>8122</v>
      </c>
      <c r="D2737" s="4" t="s">
        <v>5610</v>
      </c>
      <c r="E2737" s="6">
        <v>350000.0</v>
      </c>
    </row>
    <row r="2738" ht="15.75" customHeight="1">
      <c r="A2738" s="4" t="s">
        <v>6346</v>
      </c>
      <c r="B2738" s="4"/>
      <c r="C2738" s="4" t="s">
        <v>8123</v>
      </c>
      <c r="D2738" s="4" t="s">
        <v>2184</v>
      </c>
      <c r="E2738" s="6">
        <v>95000.0</v>
      </c>
    </row>
    <row r="2739" ht="15.75" customHeight="1">
      <c r="A2739" s="4" t="s">
        <v>6348</v>
      </c>
      <c r="B2739" s="4"/>
      <c r="C2739" s="4" t="s">
        <v>8124</v>
      </c>
      <c r="D2739" s="4" t="s">
        <v>8024</v>
      </c>
      <c r="E2739" s="6">
        <v>799500.0</v>
      </c>
    </row>
    <row r="2740" ht="15.75" customHeight="1">
      <c r="A2740" s="4" t="s">
        <v>6350</v>
      </c>
      <c r="B2740" s="4"/>
      <c r="C2740" s="4" t="s">
        <v>8125</v>
      </c>
      <c r="D2740" s="4" t="s">
        <v>8024</v>
      </c>
      <c r="E2740" s="6">
        <v>469500.0</v>
      </c>
    </row>
    <row r="2741" ht="15.75" customHeight="1">
      <c r="A2741" s="4" t="s">
        <v>6352</v>
      </c>
      <c r="B2741" s="4"/>
      <c r="C2741" s="4" t="s">
        <v>8126</v>
      </c>
      <c r="D2741" s="4" t="s">
        <v>2184</v>
      </c>
      <c r="E2741" s="6">
        <v>150000.0</v>
      </c>
    </row>
    <row r="2742" ht="15.75" customHeight="1">
      <c r="A2742" s="4" t="s">
        <v>6354</v>
      </c>
      <c r="B2742" s="4"/>
      <c r="C2742" s="4" t="s">
        <v>8127</v>
      </c>
      <c r="D2742" s="4" t="s">
        <v>8024</v>
      </c>
      <c r="E2742" s="6">
        <v>262300.0</v>
      </c>
    </row>
    <row r="2743" ht="15.75" customHeight="1">
      <c r="A2743" s="4"/>
      <c r="B2743" s="4"/>
      <c r="C2743" s="4" t="s">
        <v>8128</v>
      </c>
      <c r="D2743" s="4" t="s">
        <v>6800</v>
      </c>
      <c r="E2743" s="6">
        <v>275000.0</v>
      </c>
    </row>
    <row r="2744" ht="15.75" customHeight="1">
      <c r="A2744" s="4" t="s">
        <v>6356</v>
      </c>
      <c r="B2744" s="4"/>
      <c r="C2744" s="4" t="s">
        <v>8129</v>
      </c>
      <c r="D2744" s="4" t="s">
        <v>2184</v>
      </c>
      <c r="E2744" s="6">
        <v>3442900.0</v>
      </c>
    </row>
    <row r="2745" ht="15.75" customHeight="1">
      <c r="A2745" s="4"/>
      <c r="B2745" s="4"/>
      <c r="C2745" s="4" t="s">
        <v>8130</v>
      </c>
      <c r="D2745" s="4" t="s">
        <v>5610</v>
      </c>
      <c r="E2745" s="6">
        <v>3442900.0</v>
      </c>
    </row>
    <row r="2746" ht="15.75" customHeight="1">
      <c r="A2746" s="4"/>
      <c r="B2746" s="4"/>
      <c r="C2746" s="4" t="s">
        <v>8130</v>
      </c>
      <c r="D2746" s="4" t="s">
        <v>6800</v>
      </c>
      <c r="E2746" s="6">
        <v>430000.0</v>
      </c>
    </row>
    <row r="2747" ht="15.75" customHeight="1">
      <c r="A2747" s="4"/>
      <c r="B2747" s="4"/>
      <c r="C2747" s="4" t="s">
        <v>8131</v>
      </c>
      <c r="D2747" s="4" t="s">
        <v>6800</v>
      </c>
      <c r="E2747" s="6">
        <v>430000.0</v>
      </c>
    </row>
    <row r="2748" ht="15.75" customHeight="1">
      <c r="A2748" s="4" t="s">
        <v>6435</v>
      </c>
      <c r="B2748" s="4"/>
      <c r="C2748" s="4" t="s">
        <v>8132</v>
      </c>
      <c r="D2748" s="4" t="s">
        <v>2608</v>
      </c>
      <c r="E2748" s="6">
        <v>500000.0</v>
      </c>
    </row>
    <row r="2749" ht="15.75" customHeight="1">
      <c r="A2749" s="4" t="s">
        <v>6437</v>
      </c>
      <c r="B2749" s="4"/>
      <c r="C2749" s="4" t="s">
        <v>8133</v>
      </c>
      <c r="D2749" s="4" t="s">
        <v>8024</v>
      </c>
      <c r="E2749" s="6">
        <v>58800.0</v>
      </c>
    </row>
    <row r="2750" ht="15.75" customHeight="1">
      <c r="A2750" s="4" t="s">
        <v>6439</v>
      </c>
      <c r="B2750" s="4"/>
      <c r="C2750" s="4" t="s">
        <v>8134</v>
      </c>
      <c r="D2750" s="4" t="s">
        <v>8024</v>
      </c>
      <c r="E2750" s="6">
        <v>95000.0</v>
      </c>
    </row>
    <row r="2751" ht="15.75" customHeight="1">
      <c r="A2751" s="4" t="s">
        <v>6441</v>
      </c>
      <c r="B2751" s="4"/>
      <c r="C2751" s="4" t="s">
        <v>8135</v>
      </c>
      <c r="D2751" s="4" t="s">
        <v>8024</v>
      </c>
      <c r="E2751" s="6">
        <v>392200.0</v>
      </c>
    </row>
    <row r="2752" ht="15.75" customHeight="1">
      <c r="A2752" s="4" t="s">
        <v>6443</v>
      </c>
      <c r="B2752" s="4"/>
      <c r="C2752" s="4" t="s">
        <v>8136</v>
      </c>
      <c r="D2752" s="4" t="s">
        <v>8024</v>
      </c>
      <c r="E2752" s="6">
        <v>71700.0</v>
      </c>
    </row>
    <row r="2753" ht="15.75" customHeight="1">
      <c r="A2753" s="4" t="s">
        <v>6445</v>
      </c>
      <c r="B2753" s="4"/>
      <c r="C2753" s="4" t="s">
        <v>8137</v>
      </c>
      <c r="D2753" s="4" t="s">
        <v>8024</v>
      </c>
      <c r="E2753" s="6">
        <v>255200.0</v>
      </c>
    </row>
    <row r="2754" ht="15.75" customHeight="1">
      <c r="A2754" s="4"/>
      <c r="B2754" s="4"/>
      <c r="C2754" s="4" t="s">
        <v>8138</v>
      </c>
      <c r="D2754" s="4" t="s">
        <v>5610</v>
      </c>
      <c r="E2754" s="6">
        <v>1550000.0</v>
      </c>
    </row>
    <row r="2755" ht="15.75" customHeight="1">
      <c r="A2755" s="4" t="s">
        <v>6449</v>
      </c>
      <c r="B2755" s="4"/>
      <c r="C2755" s="4" t="s">
        <v>8139</v>
      </c>
      <c r="D2755" s="4" t="s">
        <v>2184</v>
      </c>
      <c r="E2755" s="6">
        <v>75000.0</v>
      </c>
    </row>
    <row r="2756" ht="15.75" customHeight="1">
      <c r="A2756" s="4" t="s">
        <v>6451</v>
      </c>
      <c r="B2756" s="4"/>
      <c r="C2756" s="4" t="s">
        <v>8140</v>
      </c>
      <c r="D2756" s="4" t="s">
        <v>8024</v>
      </c>
      <c r="E2756" s="6">
        <v>472400.0</v>
      </c>
    </row>
    <row r="2757" ht="15.75" customHeight="1">
      <c r="A2757" s="4"/>
      <c r="B2757" s="4"/>
      <c r="C2757" s="4" t="s">
        <v>8141</v>
      </c>
      <c r="D2757" s="4" t="s">
        <v>8088</v>
      </c>
      <c r="E2757" s="6">
        <v>3981125.0</v>
      </c>
    </row>
    <row r="2758" ht="15.75" customHeight="1">
      <c r="A2758" s="4"/>
      <c r="B2758" s="4"/>
      <c r="C2758" s="4" t="s">
        <v>8142</v>
      </c>
      <c r="D2758" s="4" t="s">
        <v>8088</v>
      </c>
      <c r="E2758" s="6">
        <v>450000.0</v>
      </c>
    </row>
    <row r="2759" ht="15.75" customHeight="1">
      <c r="A2759" s="4" t="s">
        <v>6451</v>
      </c>
      <c r="B2759" s="4"/>
      <c r="C2759" s="4" t="s">
        <v>8143</v>
      </c>
      <c r="D2759" s="4" t="s">
        <v>8024</v>
      </c>
      <c r="E2759" s="6">
        <v>472400.0</v>
      </c>
    </row>
    <row r="2760" ht="15.75" customHeight="1">
      <c r="A2760" s="4" t="s">
        <v>6453</v>
      </c>
      <c r="B2760" s="4"/>
      <c r="C2760" s="4" t="s">
        <v>8144</v>
      </c>
      <c r="D2760" s="4" t="s">
        <v>2184</v>
      </c>
      <c r="E2760" s="6">
        <v>350000.0</v>
      </c>
    </row>
    <row r="2761" ht="15.75" customHeight="1">
      <c r="A2761" s="4"/>
      <c r="B2761" s="4"/>
      <c r="C2761" s="4" t="s">
        <v>8145</v>
      </c>
      <c r="D2761" s="4" t="s">
        <v>5610</v>
      </c>
      <c r="E2761" s="6">
        <v>250000.0</v>
      </c>
    </row>
    <row r="2762" ht="15.75" customHeight="1">
      <c r="A2762" s="4"/>
      <c r="B2762" s="4"/>
      <c r="C2762" s="4" t="s">
        <v>8146</v>
      </c>
      <c r="D2762" s="4" t="s">
        <v>5610</v>
      </c>
      <c r="E2762" s="6">
        <v>487000.0</v>
      </c>
    </row>
    <row r="2763" ht="15.75" customHeight="1">
      <c r="A2763" s="4" t="s">
        <v>6454</v>
      </c>
      <c r="B2763" s="4"/>
      <c r="C2763" s="4" t="s">
        <v>8147</v>
      </c>
      <c r="D2763" s="4" t="s">
        <v>2184</v>
      </c>
      <c r="E2763" s="6">
        <v>350000.0</v>
      </c>
    </row>
    <row r="2764" ht="15.75" customHeight="1">
      <c r="A2764" s="4"/>
      <c r="B2764" s="4"/>
      <c r="C2764" s="4" t="s">
        <v>8148</v>
      </c>
      <c r="D2764" s="4" t="s">
        <v>5313</v>
      </c>
      <c r="E2764" s="6">
        <v>200000.0</v>
      </c>
    </row>
    <row r="2765" ht="15.75" customHeight="1">
      <c r="A2765" s="4"/>
      <c r="B2765" s="4"/>
      <c r="C2765" s="4" t="s">
        <v>8149</v>
      </c>
      <c r="D2765" s="4" t="s">
        <v>5313</v>
      </c>
      <c r="E2765" s="6">
        <v>250000.0</v>
      </c>
    </row>
    <row r="2766" ht="15.75" customHeight="1">
      <c r="A2766" s="4"/>
      <c r="B2766" s="4"/>
      <c r="C2766" s="4" t="s">
        <v>8150</v>
      </c>
      <c r="D2766" s="4" t="s">
        <v>5313</v>
      </c>
      <c r="E2766" s="6">
        <v>250000.0</v>
      </c>
    </row>
    <row r="2767" ht="15.75" customHeight="1">
      <c r="A2767" s="4"/>
      <c r="B2767" s="4"/>
      <c r="C2767" s="4" t="s">
        <v>8151</v>
      </c>
      <c r="D2767" s="4" t="s">
        <v>5313</v>
      </c>
      <c r="E2767" s="6">
        <v>255000.0</v>
      </c>
    </row>
    <row r="2768" ht="15.75" customHeight="1">
      <c r="A2768" s="4"/>
      <c r="B2768" s="4"/>
      <c r="C2768" s="4" t="s">
        <v>8152</v>
      </c>
      <c r="D2768" s="4" t="s">
        <v>5313</v>
      </c>
      <c r="E2768" s="6">
        <v>250000.0</v>
      </c>
    </row>
    <row r="2769" ht="15.75" customHeight="1">
      <c r="A2769" s="4"/>
      <c r="B2769" s="4"/>
      <c r="C2769" s="4" t="s">
        <v>8153</v>
      </c>
      <c r="D2769" s="4" t="s">
        <v>5313</v>
      </c>
      <c r="E2769" s="6">
        <v>124500.0</v>
      </c>
    </row>
    <row r="2770" ht="15.75" customHeight="1">
      <c r="A2770" s="4"/>
      <c r="B2770" s="4"/>
      <c r="C2770" s="4" t="s">
        <v>8154</v>
      </c>
      <c r="D2770" s="4" t="s">
        <v>5313</v>
      </c>
      <c r="E2770" s="6">
        <v>124500.0</v>
      </c>
    </row>
    <row r="2771" ht="15.75" customHeight="1">
      <c r="A2771" s="4"/>
      <c r="B2771" s="4"/>
      <c r="C2771" s="4" t="s">
        <v>8155</v>
      </c>
      <c r="D2771" s="4" t="s">
        <v>5313</v>
      </c>
      <c r="E2771" s="6">
        <v>135000.0</v>
      </c>
    </row>
    <row r="2772" ht="15.75" customHeight="1">
      <c r="A2772" s="4"/>
      <c r="B2772" s="4"/>
      <c r="C2772" s="4" t="s">
        <v>8156</v>
      </c>
      <c r="D2772" s="4" t="s">
        <v>5313</v>
      </c>
      <c r="E2772" s="6">
        <v>140000.0</v>
      </c>
    </row>
    <row r="2773" ht="15.75" customHeight="1">
      <c r="A2773" s="4"/>
      <c r="B2773" s="4"/>
      <c r="C2773" s="4" t="s">
        <v>8157</v>
      </c>
      <c r="D2773" s="4" t="s">
        <v>6800</v>
      </c>
      <c r="E2773" s="6">
        <v>500000.0</v>
      </c>
    </row>
    <row r="2774" ht="15.75" customHeight="1">
      <c r="A2774" s="4"/>
      <c r="B2774" s="4"/>
      <c r="C2774" s="4" t="s">
        <v>8158</v>
      </c>
      <c r="D2774" s="4" t="s">
        <v>6800</v>
      </c>
      <c r="E2774" s="6">
        <v>550000.0</v>
      </c>
    </row>
    <row r="2775" ht="15.75" customHeight="1">
      <c r="A2775" s="4"/>
      <c r="B2775" s="4"/>
      <c r="C2775" s="4" t="s">
        <v>8159</v>
      </c>
      <c r="D2775" s="4" t="s">
        <v>6800</v>
      </c>
      <c r="E2775" s="6">
        <v>50000.0</v>
      </c>
    </row>
    <row r="2776" ht="15.75" customHeight="1">
      <c r="A2776" s="4"/>
      <c r="B2776" s="4"/>
      <c r="C2776" s="4" t="s">
        <v>8160</v>
      </c>
      <c r="D2776" s="4" t="s">
        <v>6800</v>
      </c>
      <c r="E2776" s="6">
        <v>50000.0</v>
      </c>
    </row>
    <row r="2777" ht="15.75" customHeight="1">
      <c r="A2777" s="4"/>
      <c r="B2777" s="4"/>
      <c r="C2777" s="4" t="s">
        <v>8161</v>
      </c>
      <c r="D2777" s="4" t="s">
        <v>8010</v>
      </c>
      <c r="E2777" s="6">
        <v>350000.0</v>
      </c>
    </row>
    <row r="2778" ht="15.75" customHeight="1">
      <c r="A2778" s="4" t="s">
        <v>6457</v>
      </c>
      <c r="B2778" s="4"/>
      <c r="C2778" s="4" t="s">
        <v>8162</v>
      </c>
      <c r="D2778" s="4" t="s">
        <v>2955</v>
      </c>
      <c r="E2778" s="6">
        <v>45000.0</v>
      </c>
    </row>
    <row r="2779" ht="15.75" customHeight="1">
      <c r="A2779" s="4"/>
      <c r="B2779" s="4"/>
      <c r="C2779" s="4" t="s">
        <v>8163</v>
      </c>
      <c r="D2779" s="4" t="s">
        <v>5313</v>
      </c>
      <c r="E2779" s="6">
        <v>18500.0</v>
      </c>
    </row>
    <row r="2780" ht="15.75" customHeight="1">
      <c r="A2780" s="4" t="s">
        <v>6459</v>
      </c>
      <c r="B2780" s="4"/>
      <c r="C2780" s="4" t="s">
        <v>8164</v>
      </c>
      <c r="D2780" s="4" t="s">
        <v>5403</v>
      </c>
      <c r="E2780" s="6">
        <v>52000.0</v>
      </c>
    </row>
    <row r="2781" ht="15.75" customHeight="1">
      <c r="A2781" s="4" t="s">
        <v>6582</v>
      </c>
      <c r="B2781" s="4"/>
      <c r="C2781" s="4" t="s">
        <v>8165</v>
      </c>
      <c r="D2781" s="4" t="s">
        <v>8166</v>
      </c>
      <c r="E2781" s="6">
        <v>969.0</v>
      </c>
    </row>
    <row r="2782" ht="15.75" customHeight="1">
      <c r="A2782" s="4" t="s">
        <v>6584</v>
      </c>
      <c r="B2782" s="4"/>
      <c r="C2782" s="4" t="s">
        <v>8167</v>
      </c>
      <c r="D2782" s="4" t="s">
        <v>43</v>
      </c>
      <c r="E2782" s="6">
        <v>15000.0</v>
      </c>
    </row>
    <row r="2783" ht="15.75" customHeight="1">
      <c r="A2783" s="4" t="s">
        <v>6586</v>
      </c>
      <c r="B2783" s="4"/>
      <c r="C2783" s="4" t="s">
        <v>8168</v>
      </c>
      <c r="D2783" s="4" t="s">
        <v>43</v>
      </c>
      <c r="E2783" s="6">
        <v>3500.0</v>
      </c>
    </row>
    <row r="2784" ht="15.75" customHeight="1">
      <c r="A2784" s="4" t="s">
        <v>6588</v>
      </c>
      <c r="B2784" s="4"/>
      <c r="C2784" s="4" t="s">
        <v>8169</v>
      </c>
      <c r="D2784" s="4" t="s">
        <v>8166</v>
      </c>
      <c r="E2784" s="6">
        <v>850.0</v>
      </c>
    </row>
    <row r="2785" ht="15.75" customHeight="1">
      <c r="A2785" s="4" t="s">
        <v>6590</v>
      </c>
      <c r="B2785" s="4"/>
      <c r="C2785" s="4" t="s">
        <v>8170</v>
      </c>
      <c r="D2785" s="4" t="s">
        <v>43</v>
      </c>
      <c r="E2785" s="6">
        <v>30000.0</v>
      </c>
    </row>
    <row r="2786" ht="15.75" customHeight="1">
      <c r="A2786" s="4" t="s">
        <v>6592</v>
      </c>
      <c r="B2786" s="4"/>
      <c r="C2786" s="4" t="s">
        <v>8171</v>
      </c>
      <c r="D2786" s="4" t="s">
        <v>8024</v>
      </c>
      <c r="E2786" s="6">
        <v>85000.0</v>
      </c>
    </row>
    <row r="2787" ht="15.75" customHeight="1">
      <c r="A2787" s="4" t="s">
        <v>6594</v>
      </c>
      <c r="B2787" s="4"/>
      <c r="C2787" s="4" t="s">
        <v>8172</v>
      </c>
      <c r="D2787" s="4" t="s">
        <v>2184</v>
      </c>
      <c r="E2787" s="6">
        <v>300000.0</v>
      </c>
    </row>
    <row r="2788" ht="15.75" customHeight="1">
      <c r="A2788" s="4"/>
      <c r="B2788" s="4"/>
      <c r="C2788" s="4" t="s">
        <v>8173</v>
      </c>
      <c r="D2788" s="4" t="s">
        <v>5610</v>
      </c>
      <c r="E2788" s="6">
        <v>300000.0</v>
      </c>
    </row>
    <row r="2789" ht="15.75" customHeight="1">
      <c r="A2789" s="4" t="s">
        <v>6596</v>
      </c>
      <c r="B2789" s="4"/>
      <c r="C2789" s="4" t="s">
        <v>8174</v>
      </c>
      <c r="D2789" s="4" t="s">
        <v>43</v>
      </c>
      <c r="E2789" s="6">
        <v>15000.0</v>
      </c>
    </row>
    <row r="2790" ht="15.75" customHeight="1">
      <c r="A2790" s="4" t="s">
        <v>6598</v>
      </c>
      <c r="B2790" s="4"/>
      <c r="C2790" s="4" t="s">
        <v>8175</v>
      </c>
      <c r="D2790" s="4" t="s">
        <v>43</v>
      </c>
      <c r="E2790" s="6">
        <v>25000.0</v>
      </c>
    </row>
    <row r="2791" ht="15.75" customHeight="1">
      <c r="A2791" s="4" t="s">
        <v>6600</v>
      </c>
      <c r="B2791" s="4"/>
      <c r="C2791" s="4" t="s">
        <v>8176</v>
      </c>
      <c r="D2791" s="4" t="s">
        <v>8177</v>
      </c>
      <c r="E2791" s="6">
        <v>20000.0</v>
      </c>
    </row>
    <row r="2792" ht="15.75" customHeight="1">
      <c r="A2792" s="4" t="s">
        <v>6602</v>
      </c>
      <c r="B2792" s="4"/>
      <c r="C2792" s="4" t="s">
        <v>8178</v>
      </c>
      <c r="D2792" s="4" t="s">
        <v>43</v>
      </c>
      <c r="E2792" s="6">
        <v>52000.0</v>
      </c>
    </row>
    <row r="2793" ht="15.75" customHeight="1">
      <c r="A2793" s="4" t="s">
        <v>6604</v>
      </c>
      <c r="B2793" s="4"/>
      <c r="C2793" s="4" t="s">
        <v>8179</v>
      </c>
      <c r="D2793" s="4" t="s">
        <v>2184</v>
      </c>
      <c r="E2793" s="6">
        <v>500000.0</v>
      </c>
    </row>
    <row r="2794" ht="15.75" customHeight="1">
      <c r="A2794" s="4" t="s">
        <v>6606</v>
      </c>
      <c r="B2794" s="4"/>
      <c r="C2794" s="4" t="s">
        <v>8180</v>
      </c>
      <c r="D2794" s="4" t="s">
        <v>2184</v>
      </c>
      <c r="E2794" s="6">
        <v>1000000.0</v>
      </c>
    </row>
    <row r="2795" ht="15.75" customHeight="1">
      <c r="A2795" s="4" t="s">
        <v>6608</v>
      </c>
      <c r="B2795" s="4"/>
      <c r="C2795" s="4" t="s">
        <v>8181</v>
      </c>
      <c r="D2795" s="4" t="s">
        <v>2184</v>
      </c>
      <c r="E2795" s="6">
        <v>250000.0</v>
      </c>
    </row>
    <row r="2796" ht="15.75" customHeight="1">
      <c r="A2796" s="4"/>
      <c r="B2796" s="4"/>
      <c r="C2796" s="4" t="s">
        <v>8182</v>
      </c>
      <c r="D2796" s="4" t="s">
        <v>2184</v>
      </c>
      <c r="E2796" s="6">
        <v>280000.0</v>
      </c>
    </row>
    <row r="2797" ht="15.75" customHeight="1">
      <c r="A2797" s="4"/>
      <c r="B2797" s="4"/>
      <c r="C2797" s="4" t="s">
        <v>8183</v>
      </c>
      <c r="D2797" s="4" t="s">
        <v>5610</v>
      </c>
      <c r="E2797" s="6">
        <v>280000.0</v>
      </c>
    </row>
    <row r="2798" ht="15.75" customHeight="1">
      <c r="A2798" s="4"/>
      <c r="B2798" s="4"/>
      <c r="C2798" s="4" t="s">
        <v>8184</v>
      </c>
      <c r="D2798" s="4" t="s">
        <v>5610</v>
      </c>
      <c r="E2798" s="6">
        <v>260000.0</v>
      </c>
    </row>
    <row r="2799" ht="15.75" customHeight="1">
      <c r="A2799" s="4"/>
      <c r="B2799" s="4"/>
      <c r="C2799" s="4" t="s">
        <v>8185</v>
      </c>
      <c r="D2799" s="4" t="s">
        <v>8186</v>
      </c>
      <c r="E2799" s="6">
        <v>67500.0</v>
      </c>
    </row>
    <row r="2800" ht="15.75" customHeight="1">
      <c r="A2800" s="4"/>
      <c r="B2800" s="4"/>
      <c r="C2800" s="4" t="s">
        <v>8187</v>
      </c>
      <c r="D2800" s="4" t="s">
        <v>2184</v>
      </c>
      <c r="E2800" s="6">
        <v>3300000.0</v>
      </c>
    </row>
    <row r="2801" ht="15.75" customHeight="1">
      <c r="A2801" s="4" t="s">
        <v>6610</v>
      </c>
      <c r="B2801" s="4"/>
      <c r="C2801" s="4" t="s">
        <v>8188</v>
      </c>
      <c r="D2801" s="4" t="s">
        <v>2608</v>
      </c>
      <c r="E2801" s="6">
        <v>1920000.0</v>
      </c>
    </row>
    <row r="2802" ht="15.75" customHeight="1">
      <c r="A2802" s="4" t="s">
        <v>6612</v>
      </c>
      <c r="B2802" s="4"/>
      <c r="C2802" s="4" t="s">
        <v>8189</v>
      </c>
      <c r="D2802" s="4" t="s">
        <v>8024</v>
      </c>
      <c r="E2802" s="6">
        <v>42000.0</v>
      </c>
    </row>
    <row r="2803" ht="15.75" customHeight="1">
      <c r="A2803" s="4" t="s">
        <v>6614</v>
      </c>
      <c r="B2803" s="4"/>
      <c r="C2803" s="4" t="s">
        <v>8190</v>
      </c>
      <c r="D2803" s="4" t="s">
        <v>2184</v>
      </c>
      <c r="E2803" s="6">
        <v>44000.0</v>
      </c>
    </row>
    <row r="2804" ht="15.75" customHeight="1">
      <c r="A2804" s="4" t="s">
        <v>6616</v>
      </c>
      <c r="B2804" s="4"/>
      <c r="C2804" s="4" t="s">
        <v>8191</v>
      </c>
      <c r="D2804" s="4" t="s">
        <v>2184</v>
      </c>
      <c r="E2804" s="6">
        <v>7500.0</v>
      </c>
    </row>
    <row r="2805" ht="15.75" customHeight="1">
      <c r="A2805" s="4" t="s">
        <v>6618</v>
      </c>
      <c r="B2805" s="4"/>
      <c r="C2805" s="4" t="s">
        <v>8192</v>
      </c>
      <c r="D2805" s="4" t="s">
        <v>2184</v>
      </c>
      <c r="E2805" s="6">
        <v>7500.0</v>
      </c>
    </row>
    <row r="2806" ht="15.75" customHeight="1">
      <c r="A2806" s="4" t="s">
        <v>6621</v>
      </c>
      <c r="B2806" s="4"/>
      <c r="C2806" s="4" t="s">
        <v>8109</v>
      </c>
      <c r="D2806" s="4" t="s">
        <v>2184</v>
      </c>
      <c r="E2806" s="6">
        <v>150000.0</v>
      </c>
    </row>
    <row r="2807" ht="15.75" customHeight="1">
      <c r="A2807" s="4" t="s">
        <v>6623</v>
      </c>
      <c r="B2807" s="4"/>
      <c r="C2807" s="4" t="s">
        <v>8193</v>
      </c>
      <c r="D2807" s="4" t="s">
        <v>2184</v>
      </c>
      <c r="E2807" s="6">
        <v>1450000.0</v>
      </c>
    </row>
    <row r="2808" ht="15.75" customHeight="1">
      <c r="A2808" s="4" t="s">
        <v>6625</v>
      </c>
      <c r="B2808" s="4"/>
      <c r="C2808" s="4" t="s">
        <v>8194</v>
      </c>
      <c r="D2808" s="4" t="s">
        <v>2184</v>
      </c>
      <c r="E2808" s="6">
        <v>3400000.0</v>
      </c>
    </row>
    <row r="2809" ht="15.75" customHeight="1">
      <c r="A2809" s="4" t="s">
        <v>6627</v>
      </c>
      <c r="B2809" s="4"/>
      <c r="C2809" s="4" t="s">
        <v>8195</v>
      </c>
      <c r="D2809" s="4" t="s">
        <v>2184</v>
      </c>
      <c r="E2809" s="6">
        <v>6250000.0</v>
      </c>
    </row>
    <row r="2810" ht="15.75" customHeight="1">
      <c r="A2810" s="4" t="s">
        <v>6629</v>
      </c>
      <c r="B2810" s="4"/>
      <c r="C2810" s="4" t="s">
        <v>8196</v>
      </c>
      <c r="D2810" s="4" t="s">
        <v>2184</v>
      </c>
      <c r="E2810" s="6">
        <v>1450000.0</v>
      </c>
    </row>
    <row r="2811" ht="15.75" customHeight="1">
      <c r="A2811" s="4" t="s">
        <v>6631</v>
      </c>
      <c r="B2811" s="4"/>
      <c r="C2811" s="4" t="s">
        <v>8197</v>
      </c>
      <c r="D2811" s="4" t="s">
        <v>43</v>
      </c>
      <c r="E2811" s="6">
        <v>50000.0</v>
      </c>
    </row>
    <row r="2812" ht="15.75" customHeight="1">
      <c r="A2812" s="4" t="s">
        <v>6633</v>
      </c>
      <c r="B2812" s="4"/>
      <c r="C2812" s="4" t="s">
        <v>8197</v>
      </c>
      <c r="D2812" s="4" t="s">
        <v>2184</v>
      </c>
      <c r="E2812" s="6">
        <v>50000.0</v>
      </c>
    </row>
    <row r="2813" ht="15.75" customHeight="1">
      <c r="A2813" s="4"/>
      <c r="B2813" s="4"/>
      <c r="C2813" s="4" t="s">
        <v>8198</v>
      </c>
      <c r="D2813" s="4" t="s">
        <v>5610</v>
      </c>
      <c r="E2813" s="6">
        <v>25000.0</v>
      </c>
    </row>
    <row r="2814" ht="15.75" customHeight="1">
      <c r="A2814" s="4"/>
      <c r="B2814" s="4"/>
      <c r="C2814" s="4" t="s">
        <v>8199</v>
      </c>
      <c r="D2814" s="4" t="s">
        <v>5313</v>
      </c>
      <c r="E2814" s="6">
        <v>1144000.0</v>
      </c>
    </row>
    <row r="2815" ht="15.75" customHeight="1">
      <c r="A2815" s="4" t="s">
        <v>6635</v>
      </c>
      <c r="B2815" s="4"/>
      <c r="C2815" s="4" t="s">
        <v>8200</v>
      </c>
      <c r="D2815" s="4" t="s">
        <v>8166</v>
      </c>
      <c r="E2815" s="6">
        <v>30.0</v>
      </c>
    </row>
    <row r="2816" ht="15.75" customHeight="1">
      <c r="A2816" s="4" t="s">
        <v>6637</v>
      </c>
      <c r="B2816" s="4"/>
      <c r="C2816" s="4" t="s">
        <v>8201</v>
      </c>
      <c r="D2816" s="4" t="s">
        <v>2184</v>
      </c>
      <c r="E2816" s="6">
        <v>250000.0</v>
      </c>
    </row>
    <row r="2817" ht="15.75" customHeight="1">
      <c r="A2817" s="4" t="s">
        <v>6639</v>
      </c>
      <c r="B2817" s="4"/>
      <c r="C2817" s="4" t="s">
        <v>8202</v>
      </c>
      <c r="D2817" s="4" t="s">
        <v>8024</v>
      </c>
      <c r="E2817" s="6">
        <v>525000.0</v>
      </c>
    </row>
    <row r="2818" ht="15.75" customHeight="1">
      <c r="A2818" s="4" t="s">
        <v>6641</v>
      </c>
      <c r="B2818" s="4"/>
      <c r="C2818" s="4" t="s">
        <v>8203</v>
      </c>
      <c r="D2818" s="4" t="s">
        <v>8166</v>
      </c>
      <c r="E2818" s="6">
        <v>165.0</v>
      </c>
    </row>
    <row r="2819" ht="15.75" customHeight="1">
      <c r="A2819" s="4" t="s">
        <v>6643</v>
      </c>
      <c r="B2819" s="4"/>
      <c r="C2819" s="4" t="s">
        <v>8204</v>
      </c>
      <c r="D2819" s="4" t="s">
        <v>419</v>
      </c>
      <c r="E2819" s="6">
        <v>25000.0</v>
      </c>
    </row>
    <row r="2820" ht="15.75" customHeight="1">
      <c r="A2820" s="4" t="s">
        <v>6645</v>
      </c>
      <c r="B2820" s="4"/>
      <c r="C2820" s="4" t="s">
        <v>8205</v>
      </c>
      <c r="D2820" s="4" t="s">
        <v>419</v>
      </c>
      <c r="E2820" s="6">
        <v>30700.0</v>
      </c>
    </row>
    <row r="2821" ht="15.75" customHeight="1">
      <c r="A2821" s="4" t="s">
        <v>6647</v>
      </c>
      <c r="B2821" s="4"/>
      <c r="C2821" s="4" t="s">
        <v>8206</v>
      </c>
      <c r="D2821" s="4" t="s">
        <v>419</v>
      </c>
      <c r="E2821" s="6">
        <v>43500.0</v>
      </c>
    </row>
    <row r="2822" ht="15.75" customHeight="1">
      <c r="A2822" s="4" t="s">
        <v>6650</v>
      </c>
      <c r="B2822" s="4"/>
      <c r="C2822" s="4" t="s">
        <v>8207</v>
      </c>
      <c r="D2822" s="4" t="s">
        <v>419</v>
      </c>
      <c r="E2822" s="6">
        <v>55800.0</v>
      </c>
    </row>
    <row r="2823" ht="15.75" customHeight="1">
      <c r="A2823" s="4" t="s">
        <v>6652</v>
      </c>
      <c r="B2823" s="4"/>
      <c r="C2823" s="4" t="s">
        <v>8208</v>
      </c>
      <c r="D2823" s="4" t="s">
        <v>8209</v>
      </c>
      <c r="E2823" s="6">
        <v>332.0</v>
      </c>
    </row>
    <row r="2824" ht="15.75" customHeight="1">
      <c r="A2824" s="4"/>
      <c r="B2824" s="4"/>
      <c r="C2824" s="4" t="s">
        <v>8210</v>
      </c>
      <c r="D2824" s="4" t="s">
        <v>5300</v>
      </c>
      <c r="E2824" s="6">
        <v>28000.0</v>
      </c>
    </row>
    <row r="2825" ht="15.75" customHeight="1">
      <c r="A2825" s="4"/>
      <c r="B2825" s="4"/>
      <c r="C2825" s="4" t="s">
        <v>8211</v>
      </c>
      <c r="D2825" s="4"/>
      <c r="E2825" s="6"/>
    </row>
    <row r="2826" ht="15.75" customHeight="1">
      <c r="A2826" s="4"/>
      <c r="B2826" s="4"/>
      <c r="C2826" s="4" t="s">
        <v>8212</v>
      </c>
      <c r="D2826" s="4" t="s">
        <v>36</v>
      </c>
      <c r="E2826" s="6">
        <v>1000000.0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8213</v>
      </c>
    </row>
    <row r="2">
      <c r="A2" s="12" t="s">
        <v>2</v>
      </c>
      <c r="B2" s="12" t="s">
        <v>8214</v>
      </c>
      <c r="C2" s="12" t="s">
        <v>5206</v>
      </c>
      <c r="D2" s="12" t="s">
        <v>17</v>
      </c>
      <c r="E2" s="12" t="s">
        <v>8215</v>
      </c>
      <c r="F2" s="12" t="s">
        <v>8216</v>
      </c>
    </row>
    <row r="3">
      <c r="A3" s="2">
        <v>1.0</v>
      </c>
      <c r="B3" s="2" t="s">
        <v>8217</v>
      </c>
      <c r="C3" s="2" t="s">
        <v>8218</v>
      </c>
      <c r="D3" s="2" t="s">
        <v>8219</v>
      </c>
      <c r="F3" s="2">
        <v>1.0E8</v>
      </c>
    </row>
    <row r="4">
      <c r="A4" s="2">
        <v>2.0</v>
      </c>
      <c r="B4" s="2" t="s">
        <v>8220</v>
      </c>
      <c r="C4" s="2" t="s">
        <v>8221</v>
      </c>
      <c r="D4" s="2" t="s">
        <v>8222</v>
      </c>
      <c r="F4" s="2">
        <v>5.0</v>
      </c>
    </row>
    <row r="5">
      <c r="A5" s="2">
        <v>3.0</v>
      </c>
      <c r="B5" s="2" t="s">
        <v>8223</v>
      </c>
      <c r="C5" s="2" t="s">
        <v>8224</v>
      </c>
      <c r="D5" s="2" t="s">
        <v>8186</v>
      </c>
      <c r="F5" s="2">
        <v>2000.0</v>
      </c>
    </row>
    <row r="6">
      <c r="A6" s="2">
        <v>4.0</v>
      </c>
      <c r="B6" s="2" t="s">
        <v>8225</v>
      </c>
      <c r="C6" s="2" t="s">
        <v>8226</v>
      </c>
      <c r="D6" s="2" t="s">
        <v>8219</v>
      </c>
      <c r="E6" s="2" t="str">
        <f>(A - 10%A)*15% / W_jam</f>
        <v>#ERROR!</v>
      </c>
      <c r="F6" s="2">
        <f> (F3-(0.1*F3))*0.15 / F5</f>
        <v>6750</v>
      </c>
    </row>
    <row r="7">
      <c r="A7" s="2">
        <v>5.0</v>
      </c>
      <c r="B7" s="2" t="s">
        <v>8227</v>
      </c>
      <c r="C7" s="2" t="s">
        <v>8228</v>
      </c>
      <c r="D7" s="2" t="s">
        <v>8219</v>
      </c>
      <c r="E7" s="2" t="s">
        <v>8229</v>
      </c>
      <c r="F7" s="2">
        <v>50000.0</v>
      </c>
    </row>
    <row r="8">
      <c r="A8" s="2">
        <v>6.0</v>
      </c>
      <c r="B8" s="2" t="s">
        <v>8230</v>
      </c>
      <c r="C8" s="2" t="s">
        <v>8231</v>
      </c>
      <c r="D8" s="2" t="s">
        <v>8219</v>
      </c>
      <c r="E8" s="2" t="str">
        <f> E + K</f>
        <v>#NAME?</v>
      </c>
      <c r="F8" s="2">
        <f>F6+F7</f>
        <v>56750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